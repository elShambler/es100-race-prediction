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s v3" sheetId="1" r:id="rId4"/>
    <sheet state="visible" name="splits v2" sheetId="2" r:id="rId5"/>
    <sheet state="visible" name="splits v1 2022-08-18" sheetId="3" r:id="rId6"/>
    <sheet state="visible" name="AS 1 Through 7 Combined" sheetId="4" r:id="rId7"/>
    <sheet state="visible" name="Kirsten" sheetId="5" r:id="rId8"/>
    <sheet state="visible" name="AS9&amp;12" sheetId="6" r:id="rId9"/>
    <sheet state="visible" name="AS 4, 5, 6 &amp; 7" sheetId="7" r:id="rId10"/>
    <sheet state="visible" name="AS 15 &amp; 16" sheetId="8" r:id="rId11"/>
    <sheet state="visible" name="falcon v2" sheetId="9" r:id="rId12"/>
    <sheet state="visible" name="faclon_results_2022" sheetId="10" r:id="rId13"/>
    <sheet state="visible" name="Race Control data (call-in NOT " sheetId="11" r:id="rId14"/>
  </sheets>
  <definedNames>
    <definedName hidden="1" localSheetId="0" name="_xlnm._FilterDatabase">'splits v3'!$A$1:$BB$206</definedName>
    <definedName hidden="1" localSheetId="1" name="_xlnm._FilterDatabase">'splits v2'!$A$1:$AZ$206</definedName>
    <definedName hidden="1" localSheetId="2" name="_xlnm._FilterDatabase">'splits v1 2022-08-18'!$A$1:$AX$1020</definedName>
    <definedName hidden="1" localSheetId="4" name="_xlnm._FilterDatabase">Kirsten!$A$1:$AX$1006</definedName>
    <definedName hidden="1" localSheetId="5" name="_xlnm._FilterDatabase">'AS9&amp;12'!$A$1:$V$205</definedName>
    <definedName hidden="1" localSheetId="8" name="_xlnm._FilterDatabase">'falcon v2'!$A$1:$K$131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0">
      <text>
        <t xml:space="preserve">623 in sheet; already logged
	-Keith Keith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0">
      <text>
        <t xml:space="preserve">623 in sheet; already logged
	-Keith Keith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623 in sheet; already logged
	-Keith Keith</t>
      </text>
    </comment>
  </commentList>
</comments>
</file>

<file path=xl/sharedStrings.xml><?xml version="1.0" encoding="utf-8"?>
<sst xmlns="http://schemas.openxmlformats.org/spreadsheetml/2006/main" count="1730" uniqueCount="523">
  <si>
    <t>Name</t>
  </si>
  <si>
    <t>Bib Number</t>
  </si>
  <si>
    <t>Gender</t>
  </si>
  <si>
    <t>AS1 arr order</t>
  </si>
  <si>
    <t>AS1 arr TOD</t>
  </si>
  <si>
    <t>AS1 dep TOD</t>
  </si>
  <si>
    <t>AS2 arr order</t>
  </si>
  <si>
    <t>AS2 arr TOD</t>
  </si>
  <si>
    <t>AS2dep TOD</t>
  </si>
  <si>
    <t>AS3 arr order</t>
  </si>
  <si>
    <t>AS3 arr TOD</t>
  </si>
  <si>
    <t>AS3 dep TOD</t>
  </si>
  <si>
    <t>AS4 arr order</t>
  </si>
  <si>
    <t>AS4 arr TOD</t>
  </si>
  <si>
    <t>AS4 dep TOD</t>
  </si>
  <si>
    <t>AS5 arr order</t>
  </si>
  <si>
    <t>AS5 arr TOD</t>
  </si>
  <si>
    <t>AS5 dep TOD</t>
  </si>
  <si>
    <t>AS6 arr order</t>
  </si>
  <si>
    <t>AS6 arr TOD</t>
  </si>
  <si>
    <t>AS6 dep TOD</t>
  </si>
  <si>
    <t>AS7 arr order</t>
  </si>
  <si>
    <t>AS7 arr TOD</t>
  </si>
  <si>
    <t>AS7 dep TOD</t>
  </si>
  <si>
    <t>AS8 arr order</t>
  </si>
  <si>
    <t>AS8 arr TOD</t>
  </si>
  <si>
    <t>AS8 dep TOD</t>
  </si>
  <si>
    <t>AS9 arr order</t>
  </si>
  <si>
    <t>AS9 arr TOD</t>
  </si>
  <si>
    <t>AS9 dep TOD</t>
  </si>
  <si>
    <t>AS10 arr order</t>
  </si>
  <si>
    <t>AS10 arr TOD</t>
  </si>
  <si>
    <t>AS10 dep TOD</t>
  </si>
  <si>
    <t>AS11 arr order</t>
  </si>
  <si>
    <t>AS11 arr TOD</t>
  </si>
  <si>
    <t>AS11 dep TOD</t>
  </si>
  <si>
    <t>AS12 arr order</t>
  </si>
  <si>
    <t>AS12 arr TOD</t>
  </si>
  <si>
    <t>AS12 dep TOD</t>
  </si>
  <si>
    <t>AS13 arr order</t>
  </si>
  <si>
    <t>AS13 arr TOD</t>
  </si>
  <si>
    <t>AS13 dep TOD</t>
  </si>
  <si>
    <t>AS14 arr order</t>
  </si>
  <si>
    <t>AS14 arr TOD</t>
  </si>
  <si>
    <t>AS14 dep TOD</t>
  </si>
  <si>
    <t>AS15 arr order</t>
  </si>
  <si>
    <t>AS15 arr TOD</t>
  </si>
  <si>
    <t>AS15 dep TOD</t>
  </si>
  <si>
    <t>AS16 arr order</t>
  </si>
  <si>
    <t>AS16 arr TOD</t>
  </si>
  <si>
    <t>AS16 dep TOD</t>
  </si>
  <si>
    <t>F
arr
order</t>
  </si>
  <si>
    <t>F
arr
TOD</t>
  </si>
  <si>
    <t>RYAN CLIFFORD</t>
  </si>
  <si>
    <t>M</t>
  </si>
  <si>
    <t>EMANUEL KING</t>
  </si>
  <si>
    <t>TRISTAN BAXENDALE</t>
  </si>
  <si>
    <t>ERIC KOSEK</t>
  </si>
  <si>
    <t>KEVIN SCOTT</t>
  </si>
  <si>
    <t>BENJAMIN LINNE</t>
  </si>
  <si>
    <t>NICOLAS CROUZIER</t>
  </si>
  <si>
    <t>ANTHONY BECKER</t>
  </si>
  <si>
    <t>CALEB ROTH</t>
  </si>
  <si>
    <t>TREVOR FYE</t>
  </si>
  <si>
    <t>ADAM KOLB</t>
  </si>
  <si>
    <t>JUSTYNA WILSON</t>
  </si>
  <si>
    <t>F</t>
  </si>
  <si>
    <t>ADAM KOPPANY</t>
  </si>
  <si>
    <t>JUSTIN LEWANDOWSKI</t>
  </si>
  <si>
    <t>ANDREW FOERSTER</t>
  </si>
  <si>
    <t>STEVE CAMPBELL</t>
  </si>
  <si>
    <t>BARRY MAIN</t>
  </si>
  <si>
    <t>MICHAEL OBARA</t>
  </si>
  <si>
    <t>SCOTT GLEASON</t>
  </si>
  <si>
    <t>ADRIAN SPENCER</t>
  </si>
  <si>
    <t>CHAD KAMPHUIS</t>
  </si>
  <si>
    <t>NICOLE WERNER</t>
  </si>
  <si>
    <t>KEITH NADEAU</t>
  </si>
  <si>
    <t>NICHOLAS MITCHELL</t>
  </si>
  <si>
    <t>DAVID LARSON</t>
  </si>
  <si>
    <t>JIANHUI SHEN</t>
  </si>
  <si>
    <t>DAVID PEPPELMAN</t>
  </si>
  <si>
    <t>BILL TRYON</t>
  </si>
  <si>
    <t>PERRIN SMITH</t>
  </si>
  <si>
    <t>THOMAS CAMENISCH</t>
  </si>
  <si>
    <t>JILL DENNES</t>
  </si>
  <si>
    <t>RYAN WILLIAMS</t>
  </si>
  <si>
    <t>RUFUS CHAFFEE</t>
  </si>
  <si>
    <t>PHILIP SAMOTUS</t>
  </si>
  <si>
    <t>JOSHUA ROLLINS</t>
  </si>
  <si>
    <t>NORB BAIER</t>
  </si>
  <si>
    <t>BOB BAUER</t>
  </si>
  <si>
    <t>ROBERT MITCHELL</t>
  </si>
  <si>
    <t>DEREK BREITENSTINE</t>
  </si>
  <si>
    <t>CRAIG MILLER</t>
  </si>
  <si>
    <t>JASON BRANHAM</t>
  </si>
  <si>
    <t>TAMMY RACHAU</t>
  </si>
  <si>
    <t>KIP HOFFMAN</t>
  </si>
  <si>
    <t>GRANT MAUGHAN</t>
  </si>
  <si>
    <t>PHILIP PERKINS</t>
  </si>
  <si>
    <t>BRENDA FORTIN</t>
  </si>
  <si>
    <t>STEVE SZAKAL</t>
  </si>
  <si>
    <t>AMANDA DEBEVC</t>
  </si>
  <si>
    <t>BRYAN TORO</t>
  </si>
  <si>
    <t>JEREMY GARDNER</t>
  </si>
  <si>
    <t>8::27</t>
  </si>
  <si>
    <t>AARON WATKINS</t>
  </si>
  <si>
    <t>KENNETH HITE</t>
  </si>
  <si>
    <t>NOLAN PERNIA</t>
  </si>
  <si>
    <t>CHRISTOPHER STAAB</t>
  </si>
  <si>
    <t>JOHN WAITE</t>
  </si>
  <si>
    <t>JUSTIN DEMURIAS</t>
  </si>
  <si>
    <t>BRIAN MOTT</t>
  </si>
  <si>
    <t>AMY DEMARCO</t>
  </si>
  <si>
    <t>NICK CIARROCCHI</t>
  </si>
  <si>
    <t>SARAH WENGER</t>
  </si>
  <si>
    <t>ERIC NELSON</t>
  </si>
  <si>
    <t>PETER HALSEY</t>
  </si>
  <si>
    <t>NICHOLAS BODNER</t>
  </si>
  <si>
    <t>DANTE LEVEN</t>
  </si>
  <si>
    <t>BILL MCNALLY</t>
  </si>
  <si>
    <t>ZACKARY SANDERS</t>
  </si>
  <si>
    <t>12"17</t>
  </si>
  <si>
    <t>MATT NICKLIN</t>
  </si>
  <si>
    <t>BUD WILSON</t>
  </si>
  <si>
    <t>IAN LUSCHIN</t>
  </si>
  <si>
    <t>GREGORY TRAPP</t>
  </si>
  <si>
    <t>MIKE ZIMMERMAN</t>
  </si>
  <si>
    <t>ROLAND MANN</t>
  </si>
  <si>
    <t>ERICA GAFFNEY</t>
  </si>
  <si>
    <t>ERIC CLOUATRE</t>
  </si>
  <si>
    <t>MARISSA KOVACH</t>
  </si>
  <si>
    <t>TED HARLAN</t>
  </si>
  <si>
    <t>ROBERT WOODALL</t>
  </si>
  <si>
    <t>WILL ROBINSON</t>
  </si>
  <si>
    <t>TODD BITTERMAN</t>
  </si>
  <si>
    <t>TERESA BARNES</t>
  </si>
  <si>
    <t>ROB DEMAYO</t>
  </si>
  <si>
    <t>ROB GOLDER</t>
  </si>
  <si>
    <t>JONATHAN LAGOA</t>
  </si>
  <si>
    <t>KEVIN SOMOGYE</t>
  </si>
  <si>
    <t>MICHAEL CIGICH</t>
  </si>
  <si>
    <t>MATTHEW VAHEY</t>
  </si>
  <si>
    <t>KEN KREMER</t>
  </si>
  <si>
    <t>STEVEN DAILEY</t>
  </si>
  <si>
    <t>IHOR STRATAN</t>
  </si>
  <si>
    <t>CASPER POHLMANN</t>
  </si>
  <si>
    <t>PATRICK DURANTE</t>
  </si>
  <si>
    <t>MIKE CHILDS</t>
  </si>
  <si>
    <t>KELLY KENNEDY</t>
  </si>
  <si>
    <t>BROOKE SCHELL</t>
  </si>
  <si>
    <t>ERICA LUBERA</t>
  </si>
  <si>
    <t>JOEL STROUSE</t>
  </si>
  <si>
    <t>TOD SLABIK</t>
  </si>
  <si>
    <t>KEN CAMPBELL</t>
  </si>
  <si>
    <t>JOHN GREGORCHIK</t>
  </si>
  <si>
    <t>JACKIE SHULACK</t>
  </si>
  <si>
    <t>CHAD SMITH</t>
  </si>
  <si>
    <t>KEVIN KUCHINSKY</t>
  </si>
  <si>
    <t>DANIEL HENRY</t>
  </si>
  <si>
    <t>JOSEPH HIGGINS</t>
  </si>
  <si>
    <t>REBECCA BURGO</t>
  </si>
  <si>
    <t>THOMAS KNIEZEWSKI</t>
  </si>
  <si>
    <t>JIM ABRIOLA</t>
  </si>
  <si>
    <t>BRAD WINGLER</t>
  </si>
  <si>
    <t>AARON FEATHER</t>
  </si>
  <si>
    <t>JOHN MARANGIELLO</t>
  </si>
  <si>
    <t>KRISTIJAN BEGIC</t>
  </si>
  <si>
    <t>DAN MULLIN</t>
  </si>
  <si>
    <t>RONNY MRAZ</t>
  </si>
  <si>
    <t>JAMIE ONEY</t>
  </si>
  <si>
    <t>BART PITRUS</t>
  </si>
  <si>
    <t>RANDALL EDWARDS</t>
  </si>
  <si>
    <t>ALEX ROBERTS</t>
  </si>
  <si>
    <t>KAREN LE</t>
  </si>
  <si>
    <t>DHAN RAI</t>
  </si>
  <si>
    <t>AMY ADAMS</t>
  </si>
  <si>
    <t>JASON KARPINSKI</t>
  </si>
  <si>
    <t>DNF</t>
  </si>
  <si>
    <t>20:2</t>
  </si>
  <si>
    <t>545*</t>
  </si>
  <si>
    <t>689*</t>
  </si>
  <si>
    <t>F arr elapsed (hrs)</t>
  </si>
  <si>
    <t>9::</t>
  </si>
  <si>
    <t>AS4 arr Order</t>
  </si>
  <si>
    <t>Bib #</t>
  </si>
  <si>
    <t>Number</t>
  </si>
  <si>
    <t>Bib No</t>
  </si>
  <si>
    <t>Total Time</t>
  </si>
  <si>
    <t>Place</t>
  </si>
  <si>
    <t>City</t>
  </si>
  <si>
    <t>Age</t>
  </si>
  <si>
    <t>Age Group</t>
  </si>
  <si>
    <t>Pace</t>
  </si>
  <si>
    <t>overall_time_hrs</t>
  </si>
  <si>
    <t>NEW HYDE PARK NY</t>
  </si>
  <si>
    <t>1:Overall</t>
  </si>
  <si>
    <t>11:46/M</t>
  </si>
  <si>
    <t>MILL HALL PA</t>
  </si>
  <si>
    <t>1:20-29</t>
  </si>
  <si>
    <t>13:16/M</t>
  </si>
  <si>
    <t>ENDICOTT NY</t>
  </si>
  <si>
    <t>1:30-39</t>
  </si>
  <si>
    <t>13:51/M</t>
  </si>
  <si>
    <t>WELLSBORO PA</t>
  </si>
  <si>
    <t>1:40-49</t>
  </si>
  <si>
    <t>13:57/M</t>
  </si>
  <si>
    <t>HUNTINGDON VALLEY PA</t>
  </si>
  <si>
    <t>2:30-39</t>
  </si>
  <si>
    <t>14:02/M</t>
  </si>
  <si>
    <t>JOPPA MD</t>
  </si>
  <si>
    <t>2:20-29</t>
  </si>
  <si>
    <t>14:05/M</t>
  </si>
  <si>
    <t>DARNESTOWN MD</t>
  </si>
  <si>
    <t>3:30-39</t>
  </si>
  <si>
    <t>14:47/M</t>
  </si>
  <si>
    <t>CARLISLE PA</t>
  </si>
  <si>
    <t>4:30-39</t>
  </si>
  <si>
    <t>14:48/M</t>
  </si>
  <si>
    <t>YORK PA</t>
  </si>
  <si>
    <t>5:30-39</t>
  </si>
  <si>
    <t>15:00/M</t>
  </si>
  <si>
    <t>LEWISTOWN PA</t>
  </si>
  <si>
    <t>3:20-29</t>
  </si>
  <si>
    <t>15:02/M</t>
  </si>
  <si>
    <t>LIBERTY PA</t>
  </si>
  <si>
    <t>2:40-49</t>
  </si>
  <si>
    <t>15:03/M</t>
  </si>
  <si>
    <t>FAIRLESS HILLS PA</t>
  </si>
  <si>
    <t>15:11/M</t>
  </si>
  <si>
    <t>KINGSTON ON</t>
  </si>
  <si>
    <t>3:40-49</t>
  </si>
  <si>
    <t>15:16/M</t>
  </si>
  <si>
    <t>NEWTON NJ</t>
  </si>
  <si>
    <t>6:30-39</t>
  </si>
  <si>
    <t>15:31/M</t>
  </si>
  <si>
    <t>7:30-39</t>
  </si>
  <si>
    <t>RICHMOND VA</t>
  </si>
  <si>
    <t>1:50-59</t>
  </si>
  <si>
    <t>15:35/M</t>
  </si>
  <si>
    <t>4:40-49</t>
  </si>
  <si>
    <t>15:36/M</t>
  </si>
  <si>
    <t>NORTH KINGSTOWN RI</t>
  </si>
  <si>
    <t>5:40-49</t>
  </si>
  <si>
    <t>16:01/M</t>
  </si>
  <si>
    <t>WALTON NY</t>
  </si>
  <si>
    <t>8:30-39</t>
  </si>
  <si>
    <t>16:03/M</t>
  </si>
  <si>
    <t>SILVER SPRING MD</t>
  </si>
  <si>
    <t>9:30-39</t>
  </si>
  <si>
    <t>16:08/M</t>
  </si>
  <si>
    <t>HUDSONVILLE MI</t>
  </si>
  <si>
    <t>4:20-29</t>
  </si>
  <si>
    <t>16:15/M</t>
  </si>
  <si>
    <t>NORTH WALES PA</t>
  </si>
  <si>
    <t>16:17/M</t>
  </si>
  <si>
    <t>FAIRHAVEN MA</t>
  </si>
  <si>
    <t>10:30-39</t>
  </si>
  <si>
    <t>16:22/M</t>
  </si>
  <si>
    <t>MILAN PA</t>
  </si>
  <si>
    <t>6:40-49</t>
  </si>
  <si>
    <t>16:35/M</t>
  </si>
  <si>
    <t>FAYETTEVILLE PA</t>
  </si>
  <si>
    <t>11:30-39</t>
  </si>
  <si>
    <t>16:37/M</t>
  </si>
  <si>
    <t>WESTFIELD NJ</t>
  </si>
  <si>
    <t>12:30-39</t>
  </si>
  <si>
    <t>BETHESDA MD</t>
  </si>
  <si>
    <t>7:40-49</t>
  </si>
  <si>
    <t>16:46/M</t>
  </si>
  <si>
    <t>KENNETT SQUARE PA</t>
  </si>
  <si>
    <t>8:40-49</t>
  </si>
  <si>
    <t>16:49/M</t>
  </si>
  <si>
    <t>PORTLAND OR</t>
  </si>
  <si>
    <t>9:40-49</t>
  </si>
  <si>
    <t>16:53/M</t>
  </si>
  <si>
    <t>MÄNNEDORF</t>
  </si>
  <si>
    <t>10:40-49</t>
  </si>
  <si>
    <t>16:55/M</t>
  </si>
  <si>
    <t>NASHVILLE TN</t>
  </si>
  <si>
    <t>16:58/M</t>
  </si>
  <si>
    <t>CONCORD MA</t>
  </si>
  <si>
    <t>13:30-39</t>
  </si>
  <si>
    <t>17:03/M</t>
  </si>
  <si>
    <t>WORTHINGTON MA</t>
  </si>
  <si>
    <t>11:40-49</t>
  </si>
  <si>
    <t>17:05/M</t>
  </si>
  <si>
    <t>14:30-39</t>
  </si>
  <si>
    <t>17:11/M</t>
  </si>
  <si>
    <t>BARRE VT</t>
  </si>
  <si>
    <t>12:40-49</t>
  </si>
  <si>
    <t>17:13/M</t>
  </si>
  <si>
    <t>PORT MATILDA PA</t>
  </si>
  <si>
    <t>15:30-39</t>
  </si>
  <si>
    <t>BROCKWAY PA</t>
  </si>
  <si>
    <t>2:50-59</t>
  </si>
  <si>
    <t>17:14/M</t>
  </si>
  <si>
    <t>ROCHESTER MN</t>
  </si>
  <si>
    <t>13:40-49</t>
  </si>
  <si>
    <t>17:15/M</t>
  </si>
  <si>
    <t>SALEM CT</t>
  </si>
  <si>
    <t>16:30-39</t>
  </si>
  <si>
    <t>17:18/M</t>
  </si>
  <si>
    <t>BOALSBURG PA</t>
  </si>
  <si>
    <t>5:20-29</t>
  </si>
  <si>
    <t>17:21/M</t>
  </si>
  <si>
    <t>BETHLEHEM PA</t>
  </si>
  <si>
    <t>14:40-49</t>
  </si>
  <si>
    <t>17:22/M</t>
  </si>
  <si>
    <t>17:27/M</t>
  </si>
  <si>
    <t>WATSONTOWN PA</t>
  </si>
  <si>
    <t>15:40-49</t>
  </si>
  <si>
    <t>17:32/M</t>
  </si>
  <si>
    <t>FORT LAUDERDALE FL</t>
  </si>
  <si>
    <t>3:50-59</t>
  </si>
  <si>
    <t>17:36/M</t>
  </si>
  <si>
    <t>WEST CHESTER PA</t>
  </si>
  <si>
    <t>4:50-59</t>
  </si>
  <si>
    <t>17:40/M</t>
  </si>
  <si>
    <t>17:44/M</t>
  </si>
  <si>
    <t>MOUNT ROYAL NJ</t>
  </si>
  <si>
    <t>16:40-49</t>
  </si>
  <si>
    <t>17:48/M</t>
  </si>
  <si>
    <t>CHAGRIN FALLS OH</t>
  </si>
  <si>
    <t>HILLSIDE NJ</t>
  </si>
  <si>
    <t>17:30-39</t>
  </si>
  <si>
    <t>17:50/M</t>
  </si>
  <si>
    <t>BALTIMORE MD</t>
  </si>
  <si>
    <t>17:40-49</t>
  </si>
  <si>
    <t>17:59/M</t>
  </si>
  <si>
    <t>MORGANTOWN WV</t>
  </si>
  <si>
    <t>18:40-49</t>
  </si>
  <si>
    <t>EASLEY SC</t>
  </si>
  <si>
    <t>18:30-39</t>
  </si>
  <si>
    <t>18:06/M</t>
  </si>
  <si>
    <t>PITTSBURGH PA</t>
  </si>
  <si>
    <t>6:20-29</t>
  </si>
  <si>
    <t>18:19/M</t>
  </si>
  <si>
    <t>NEW MARKET MD</t>
  </si>
  <si>
    <t>19:40-49</t>
  </si>
  <si>
    <t>18:21/M</t>
  </si>
  <si>
    <t>NEWPORT NEWS VA</t>
  </si>
  <si>
    <t>20:40-49</t>
  </si>
  <si>
    <t>18:31/M</t>
  </si>
  <si>
    <t>EAST ISLIP NY</t>
  </si>
  <si>
    <t>19:30-39</t>
  </si>
  <si>
    <t>18:35/M</t>
  </si>
  <si>
    <t>HIGHLAND FALLS NY</t>
  </si>
  <si>
    <t>7:20-29</t>
  </si>
  <si>
    <t>18:36/M</t>
  </si>
  <si>
    <t>SHOREHAM NY</t>
  </si>
  <si>
    <t>18:37/M</t>
  </si>
  <si>
    <t>NEWTOWN SQUARE PA</t>
  </si>
  <si>
    <t>8:20-29</t>
  </si>
  <si>
    <t>18:39/M</t>
  </si>
  <si>
    <t>DALLASTOWN PA</t>
  </si>
  <si>
    <t>18:46/M</t>
  </si>
  <si>
    <t>SOMERVILLE MA</t>
  </si>
  <si>
    <t>21:40-49</t>
  </si>
  <si>
    <t>18:49/M</t>
  </si>
  <si>
    <t>20:30-39</t>
  </si>
  <si>
    <t>18:57/M</t>
  </si>
  <si>
    <t>9:20-29</t>
  </si>
  <si>
    <t>18:59/M</t>
  </si>
  <si>
    <t>BROOKLYN NY</t>
  </si>
  <si>
    <t>22:40-49</t>
  </si>
  <si>
    <t>19:00/M</t>
  </si>
  <si>
    <t>ACTON ON</t>
  </si>
  <si>
    <t>23:40-49</t>
  </si>
  <si>
    <t>LANCASTER PA</t>
  </si>
  <si>
    <t>21:30-39</t>
  </si>
  <si>
    <t>19:02/M</t>
  </si>
  <si>
    <t>ALLENTOWN PA</t>
  </si>
  <si>
    <t>22:30-39</t>
  </si>
  <si>
    <t>19:04/M</t>
  </si>
  <si>
    <t>CHERRY HILL NJ</t>
  </si>
  <si>
    <t>5:50-59</t>
  </si>
  <si>
    <t>19:10/M</t>
  </si>
  <si>
    <t>24:40-49</t>
  </si>
  <si>
    <t>REYNOLDSBURG OH</t>
  </si>
  <si>
    <t>6:50-59</t>
  </si>
  <si>
    <t>19:12/M</t>
  </si>
  <si>
    <t>SINKING SPRING PA</t>
  </si>
  <si>
    <t>25:40-49</t>
  </si>
  <si>
    <t>19:14/M</t>
  </si>
  <si>
    <t>NEW YORK NY</t>
  </si>
  <si>
    <t>26:40-49</t>
  </si>
  <si>
    <t>MALVERN PA</t>
  </si>
  <si>
    <t>19:15/M</t>
  </si>
  <si>
    <t>QUÉBEC QC</t>
  </si>
  <si>
    <t>7:50-59</t>
  </si>
  <si>
    <t>19:17/M</t>
  </si>
  <si>
    <t>LEBANON PA</t>
  </si>
  <si>
    <t>19:19/M</t>
  </si>
  <si>
    <t>27:40-49</t>
  </si>
  <si>
    <t>19:23/M</t>
  </si>
  <si>
    <t>SIMS NC</t>
  </si>
  <si>
    <t>28:40-49</t>
  </si>
  <si>
    <t>MIDDLEBURY VT</t>
  </si>
  <si>
    <t>10:20-29</t>
  </si>
  <si>
    <t>19:24/M</t>
  </si>
  <si>
    <t>ONEONTA NY</t>
  </si>
  <si>
    <t>29:40-49</t>
  </si>
  <si>
    <t>19:25/M</t>
  </si>
  <si>
    <t>WILLIAMSPORT PA</t>
  </si>
  <si>
    <t>19:31/M</t>
  </si>
  <si>
    <t>STATE COLLEGE PA</t>
  </si>
  <si>
    <t>30:40-49</t>
  </si>
  <si>
    <t>19:32/M</t>
  </si>
  <si>
    <t>BLOOMSBURG PA</t>
  </si>
  <si>
    <t>8:50-59</t>
  </si>
  <si>
    <t>19:33/M</t>
  </si>
  <si>
    <t>23:30-39</t>
  </si>
  <si>
    <t>BUFFALO NY</t>
  </si>
  <si>
    <t>24:30-39</t>
  </si>
  <si>
    <t>19:38/M</t>
  </si>
  <si>
    <t>HARRISON CITY PA</t>
  </si>
  <si>
    <t>31:40-49</t>
  </si>
  <si>
    <t>19:40/M</t>
  </si>
  <si>
    <t>GLENSIDE PA</t>
  </si>
  <si>
    <t>9:50-59</t>
  </si>
  <si>
    <t>MONTOURSVILLE PA</t>
  </si>
  <si>
    <t>10:50-59</t>
  </si>
  <si>
    <t>19:41/M</t>
  </si>
  <si>
    <t>ROCHESTER NY</t>
  </si>
  <si>
    <t>32:40-49</t>
  </si>
  <si>
    <t>19:42/M</t>
  </si>
  <si>
    <t>FARMINGDALE NY</t>
  </si>
  <si>
    <t>25:30-39</t>
  </si>
  <si>
    <t>19:44/M</t>
  </si>
  <si>
    <t>33:40-49</t>
  </si>
  <si>
    <t>19:45/M</t>
  </si>
  <si>
    <t>DRESHER PA</t>
  </si>
  <si>
    <t>34:40-49</t>
  </si>
  <si>
    <t>35:40-49</t>
  </si>
  <si>
    <t>19:47/M</t>
  </si>
  <si>
    <t>LEMONT PA</t>
  </si>
  <si>
    <t>36:40-49</t>
  </si>
  <si>
    <t>LENHARTSVILLE PA</t>
  </si>
  <si>
    <t>19:49/M</t>
  </si>
  <si>
    <t>BANGOR PA</t>
  </si>
  <si>
    <t>19:51/M</t>
  </si>
  <si>
    <t>LOGANTON PA</t>
  </si>
  <si>
    <t>11:50-59</t>
  </si>
  <si>
    <t>READING PA</t>
  </si>
  <si>
    <t>12:50-59</t>
  </si>
  <si>
    <t>19:55/M</t>
  </si>
  <si>
    <t>PHILADELPHIA PA</t>
  </si>
  <si>
    <t>13:50-59</t>
  </si>
  <si>
    <t>19:57/M</t>
  </si>
  <si>
    <t>JOHNSTOWN PA</t>
  </si>
  <si>
    <t>26:30-39</t>
  </si>
  <si>
    <t>20:09/M</t>
  </si>
  <si>
    <t>RARITAN NJ</t>
  </si>
  <si>
    <t>MIDDLETOWN NY</t>
  </si>
  <si>
    <t>27:30-39</t>
  </si>
  <si>
    <t>20:10/M</t>
  </si>
  <si>
    <t>PERKASIE PA</t>
  </si>
  <si>
    <t>37:40-49</t>
  </si>
  <si>
    <t>20:11/M</t>
  </si>
  <si>
    <t>DU BOISDUBOIS PA</t>
  </si>
  <si>
    <t>28:30-39</t>
  </si>
  <si>
    <t>HARLEYSVILLE PA</t>
  </si>
  <si>
    <t>14:50-59</t>
  </si>
  <si>
    <t>WEST HENRIETTA NY</t>
  </si>
  <si>
    <t>LEESBURG VA</t>
  </si>
  <si>
    <t>29:30-39</t>
  </si>
  <si>
    <t>20:12/M</t>
  </si>
  <si>
    <t>YARDLEY PA</t>
  </si>
  <si>
    <t>38:40-49</t>
  </si>
  <si>
    <t>20:16/M</t>
  </si>
  <si>
    <t>EDINBORO PA</t>
  </si>
  <si>
    <t>30:30-39</t>
  </si>
  <si>
    <t>20:17/M</t>
  </si>
  <si>
    <t>SHIPPENSBURG PA</t>
  </si>
  <si>
    <t>31:30-39</t>
  </si>
  <si>
    <t>20:22/M</t>
  </si>
  <si>
    <t>WOOLRICH PA</t>
  </si>
  <si>
    <t>11:20-29</t>
  </si>
  <si>
    <t>20:23/M</t>
  </si>
  <si>
    <t>WATERBURY CT</t>
  </si>
  <si>
    <t>32:30-39</t>
  </si>
  <si>
    <t>EXTON PA</t>
  </si>
  <si>
    <t>39:40-49</t>
  </si>
  <si>
    <t>20:30/M</t>
  </si>
  <si>
    <t>12:20-29</t>
  </si>
  <si>
    <t>20:32/M</t>
  </si>
  <si>
    <t>GRAYSON KY</t>
  </si>
  <si>
    <t>40:40-49</t>
  </si>
  <si>
    <t>20:36/M</t>
  </si>
  <si>
    <t>KING OF PRUSSIA PA</t>
  </si>
  <si>
    <t>33:30-39</t>
  </si>
  <si>
    <t>ELIZABETH CITY NC</t>
  </si>
  <si>
    <t>15:50-59</t>
  </si>
  <si>
    <t>20:38/M</t>
  </si>
  <si>
    <t>PHOENIXVILLE PA</t>
  </si>
  <si>
    <t>41:40-49</t>
  </si>
  <si>
    <t>20:40/M</t>
  </si>
  <si>
    <t>ANNANDALE VA</t>
  </si>
  <si>
    <t>20:41/M</t>
  </si>
  <si>
    <t>DORCHESTER MA</t>
  </si>
  <si>
    <t>42:40-49</t>
  </si>
  <si>
    <t>20:42/M</t>
  </si>
  <si>
    <t>MANCHESTER MD</t>
  </si>
  <si>
    <t>20:43/M</t>
  </si>
  <si>
    <t>DOUGLASSVILLE PA</t>
  </si>
  <si>
    <t>34:30-39</t>
  </si>
  <si>
    <t>AS-1</t>
  </si>
  <si>
    <t>AS-2</t>
  </si>
  <si>
    <t>AS-3</t>
  </si>
  <si>
    <t>AS-4</t>
  </si>
  <si>
    <t>AS-5</t>
  </si>
  <si>
    <t>AS-6</t>
  </si>
  <si>
    <t>AS-7</t>
  </si>
  <si>
    <t>AS-8</t>
  </si>
  <si>
    <t>AS-9</t>
  </si>
  <si>
    <t>AS-10</t>
  </si>
  <si>
    <t>AS-11</t>
  </si>
  <si>
    <t>AS-12</t>
  </si>
  <si>
    <t>AS-13</t>
  </si>
  <si>
    <t>AS-14</t>
  </si>
  <si>
    <t>AS-15</t>
  </si>
  <si>
    <t>AS-16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</si>
</sst>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&quot;:&quot;mm&quot;:&quot;ssa/p"/>
    <numFmt numFmtId="165" formatCode="h&quot;:&quot;mma/p"/>
    <numFmt numFmtId="166" formatCode="m/d/yyyy h:mm:ss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color rgb="FF0B5394"/>
      <name val="Arial"/>
    </font>
    <font>
      <color theme="1"/>
      <name val="Arial"/>
    </font>
    <font>
      <sz val="11.0"/>
      <color theme="1"/>
      <name val="Calibri"/>
    </font>
    <font>
      <b/>
      <sz val="12.0"/>
      <color rgb="FF0B5394"/>
      <name val="Arial"/>
    </font>
    <font>
      <color rgb="FF000000"/>
      <name val="Arial"/>
    </font>
    <font>
      <i/>
      <color theme="1"/>
      <name val="Arial"/>
    </font>
    <font>
      <i/>
      <color rgb="FF000000"/>
      <name val="Arial"/>
    </font>
    <font>
      <b/>
      <sz val="11.0"/>
      <color theme="1"/>
      <name val="Calibri"/>
    </font>
    <font>
      <sz val="9.0"/>
      <color rgb="FF1F1F1F"/>
      <name val="Arial"/>
    </font>
    <font>
      <b/>
      <sz val="11.0"/>
      <color rgb="FFFFFFFF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9D08E"/>
      </top>
      <bottom style="thin">
        <color rgb="FFA9D08E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A9D08E"/>
      </left>
      <top style="thin">
        <color rgb="FFA9D08E"/>
      </top>
      <bottom style="thin">
        <color rgb="FFA9D08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  <xf borderId="0" fillId="0" fontId="3" numFmtId="20" xfId="0" applyAlignment="1" applyFont="1" applyNumberFormat="1">
      <alignment horizontal="center" vertical="center"/>
    </xf>
    <xf borderId="6" fillId="0" fontId="3" numFmtId="2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6" numFmtId="20" xfId="0" applyAlignment="1" applyFont="1" applyNumberFormat="1">
      <alignment horizontal="center" vertical="bottom"/>
    </xf>
    <xf borderId="6" fillId="0" fontId="6" numFmtId="20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2" fontId="3" numFmtId="20" xfId="0" applyAlignment="1" applyFill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20" xfId="0" applyAlignment="1" applyFont="1" applyNumberFormat="1">
      <alignment horizontal="center"/>
    </xf>
    <xf borderId="6" fillId="0" fontId="6" numFmtId="20" xfId="0" applyAlignment="1" applyBorder="1" applyFont="1" applyNumberFormat="1">
      <alignment horizontal="center"/>
    </xf>
    <xf borderId="0" fillId="0" fontId="3" numFmtId="20" xfId="0" applyAlignment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center"/>
    </xf>
    <xf borderId="0" fillId="2" fontId="6" numFmtId="0" xfId="0" applyAlignment="1" applyFont="1">
      <alignment horizontal="center" vertical="bottom"/>
    </xf>
    <xf borderId="0" fillId="2" fontId="6" numFmtId="20" xfId="0" applyAlignment="1" applyFont="1" applyNumberFormat="1">
      <alignment horizontal="center" vertical="bottom"/>
    </xf>
    <xf borderId="6" fillId="2" fontId="6" numFmtId="20" xfId="0" applyAlignment="1" applyBorder="1" applyFont="1" applyNumberFormat="1">
      <alignment horizontal="center" vertical="bottom"/>
    </xf>
    <xf borderId="0" fillId="0" fontId="3" numFmtId="20" xfId="0" applyAlignment="1" applyFont="1" applyNumberFormat="1">
      <alignment horizontal="center"/>
    </xf>
    <xf borderId="6" fillId="2" fontId="7" numFmtId="20" xfId="0" applyAlignment="1" applyBorder="1" applyFont="1" applyNumberForma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20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/>
    </xf>
    <xf borderId="6" fillId="0" fontId="3" numFmtId="20" xfId="0" applyAlignment="1" applyBorder="1" applyFont="1" applyNumberFormat="1">
      <alignment horizontal="center"/>
    </xf>
    <xf borderId="0" fillId="2" fontId="3" numFmtId="0" xfId="0" applyAlignment="1" applyFont="1">
      <alignment horizontal="center"/>
    </xf>
    <xf borderId="5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0" fillId="2" fontId="7" numFmtId="20" xfId="0" applyAlignment="1" applyFont="1" applyNumberFormat="1">
      <alignment horizontal="center" vertical="center"/>
    </xf>
    <xf borderId="0" fillId="2" fontId="6" numFmtId="0" xfId="0" applyAlignment="1" applyFont="1">
      <alignment horizontal="center"/>
    </xf>
    <xf borderId="6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center" vertical="bottom"/>
    </xf>
    <xf borderId="0" fillId="2" fontId="8" numFmtId="20" xfId="0" applyAlignment="1" applyFont="1" applyNumberFormat="1">
      <alignment horizontal="center"/>
    </xf>
    <xf borderId="0" fillId="3" fontId="3" numFmtId="0" xfId="0" applyAlignment="1" applyFill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6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6" fillId="0" fontId="6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0" fillId="3" fontId="3" numFmtId="0" xfId="0" applyAlignment="1" applyFont="1">
      <alignment horizontal="center"/>
    </xf>
    <xf borderId="0" fillId="3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3" numFmtId="46" xfId="0" applyAlignment="1" applyFont="1" applyNumberForma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20" xfId="0" applyAlignment="1" applyFont="1" applyNumberFormat="1">
      <alignment horizontal="right" vertical="bottom"/>
    </xf>
    <xf borderId="6" fillId="0" fontId="6" numFmtId="20" xfId="0" applyAlignment="1" applyBorder="1" applyFont="1" applyNumberFormat="1">
      <alignment horizontal="right" vertical="bottom"/>
    </xf>
    <xf borderId="0" fillId="0" fontId="3" numFmtId="0" xfId="0" applyFont="1"/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6" fillId="0" fontId="6" numFmtId="0" xfId="0" applyBorder="1" applyFont="1"/>
    <xf borderId="0" fillId="0" fontId="6" numFmtId="0" xfId="0" applyFont="1"/>
    <xf borderId="6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vertical="bottom"/>
    </xf>
    <xf borderId="0" fillId="0" fontId="3" numFmtId="20" xfId="0" applyFont="1" applyNumberFormat="1"/>
    <xf borderId="6" fillId="0" fontId="3" numFmtId="20" xfId="0" applyBorder="1" applyFont="1" applyNumberFormat="1"/>
    <xf borderId="0" fillId="4" fontId="3" numFmtId="0" xfId="0" applyFill="1" applyFont="1"/>
    <xf borderId="6" fillId="4" fontId="3" numFmtId="0" xfId="0" applyBorder="1" applyFont="1"/>
    <xf borderId="5" fillId="0" fontId="6" numFmtId="0" xfId="0" applyAlignment="1" applyBorder="1" applyFont="1">
      <alignment horizontal="right" vertical="bottom"/>
    </xf>
    <xf borderId="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right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3" fillId="0" fontId="3" numFmtId="20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right" vertical="bottom"/>
    </xf>
    <xf borderId="1" fillId="0" fontId="6" numFmtId="20" xfId="0" applyAlignment="1" applyBorder="1" applyFont="1" applyNumberFormat="1">
      <alignment horizontal="right" vertical="bottom"/>
    </xf>
    <xf borderId="3" fillId="0" fontId="6" numFmtId="20" xfId="0" applyAlignment="1" applyBorder="1" applyFont="1" applyNumberFormat="1">
      <alignment horizontal="right" vertical="bottom"/>
    </xf>
    <xf borderId="0" fillId="4" fontId="3" numFmtId="0" xfId="0" applyAlignment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3" numFmtId="4" xfId="0" applyAlignment="1" applyFont="1" applyNumberFormat="1">
      <alignment horizontal="center" vertical="center"/>
    </xf>
    <xf borderId="4" fillId="0" fontId="9" numFmtId="0" xfId="0" applyAlignment="1" applyBorder="1" applyFont="1">
      <alignment horizontal="left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0" fillId="0" fontId="3" numFmtId="165" xfId="0" applyAlignment="1" applyFont="1" applyNumberFormat="1">
      <alignment horizontal="center"/>
    </xf>
    <xf borderId="7" fillId="0" fontId="9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46" xfId="0" applyAlignment="1" applyBorder="1" applyFont="1" applyNumberForma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0" fillId="5" fontId="10" numFmtId="166" xfId="0" applyFill="1" applyFont="1" applyNumberFormat="1"/>
    <xf borderId="4" fillId="0" fontId="4" numFmtId="21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7" fillId="6" fontId="11" numFmtId="0" xfId="0" applyAlignment="1" applyBorder="1" applyFill="1" applyFont="1">
      <alignment horizontal="center" shrinkToFit="0" vertical="bottom" wrapText="0"/>
    </xf>
    <xf borderId="4" fillId="6" fontId="11" numFmtId="0" xfId="0" applyAlignment="1" applyBorder="1" applyFont="1">
      <alignment horizontal="left" shrinkToFit="0" vertical="bottom" wrapText="0"/>
    </xf>
    <xf borderId="4" fillId="6" fontId="11" numFmtId="0" xfId="0" applyAlignment="1" applyBorder="1" applyFont="1">
      <alignment horizontal="center" shrinkToFit="0" vertical="bottom" wrapText="0"/>
    </xf>
    <xf borderId="9" fillId="6" fontId="11" numFmtId="0" xfId="0" applyAlignment="1" applyBorder="1" applyFont="1">
      <alignment horizontal="center" shrinkToFit="0" vertical="bottom" wrapText="0"/>
    </xf>
    <xf borderId="7" fillId="7" fontId="12" numFmtId="0" xfId="0" applyAlignment="1" applyBorder="1" applyFill="1" applyFont="1">
      <alignment horizontal="center" shrinkToFit="0" vertical="bottom" wrapText="0"/>
    </xf>
    <xf borderId="4" fillId="7" fontId="12" numFmtId="0" xfId="0" applyAlignment="1" applyBorder="1" applyFont="1">
      <alignment horizontal="left" shrinkToFit="0" vertical="bottom" wrapText="0"/>
    </xf>
    <xf borderId="4" fillId="7" fontId="12" numFmtId="0" xfId="0" applyAlignment="1" applyBorder="1" applyFont="1">
      <alignment horizontal="center" shrinkToFit="0" vertical="bottom" wrapText="0"/>
    </xf>
    <xf borderId="4" fillId="7" fontId="12" numFmtId="21" xfId="0" applyAlignment="1" applyBorder="1" applyFont="1" applyNumberFormat="1">
      <alignment horizontal="center" shrinkToFit="0" vertical="bottom" wrapText="0"/>
    </xf>
    <xf borderId="9" fillId="7" fontId="12" numFmtId="0" xfId="0" applyAlignment="1" applyBorder="1" applyFont="1">
      <alignment horizontal="center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12" numFmtId="21" xfId="0" applyAlignment="1" applyBorder="1" applyFont="1" applyNumberFormat="1">
      <alignment horizontal="center" shrinkToFit="0" vertical="bottom" wrapText="0"/>
    </xf>
    <xf borderId="9" fillId="0" fontId="12" numFmtId="0" xfId="0" applyAlignment="1" applyBorder="1" applyFont="1">
      <alignment horizontal="center" shrinkToFit="0" vertical="bottom" wrapText="0"/>
    </xf>
    <xf borderId="4" fillId="7" fontId="12" numFmtId="46" xfId="0" applyAlignment="1" applyBorder="1" applyFont="1" applyNumberFormat="1">
      <alignment horizontal="center" shrinkToFit="0" vertical="bottom" wrapText="0"/>
    </xf>
    <xf borderId="4" fillId="0" fontId="12" numFmtId="46" xfId="0" applyAlignment="1" applyBorder="1" applyFont="1" applyNumberFormat="1">
      <alignment horizontal="center" shrinkToFit="0" vertical="bottom" wrapText="0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17.5"/>
    <col customWidth="1" min="3" max="3" width="10.13"/>
    <col customWidth="1" min="4" max="4" width="7.25"/>
    <col customWidth="1" min="5" max="5" width="7.75"/>
    <col customWidth="1" min="6" max="7" width="6.88"/>
    <col customWidth="1" min="8" max="9" width="7.75"/>
    <col customWidth="1" min="10" max="10" width="6.88"/>
    <col customWidth="1" min="11" max="11" width="7.75"/>
    <col customWidth="1" min="12" max="13" width="6.88"/>
    <col customWidth="1" min="14" max="14" width="7.75"/>
    <col customWidth="1" min="15" max="16" width="6.88"/>
    <col customWidth="1" min="17" max="17" width="7.75"/>
    <col customWidth="1" min="18" max="19" width="6.88"/>
    <col customWidth="1" min="20" max="20" width="7.75"/>
    <col customWidth="1" min="21" max="22" width="6.88"/>
    <col customWidth="1" min="23" max="23" width="7.75"/>
    <col customWidth="1" min="24" max="25" width="6.88"/>
    <col customWidth="1" min="26" max="26" width="7.75"/>
    <col customWidth="1" min="27" max="28" width="6.88"/>
    <col customWidth="1" min="29" max="29" width="7.75"/>
    <col customWidth="1" min="30" max="31" width="6.88"/>
    <col customWidth="1" min="32" max="33" width="7.75"/>
    <col customWidth="1" min="34" max="34" width="7.88"/>
    <col customWidth="1" min="35" max="35" width="7.75"/>
    <col customWidth="1" min="36" max="36" width="7.5"/>
    <col customWidth="1" min="37" max="37" width="7.63"/>
    <col customWidth="1" min="38" max="38" width="7.75"/>
    <col customWidth="1" min="39" max="39" width="7.5"/>
    <col customWidth="1" min="40" max="40" width="7.63"/>
    <col customWidth="1" min="41" max="41" width="7.75"/>
    <col customWidth="1" min="42" max="42" width="8.13"/>
    <col customWidth="1" min="43" max="43" width="7.63"/>
    <col customWidth="1" min="44" max="44" width="7.75"/>
    <col customWidth="1" min="45" max="45" width="7.88"/>
    <col customWidth="1" min="46" max="46" width="7.63"/>
    <col customWidth="1" min="47" max="47" width="7.75"/>
    <col customWidth="1" min="48" max="49" width="7.63"/>
    <col customWidth="1" min="50" max="50" width="7.75"/>
    <col customWidth="1" min="51" max="52" width="7.63"/>
    <col customWidth="1" min="53" max="53" width="8.63"/>
    <col customWidth="1" min="54" max="54" width="9.25"/>
    <col customWidth="1" min="55" max="55" width="8.25"/>
  </cols>
  <sheetData>
    <row r="1" ht="15.75" customHeight="1">
      <c r="A1" s="1"/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 t="s">
        <v>10</v>
      </c>
      <c r="M1" s="4" t="s">
        <v>11</v>
      </c>
      <c r="N1" s="3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4" t="s">
        <v>17</v>
      </c>
      <c r="T1" s="1" t="s">
        <v>18</v>
      </c>
      <c r="U1" s="1" t="s">
        <v>19</v>
      </c>
      <c r="V1" s="4" t="s">
        <v>20</v>
      </c>
      <c r="W1" s="3" t="s">
        <v>21</v>
      </c>
      <c r="X1" s="1" t="s">
        <v>22</v>
      </c>
      <c r="Y1" s="4" t="s">
        <v>23</v>
      </c>
      <c r="Z1" s="3" t="s">
        <v>24</v>
      </c>
      <c r="AA1" s="1" t="s">
        <v>25</v>
      </c>
      <c r="AB1" s="4" t="s">
        <v>26</v>
      </c>
      <c r="AC1" s="3" t="s">
        <v>27</v>
      </c>
      <c r="AD1" s="1" t="s">
        <v>28</v>
      </c>
      <c r="AE1" s="4" t="s">
        <v>29</v>
      </c>
      <c r="AF1" s="3" t="s">
        <v>30</v>
      </c>
      <c r="AG1" s="1" t="s">
        <v>31</v>
      </c>
      <c r="AH1" s="4" t="s">
        <v>32</v>
      </c>
      <c r="AI1" s="3" t="s">
        <v>33</v>
      </c>
      <c r="AJ1" s="1" t="s">
        <v>34</v>
      </c>
      <c r="AK1" s="4" t="s">
        <v>35</v>
      </c>
      <c r="AL1" s="3" t="s">
        <v>36</v>
      </c>
      <c r="AM1" s="1" t="s">
        <v>37</v>
      </c>
      <c r="AN1" s="4" t="s">
        <v>38</v>
      </c>
      <c r="AO1" s="3" t="s">
        <v>39</v>
      </c>
      <c r="AP1" s="1" t="s">
        <v>40</v>
      </c>
      <c r="AQ1" s="4" t="s">
        <v>41</v>
      </c>
      <c r="AR1" s="3" t="s">
        <v>42</v>
      </c>
      <c r="AS1" s="1" t="s">
        <v>43</v>
      </c>
      <c r="AT1" s="4" t="s">
        <v>44</v>
      </c>
      <c r="AU1" s="3" t="s">
        <v>45</v>
      </c>
      <c r="AV1" s="1" t="s">
        <v>46</v>
      </c>
      <c r="AW1" s="4" t="s">
        <v>47</v>
      </c>
      <c r="AX1" s="3" t="s">
        <v>48</v>
      </c>
      <c r="AY1" s="1" t="s">
        <v>49</v>
      </c>
      <c r="AZ1" s="4" t="s">
        <v>50</v>
      </c>
      <c r="BA1" s="3" t="s">
        <v>51</v>
      </c>
      <c r="BB1" s="5" t="s">
        <v>52</v>
      </c>
      <c r="BC1" s="6"/>
    </row>
    <row r="2" ht="15.75" customHeight="1">
      <c r="A2" s="7"/>
      <c r="B2" s="8" t="s">
        <v>53</v>
      </c>
      <c r="C2" s="9">
        <v>537.0</v>
      </c>
      <c r="D2" s="10" t="s">
        <v>54</v>
      </c>
      <c r="E2" s="11">
        <v>1.0</v>
      </c>
      <c r="F2" s="12">
        <v>0.2513888888888889</v>
      </c>
      <c r="G2" s="13">
        <v>0.2520833333333333</v>
      </c>
      <c r="H2" s="14">
        <v>9.0</v>
      </c>
      <c r="I2" s="15">
        <v>0.29444444444444445</v>
      </c>
      <c r="J2" s="16">
        <v>0.29444444444444445</v>
      </c>
      <c r="K2" s="11">
        <v>3.0</v>
      </c>
      <c r="L2" s="12">
        <v>0.34097222222222223</v>
      </c>
      <c r="M2" s="13">
        <v>0.3423611111111111</v>
      </c>
      <c r="N2" s="17">
        <v>1.0</v>
      </c>
      <c r="O2" s="12">
        <v>0.3951388888888889</v>
      </c>
      <c r="P2" s="12">
        <v>0.3958333333333333</v>
      </c>
      <c r="Q2" s="11">
        <v>1.0</v>
      </c>
      <c r="R2" s="12">
        <v>0.43680555555555556</v>
      </c>
      <c r="S2" s="13">
        <v>0.43680555555555556</v>
      </c>
      <c r="T2" s="18">
        <v>1.0</v>
      </c>
      <c r="U2" s="12">
        <v>0.47708333333333336</v>
      </c>
      <c r="V2" s="13">
        <v>0.47847222222222224</v>
      </c>
      <c r="W2" s="11">
        <v>1.0</v>
      </c>
      <c r="X2" s="12">
        <v>0.5097222222222222</v>
      </c>
      <c r="Y2" s="13">
        <v>0.5111111111111111</v>
      </c>
      <c r="Z2" s="11">
        <v>1.0</v>
      </c>
      <c r="AA2" s="19"/>
      <c r="AB2" s="13">
        <v>0.5743055555555555</v>
      </c>
      <c r="AC2" s="20">
        <v>1.0</v>
      </c>
      <c r="AD2" s="21">
        <v>0.6152777777777778</v>
      </c>
      <c r="AE2" s="22">
        <v>0.6166666666666667</v>
      </c>
      <c r="AF2" s="18">
        <v>1.0</v>
      </c>
      <c r="AG2" s="12">
        <v>0.6791666666666667</v>
      </c>
      <c r="AH2" s="23">
        <v>0.6833333333333333</v>
      </c>
      <c r="AI2" s="11">
        <v>1.0</v>
      </c>
      <c r="AJ2" s="12">
        <v>0.7277777777777777</v>
      </c>
      <c r="AK2" s="13">
        <v>0.7284722222222222</v>
      </c>
      <c r="AL2" s="14">
        <v>1.0</v>
      </c>
      <c r="AM2" s="15">
        <v>0.7868055555555555</v>
      </c>
      <c r="AN2" s="16">
        <v>0.7895833333333333</v>
      </c>
      <c r="AO2" s="11">
        <v>1.0</v>
      </c>
      <c r="AP2" s="12">
        <v>0.8229166666666666</v>
      </c>
      <c r="AQ2" s="13">
        <v>0.8270833333333333</v>
      </c>
      <c r="AR2" s="11">
        <v>1.0</v>
      </c>
      <c r="AS2" s="12">
        <v>0.8736111111111111</v>
      </c>
      <c r="AT2" s="13">
        <v>0.875</v>
      </c>
      <c r="AU2" s="11">
        <v>1.0</v>
      </c>
      <c r="AV2" s="12">
        <v>0.9458333333333333</v>
      </c>
      <c r="AW2" s="13">
        <v>0.95</v>
      </c>
      <c r="AX2" s="11">
        <v>1.0</v>
      </c>
      <c r="AY2" s="12">
        <v>0.004861111111111111</v>
      </c>
      <c r="AZ2" s="13">
        <v>0.007638888888888889</v>
      </c>
      <c r="BA2" s="24">
        <v>1.0</v>
      </c>
      <c r="BB2" s="25">
        <v>44787.0510025463</v>
      </c>
      <c r="BC2" s="12"/>
    </row>
    <row r="3" ht="15.75" customHeight="1">
      <c r="A3" s="7"/>
      <c r="B3" s="8" t="s">
        <v>55</v>
      </c>
      <c r="C3" s="9">
        <v>596.0</v>
      </c>
      <c r="D3" s="10" t="s">
        <v>54</v>
      </c>
      <c r="E3" s="11">
        <v>3.0</v>
      </c>
      <c r="F3" s="12">
        <v>0.2513888888888889</v>
      </c>
      <c r="G3" s="13">
        <v>0.2520833333333333</v>
      </c>
      <c r="H3" s="14">
        <v>1.0</v>
      </c>
      <c r="I3" s="15">
        <v>0.29097222222222224</v>
      </c>
      <c r="J3" s="16">
        <v>0.2916666666666667</v>
      </c>
      <c r="K3" s="11">
        <v>2.0</v>
      </c>
      <c r="L3" s="12">
        <v>0.34097222222222223</v>
      </c>
      <c r="M3" s="13">
        <v>0.34305555555555556</v>
      </c>
      <c r="N3" s="17">
        <v>2.0</v>
      </c>
      <c r="O3" s="12">
        <v>0.40069444444444446</v>
      </c>
      <c r="P3" s="12">
        <v>0.4013888888888889</v>
      </c>
      <c r="Q3" s="11">
        <v>2.0</v>
      </c>
      <c r="R3" s="12">
        <v>0.44722222222222224</v>
      </c>
      <c r="S3" s="13">
        <v>0.44930555555555557</v>
      </c>
      <c r="T3" s="18">
        <v>2.0</v>
      </c>
      <c r="U3" s="12">
        <v>0.5076388888888889</v>
      </c>
      <c r="V3" s="13">
        <v>0.5090277777777777</v>
      </c>
      <c r="W3" s="11">
        <v>2.0</v>
      </c>
      <c r="X3" s="12">
        <v>0.5409722222222222</v>
      </c>
      <c r="Y3" s="13">
        <v>0.5430555555555555</v>
      </c>
      <c r="Z3" s="11">
        <v>2.0</v>
      </c>
      <c r="AA3" s="26"/>
      <c r="AB3" s="13">
        <v>0.6229166666666667</v>
      </c>
      <c r="AC3" s="20">
        <v>2.0</v>
      </c>
      <c r="AD3" s="21">
        <v>0.6673611111111111</v>
      </c>
      <c r="AE3" s="22">
        <v>0.6701388888888888</v>
      </c>
      <c r="AF3" s="18">
        <v>2.0</v>
      </c>
      <c r="AG3" s="12">
        <v>0.7395833333333334</v>
      </c>
      <c r="AH3" s="23">
        <v>0.7458333333333333</v>
      </c>
      <c r="AI3" s="11">
        <v>2.0</v>
      </c>
      <c r="AJ3" s="12">
        <v>0.8</v>
      </c>
      <c r="AK3" s="13">
        <v>0.8013888888888889</v>
      </c>
      <c r="AL3" s="14">
        <v>2.0</v>
      </c>
      <c r="AM3" s="15">
        <v>0.8715277777777778</v>
      </c>
      <c r="AN3" s="16">
        <v>0.8736111111111111</v>
      </c>
      <c r="AO3" s="11">
        <v>2.0</v>
      </c>
      <c r="AP3" s="12">
        <v>0.9152777777777777</v>
      </c>
      <c r="AQ3" s="13">
        <v>0.9201388888888888</v>
      </c>
      <c r="AR3" s="11">
        <v>2.0</v>
      </c>
      <c r="AS3" s="12">
        <v>0.9743055555555555</v>
      </c>
      <c r="AT3" s="13">
        <v>0.9777777777777777</v>
      </c>
      <c r="AU3" s="11">
        <v>2.0</v>
      </c>
      <c r="AV3" s="12">
        <v>0.05694444444444444</v>
      </c>
      <c r="AW3" s="13">
        <v>0.06041666666666667</v>
      </c>
      <c r="AX3" s="11">
        <v>2.0</v>
      </c>
      <c r="AY3" s="12">
        <v>0.11875</v>
      </c>
      <c r="AZ3" s="13">
        <v>0.11944444444444445</v>
      </c>
      <c r="BA3" s="24">
        <v>2.0</v>
      </c>
      <c r="BB3" s="25">
        <v>44787.15804641204</v>
      </c>
      <c r="BC3" s="12"/>
    </row>
    <row r="4" ht="15.75" customHeight="1">
      <c r="A4" s="7"/>
      <c r="B4" s="8" t="s">
        <v>56</v>
      </c>
      <c r="C4" s="9">
        <v>513.0</v>
      </c>
      <c r="D4" s="10" t="s">
        <v>54</v>
      </c>
      <c r="E4" s="11">
        <v>9.0</v>
      </c>
      <c r="F4" s="12">
        <v>0.2520833333333333</v>
      </c>
      <c r="G4" s="13">
        <v>0.25277777777777777</v>
      </c>
      <c r="H4" s="14">
        <v>7.0</v>
      </c>
      <c r="I4" s="15">
        <v>0.2923611111111111</v>
      </c>
      <c r="J4" s="16">
        <v>0.2923611111111111</v>
      </c>
      <c r="K4" s="11">
        <v>9.0</v>
      </c>
      <c r="L4" s="12">
        <v>0.3458333333333333</v>
      </c>
      <c r="M4" s="13">
        <v>0.34791666666666665</v>
      </c>
      <c r="N4" s="17">
        <v>8.0</v>
      </c>
      <c r="O4" s="12">
        <v>0.4166666666666667</v>
      </c>
      <c r="P4" s="12">
        <v>0.41875</v>
      </c>
      <c r="Q4" s="11">
        <v>8.0</v>
      </c>
      <c r="R4" s="12">
        <v>0.47291666666666665</v>
      </c>
      <c r="S4" s="13">
        <v>0.47430555555555554</v>
      </c>
      <c r="T4" s="18">
        <v>10.0</v>
      </c>
      <c r="U4" s="12">
        <v>0.5305555555555556</v>
      </c>
      <c r="V4" s="13">
        <v>0.5326388888888889</v>
      </c>
      <c r="W4" s="11">
        <v>12.0</v>
      </c>
      <c r="X4" s="12">
        <v>0.5743055555555555</v>
      </c>
      <c r="Y4" s="13">
        <v>0.5777777777777777</v>
      </c>
      <c r="Z4" s="11">
        <v>9.0</v>
      </c>
      <c r="AA4" s="19"/>
      <c r="AB4" s="13">
        <v>0.6590277777777778</v>
      </c>
      <c r="AC4" s="20">
        <v>8.0</v>
      </c>
      <c r="AD4" s="21">
        <v>0.70625</v>
      </c>
      <c r="AE4" s="22">
        <v>0.7097222222222223</v>
      </c>
      <c r="AF4" s="18">
        <v>8.0</v>
      </c>
      <c r="AG4" s="12">
        <v>0.7833333333333333</v>
      </c>
      <c r="AH4" s="23">
        <v>0.7868055555555555</v>
      </c>
      <c r="AI4" s="11">
        <v>7.0</v>
      </c>
      <c r="AJ4" s="12">
        <v>0.8409722222222222</v>
      </c>
      <c r="AK4" s="13">
        <v>0.84375</v>
      </c>
      <c r="AL4" s="14">
        <v>5.0</v>
      </c>
      <c r="AM4" s="15">
        <v>0.9118055555555555</v>
      </c>
      <c r="AN4" s="16">
        <v>0.9173611111111111</v>
      </c>
      <c r="AO4" s="11">
        <v>6.0</v>
      </c>
      <c r="AP4" s="12">
        <v>0.9631944444444445</v>
      </c>
      <c r="AQ4" s="13">
        <v>0.9666666666666667</v>
      </c>
      <c r="AR4" s="11">
        <v>4.0</v>
      </c>
      <c r="AS4" s="12">
        <v>0.02013888888888889</v>
      </c>
      <c r="AT4" s="13">
        <v>0.02361111111111111</v>
      </c>
      <c r="AU4" s="11">
        <v>4.0</v>
      </c>
      <c r="AV4" s="12">
        <v>0.10625</v>
      </c>
      <c r="AW4" s="13">
        <v>0.11041666666666666</v>
      </c>
      <c r="AX4" s="11">
        <v>3.0</v>
      </c>
      <c r="AY4" s="12">
        <v>0.1638888888888889</v>
      </c>
      <c r="AZ4" s="13">
        <v>0.16458333333333333</v>
      </c>
      <c r="BA4" s="24">
        <v>3.0</v>
      </c>
      <c r="BB4" s="25">
        <v>44787.19941886574</v>
      </c>
      <c r="BC4" s="12"/>
    </row>
    <row r="5" ht="15.75" customHeight="1">
      <c r="A5" s="7"/>
      <c r="B5" s="8" t="s">
        <v>57</v>
      </c>
      <c r="C5" s="9">
        <v>603.0</v>
      </c>
      <c r="D5" s="10" t="s">
        <v>54</v>
      </c>
      <c r="E5" s="11">
        <v>6.0</v>
      </c>
      <c r="F5" s="12">
        <v>0.2520833333333333</v>
      </c>
      <c r="G5" s="13">
        <v>0.25277777777777777</v>
      </c>
      <c r="H5" s="14">
        <v>6.0</v>
      </c>
      <c r="I5" s="15">
        <v>0.2923611111111111</v>
      </c>
      <c r="J5" s="16">
        <v>0.2923611111111111</v>
      </c>
      <c r="K5" s="11">
        <v>8.0</v>
      </c>
      <c r="L5" s="12">
        <v>0.3458333333333333</v>
      </c>
      <c r="M5" s="13">
        <v>0.34791666666666665</v>
      </c>
      <c r="N5" s="17">
        <v>9.0</v>
      </c>
      <c r="O5" s="12">
        <v>0.4166666666666667</v>
      </c>
      <c r="P5" s="12">
        <v>0.41875</v>
      </c>
      <c r="Q5" s="11">
        <v>9.0</v>
      </c>
      <c r="R5" s="12">
        <v>0.47291666666666665</v>
      </c>
      <c r="S5" s="13">
        <v>0.475</v>
      </c>
      <c r="T5" s="18">
        <v>8.0</v>
      </c>
      <c r="U5" s="12">
        <v>0.5229166666666667</v>
      </c>
      <c r="V5" s="13">
        <v>0.525</v>
      </c>
      <c r="W5" s="11">
        <v>8.0</v>
      </c>
      <c r="X5" s="12">
        <v>0.5590277777777778</v>
      </c>
      <c r="Y5" s="13">
        <v>0.5631944444444444</v>
      </c>
      <c r="Z5" s="11">
        <v>7.0</v>
      </c>
      <c r="AA5" s="19"/>
      <c r="AB5" s="13">
        <v>0.6465277777777778</v>
      </c>
      <c r="AC5" s="20">
        <v>7.0</v>
      </c>
      <c r="AD5" s="21">
        <v>0.7006944444444444</v>
      </c>
      <c r="AE5" s="22">
        <v>0.7069444444444445</v>
      </c>
      <c r="AF5" s="18">
        <v>7.0</v>
      </c>
      <c r="AG5" s="12">
        <v>0.7833333333333333</v>
      </c>
      <c r="AH5" s="23">
        <v>0.7930555555555555</v>
      </c>
      <c r="AI5" s="11">
        <v>8.0</v>
      </c>
      <c r="AJ5" s="12">
        <v>0.8486111111111111</v>
      </c>
      <c r="AK5" s="13">
        <v>0.8534722222222222</v>
      </c>
      <c r="AL5" s="14">
        <v>7.0</v>
      </c>
      <c r="AM5" s="15">
        <v>0.9243055555555556</v>
      </c>
      <c r="AN5" s="16">
        <v>0.9270833333333334</v>
      </c>
      <c r="AO5" s="11">
        <v>7.0</v>
      </c>
      <c r="AP5" s="12">
        <v>0.9722222222222222</v>
      </c>
      <c r="AQ5" s="13">
        <v>0.9770833333333333</v>
      </c>
      <c r="AR5" s="11">
        <v>6.0</v>
      </c>
      <c r="AS5" s="12">
        <v>0.034722222222222224</v>
      </c>
      <c r="AT5" s="13">
        <v>0.03888888888888889</v>
      </c>
      <c r="AU5" s="11">
        <v>6.0</v>
      </c>
      <c r="AV5" s="12">
        <v>0.12361111111111112</v>
      </c>
      <c r="AW5" s="13">
        <v>0.12638888888888888</v>
      </c>
      <c r="AX5" s="11">
        <v>6.0</v>
      </c>
      <c r="AY5" s="12">
        <v>0.17777777777777778</v>
      </c>
      <c r="AZ5" s="13">
        <v>0.17777777777777778</v>
      </c>
      <c r="BA5" s="24">
        <v>4.0</v>
      </c>
      <c r="BB5" s="25">
        <v>44787.20655231482</v>
      </c>
      <c r="BC5" s="12"/>
    </row>
    <row r="6" ht="15.75" customHeight="1">
      <c r="A6" s="7"/>
      <c r="B6" s="8" t="s">
        <v>58</v>
      </c>
      <c r="C6" s="9">
        <v>689.0</v>
      </c>
      <c r="D6" s="10" t="s">
        <v>54</v>
      </c>
      <c r="E6" s="11">
        <v>12.0</v>
      </c>
      <c r="F6" s="12">
        <v>0.25416666666666665</v>
      </c>
      <c r="G6" s="13">
        <v>0.25416666666666665</v>
      </c>
      <c r="H6" s="27"/>
      <c r="I6" s="28"/>
      <c r="J6" s="29"/>
      <c r="K6" s="11">
        <v>13.0</v>
      </c>
      <c r="L6" s="12">
        <v>0.35555555555555557</v>
      </c>
      <c r="M6" s="13">
        <v>0.3590277777777778</v>
      </c>
      <c r="N6" s="17">
        <v>14.0</v>
      </c>
      <c r="O6" s="12">
        <v>0.4284722222222222</v>
      </c>
      <c r="P6" s="12">
        <v>0.42916666666666664</v>
      </c>
      <c r="Q6" s="11">
        <v>14.0</v>
      </c>
      <c r="R6" s="12">
        <v>0.4895833333333333</v>
      </c>
      <c r="S6" s="13">
        <v>0.4909722222222222</v>
      </c>
      <c r="T6" s="18">
        <v>13.0</v>
      </c>
      <c r="U6" s="12">
        <v>0.54375</v>
      </c>
      <c r="V6" s="13">
        <v>0.5444444444444444</v>
      </c>
      <c r="W6" s="11">
        <v>13.0</v>
      </c>
      <c r="X6" s="12">
        <v>0.5791666666666667</v>
      </c>
      <c r="Y6" s="13">
        <v>0.5868055555555556</v>
      </c>
      <c r="Z6" s="11">
        <v>10.0</v>
      </c>
      <c r="AA6" s="19"/>
      <c r="AB6" s="13">
        <v>0.6701388888888888</v>
      </c>
      <c r="AC6" s="20">
        <v>10.0</v>
      </c>
      <c r="AD6" s="21">
        <v>0.7173611111111111</v>
      </c>
      <c r="AE6" s="22">
        <v>0.7194444444444444</v>
      </c>
      <c r="AF6" s="18">
        <v>9.0</v>
      </c>
      <c r="AG6" s="12">
        <v>0.7916666666666666</v>
      </c>
      <c r="AH6" s="23">
        <v>0.7993055555555556</v>
      </c>
      <c r="AI6" s="11">
        <v>9.0</v>
      </c>
      <c r="AJ6" s="12">
        <v>0.8541666666666666</v>
      </c>
      <c r="AK6" s="13">
        <v>0.8576388888888888</v>
      </c>
      <c r="AL6" s="14">
        <v>6.0</v>
      </c>
      <c r="AM6" s="15">
        <v>0.9229166666666667</v>
      </c>
      <c r="AN6" s="16">
        <v>0.925</v>
      </c>
      <c r="AO6" s="11">
        <v>5.0</v>
      </c>
      <c r="AP6" s="12">
        <v>0.9625</v>
      </c>
      <c r="AQ6" s="13">
        <v>0.9680555555555556</v>
      </c>
      <c r="AR6" s="11">
        <v>5.0</v>
      </c>
      <c r="AS6" s="12">
        <v>0.022222222222222223</v>
      </c>
      <c r="AT6" s="13">
        <v>0.025694444444444443</v>
      </c>
      <c r="AU6" s="11">
        <v>5.0</v>
      </c>
      <c r="AV6" s="12">
        <v>0.10694444444444444</v>
      </c>
      <c r="AW6" s="13">
        <v>0.1125</v>
      </c>
      <c r="AX6" s="11">
        <v>5.0</v>
      </c>
      <c r="AY6" s="12">
        <v>0.1763888888888889</v>
      </c>
      <c r="AZ6" s="13">
        <v>0.17708333333333334</v>
      </c>
      <c r="BA6" s="24">
        <v>5.0</v>
      </c>
      <c r="BB6" s="25">
        <v>44787.21314699074</v>
      </c>
      <c r="BC6" s="12"/>
    </row>
    <row r="7" ht="15.75" customHeight="1">
      <c r="A7" s="7"/>
      <c r="B7" s="8" t="s">
        <v>59</v>
      </c>
      <c r="C7" s="9">
        <v>620.0</v>
      </c>
      <c r="D7" s="10" t="s">
        <v>54</v>
      </c>
      <c r="E7" s="11">
        <v>10.0</v>
      </c>
      <c r="F7" s="12">
        <v>0.2520833333333333</v>
      </c>
      <c r="G7" s="13">
        <v>0.25277777777777777</v>
      </c>
      <c r="H7" s="14">
        <v>8.0</v>
      </c>
      <c r="I7" s="15">
        <v>0.2923611111111111</v>
      </c>
      <c r="J7" s="16">
        <v>0.2923611111111111</v>
      </c>
      <c r="K7" s="11">
        <v>6.0</v>
      </c>
      <c r="L7" s="12">
        <v>0.34444444444444444</v>
      </c>
      <c r="M7" s="13">
        <v>0.34652777777777777</v>
      </c>
      <c r="N7" s="17">
        <v>7.0</v>
      </c>
      <c r="O7" s="12">
        <v>0.41597222222222224</v>
      </c>
      <c r="P7" s="12">
        <v>0.4166666666666667</v>
      </c>
      <c r="Q7" s="11">
        <v>7.0</v>
      </c>
      <c r="R7" s="12">
        <v>0.4708333333333333</v>
      </c>
      <c r="S7" s="13">
        <v>0.4722222222222222</v>
      </c>
      <c r="T7" s="18">
        <v>7.0</v>
      </c>
      <c r="U7" s="12">
        <v>0.5194444444444445</v>
      </c>
      <c r="V7" s="13">
        <v>0.5208333333333334</v>
      </c>
      <c r="W7" s="11">
        <v>7.0</v>
      </c>
      <c r="X7" s="12">
        <v>0.5527777777777778</v>
      </c>
      <c r="Y7" s="13">
        <v>0.5576388888888889</v>
      </c>
      <c r="Z7" s="11">
        <v>6.0</v>
      </c>
      <c r="AA7" s="19"/>
      <c r="AB7" s="13">
        <v>0.6430555555555556</v>
      </c>
      <c r="AC7" s="20">
        <v>5.0</v>
      </c>
      <c r="AD7" s="21">
        <v>0.6916666666666667</v>
      </c>
      <c r="AE7" s="22">
        <v>0.69375</v>
      </c>
      <c r="AF7" s="18">
        <v>5.0</v>
      </c>
      <c r="AG7" s="12">
        <v>0.7673611111111112</v>
      </c>
      <c r="AH7" s="23">
        <v>0.7701388888888889</v>
      </c>
      <c r="AI7" s="11">
        <v>4.0</v>
      </c>
      <c r="AJ7" s="12">
        <v>0.8256944444444444</v>
      </c>
      <c r="AK7" s="13">
        <v>0.8270833333333333</v>
      </c>
      <c r="AL7" s="14">
        <v>4.0</v>
      </c>
      <c r="AM7" s="15">
        <v>0.9027777777777778</v>
      </c>
      <c r="AN7" s="16">
        <v>0.9048611111111111</v>
      </c>
      <c r="AO7" s="11">
        <v>3.0</v>
      </c>
      <c r="AP7" s="12">
        <v>0.9465277777777777</v>
      </c>
      <c r="AQ7" s="13">
        <v>0.9506944444444444</v>
      </c>
      <c r="AR7" s="11">
        <v>3.0</v>
      </c>
      <c r="AS7" s="12">
        <v>0.007638888888888889</v>
      </c>
      <c r="AT7" s="13">
        <v>0.011111111111111112</v>
      </c>
      <c r="AU7" s="11">
        <v>3.0</v>
      </c>
      <c r="AV7" s="12">
        <v>0.10277777777777777</v>
      </c>
      <c r="AW7" s="13">
        <v>0.10555555555555556</v>
      </c>
      <c r="AX7" s="11">
        <v>4.0</v>
      </c>
      <c r="AY7" s="12">
        <v>0.17291666666666666</v>
      </c>
      <c r="AZ7" s="13">
        <v>0.1736111111111111</v>
      </c>
      <c r="BA7" s="24">
        <v>6.0</v>
      </c>
      <c r="BB7" s="25">
        <v>44787.216796064815</v>
      </c>
      <c r="BC7" s="12"/>
    </row>
    <row r="8" ht="15.75" customHeight="1">
      <c r="A8" s="7"/>
      <c r="B8" s="8" t="s">
        <v>60</v>
      </c>
      <c r="C8" s="9">
        <v>543.0</v>
      </c>
      <c r="D8" s="10" t="s">
        <v>54</v>
      </c>
      <c r="E8" s="11">
        <v>26.0</v>
      </c>
      <c r="F8" s="12">
        <v>0.25972222222222224</v>
      </c>
      <c r="G8" s="13">
        <v>0.2604166666666667</v>
      </c>
      <c r="H8" s="27"/>
      <c r="I8" s="28"/>
      <c r="J8" s="29"/>
      <c r="K8" s="11">
        <v>24.0</v>
      </c>
      <c r="L8" s="12">
        <v>0.3638888888888889</v>
      </c>
      <c r="M8" s="13">
        <v>0.36736111111111114</v>
      </c>
      <c r="N8" s="17">
        <v>19.0</v>
      </c>
      <c r="O8" s="12">
        <v>0.4354166666666667</v>
      </c>
      <c r="P8" s="12">
        <v>0.4375</v>
      </c>
      <c r="Q8" s="11">
        <v>16.0</v>
      </c>
      <c r="R8" s="12">
        <v>0.49236111111111114</v>
      </c>
      <c r="S8" s="13">
        <v>0.4951388888888889</v>
      </c>
      <c r="T8" s="18">
        <v>16.0</v>
      </c>
      <c r="U8" s="12">
        <v>0.5486111111111112</v>
      </c>
      <c r="V8" s="13">
        <v>0.5513888888888889</v>
      </c>
      <c r="W8" s="11">
        <v>16.0</v>
      </c>
      <c r="X8" s="12">
        <v>0.5909722222222222</v>
      </c>
      <c r="Y8" s="13">
        <v>0.6020833333333333</v>
      </c>
      <c r="Z8" s="11">
        <v>17.0</v>
      </c>
      <c r="AA8" s="19"/>
      <c r="AB8" s="13">
        <v>0.6909722222222222</v>
      </c>
      <c r="AC8" s="20">
        <v>14.0</v>
      </c>
      <c r="AD8" s="21">
        <v>0.7402777777777778</v>
      </c>
      <c r="AE8" s="22">
        <v>0.7430555555555556</v>
      </c>
      <c r="AF8" s="18">
        <v>12.0</v>
      </c>
      <c r="AG8" s="12">
        <v>0.8159722222222222</v>
      </c>
      <c r="AH8" s="23">
        <v>0.8243055555555555</v>
      </c>
      <c r="AI8" s="11">
        <v>12.0</v>
      </c>
      <c r="AJ8" s="12">
        <v>0.875</v>
      </c>
      <c r="AK8" s="13">
        <v>0.8805555555555555</v>
      </c>
      <c r="AL8" s="14">
        <v>10.0</v>
      </c>
      <c r="AM8" s="15">
        <v>0.9465277777777777</v>
      </c>
      <c r="AN8" s="16">
        <v>0.9520833333333333</v>
      </c>
      <c r="AO8" s="11">
        <v>9.0</v>
      </c>
      <c r="AP8" s="12">
        <v>0.9909722222222223</v>
      </c>
      <c r="AQ8" s="13">
        <v>0.9958333333333333</v>
      </c>
      <c r="AR8" s="11">
        <v>8.0</v>
      </c>
      <c r="AS8" s="12">
        <v>0.049305555555555554</v>
      </c>
      <c r="AT8" s="13">
        <v>0.052083333333333336</v>
      </c>
      <c r="AU8" s="11">
        <v>7.0</v>
      </c>
      <c r="AV8" s="12">
        <v>0.1388888888888889</v>
      </c>
      <c r="AW8" s="13">
        <v>0.1423611111111111</v>
      </c>
      <c r="AX8" s="11">
        <v>7.0</v>
      </c>
      <c r="AY8" s="12">
        <v>0.25833333333333336</v>
      </c>
      <c r="AZ8" s="13">
        <v>0.21875</v>
      </c>
      <c r="BA8" s="24">
        <v>7.0</v>
      </c>
      <c r="BB8" s="25">
        <v>44787.266793055554</v>
      </c>
      <c r="BC8" s="12"/>
    </row>
    <row r="9" ht="15.75" customHeight="1">
      <c r="A9" s="7"/>
      <c r="B9" s="8" t="s">
        <v>61</v>
      </c>
      <c r="C9" s="9">
        <v>515.0</v>
      </c>
      <c r="D9" s="10" t="s">
        <v>54</v>
      </c>
      <c r="E9" s="11">
        <v>16.0</v>
      </c>
      <c r="F9" s="12">
        <v>0.2569444444444444</v>
      </c>
      <c r="G9" s="13">
        <v>0.2569444444444444</v>
      </c>
      <c r="H9" s="14">
        <v>16.0</v>
      </c>
      <c r="I9" s="15">
        <v>0.3020833333333333</v>
      </c>
      <c r="J9" s="16">
        <v>0.3020833333333333</v>
      </c>
      <c r="K9" s="11">
        <v>14.0</v>
      </c>
      <c r="L9" s="12">
        <v>0.3590277777777778</v>
      </c>
      <c r="M9" s="13">
        <v>0.3597222222222222</v>
      </c>
      <c r="N9" s="17">
        <v>13.0</v>
      </c>
      <c r="O9" s="12">
        <v>0.42777777777777776</v>
      </c>
      <c r="P9" s="12">
        <v>0.4284722222222222</v>
      </c>
      <c r="Q9" s="11">
        <v>12.0</v>
      </c>
      <c r="R9" s="12">
        <v>0.4826388888888889</v>
      </c>
      <c r="S9" s="13">
        <v>0.48333333333333334</v>
      </c>
      <c r="T9" s="18">
        <v>12.0</v>
      </c>
      <c r="U9" s="12">
        <v>0.5340277777777778</v>
      </c>
      <c r="V9" s="13">
        <v>0.5347222222222222</v>
      </c>
      <c r="W9" s="11">
        <v>9.0</v>
      </c>
      <c r="X9" s="12">
        <v>0.5701388888888889</v>
      </c>
      <c r="Y9" s="13">
        <v>0.5715277777777777</v>
      </c>
      <c r="Z9" s="11">
        <v>8.0</v>
      </c>
      <c r="AA9" s="19"/>
      <c r="AB9" s="13">
        <v>0.6590277777777778</v>
      </c>
      <c r="AC9" s="20">
        <v>9.0</v>
      </c>
      <c r="AD9" s="21">
        <v>0.7131944444444445</v>
      </c>
      <c r="AE9" s="22">
        <v>0.7145833333333333</v>
      </c>
      <c r="AF9" s="18">
        <v>10.0</v>
      </c>
      <c r="AG9" s="12">
        <v>0.7930555555555555</v>
      </c>
      <c r="AH9" s="23">
        <v>0.7944444444444444</v>
      </c>
      <c r="AI9" s="11">
        <v>10.0</v>
      </c>
      <c r="AJ9" s="12">
        <v>0.8555555555555555</v>
      </c>
      <c r="AK9" s="13">
        <v>0.8576388888888888</v>
      </c>
      <c r="AL9" s="14">
        <v>9.0</v>
      </c>
      <c r="AM9" s="15">
        <v>0.9381944444444444</v>
      </c>
      <c r="AN9" s="16">
        <v>0.9402777777777778</v>
      </c>
      <c r="AO9" s="11">
        <v>10.0</v>
      </c>
      <c r="AP9" s="12">
        <v>0.9923611111111111</v>
      </c>
      <c r="AQ9" s="13">
        <v>0.9944444444444445</v>
      </c>
      <c r="AR9" s="11">
        <v>10.0</v>
      </c>
      <c r="AS9" s="12">
        <v>0.05694444444444444</v>
      </c>
      <c r="AT9" s="13">
        <v>0.059027777777777776</v>
      </c>
      <c r="AU9" s="11">
        <v>9.0</v>
      </c>
      <c r="AV9" s="12">
        <v>0.15416666666666667</v>
      </c>
      <c r="AW9" s="13">
        <v>0.15625</v>
      </c>
      <c r="AX9" s="11">
        <v>8.0</v>
      </c>
      <c r="AY9" s="12">
        <v>0.225</v>
      </c>
      <c r="AZ9" s="13">
        <v>0.2263888888888889</v>
      </c>
      <c r="BA9" s="24">
        <v>8.0</v>
      </c>
      <c r="BB9" s="25">
        <v>44787.26784143519</v>
      </c>
      <c r="BC9" s="12"/>
    </row>
    <row r="10" ht="15.75" customHeight="1">
      <c r="A10" s="7"/>
      <c r="B10" s="8" t="s">
        <v>62</v>
      </c>
      <c r="C10" s="9">
        <v>685.0</v>
      </c>
      <c r="D10" s="10" t="s">
        <v>54</v>
      </c>
      <c r="E10" s="11">
        <v>31.0</v>
      </c>
      <c r="F10" s="12">
        <v>0.25972222222222224</v>
      </c>
      <c r="G10" s="13">
        <v>0.2604166666666667</v>
      </c>
      <c r="H10" s="14">
        <v>33.0</v>
      </c>
      <c r="I10" s="15">
        <v>0.3090277777777778</v>
      </c>
      <c r="J10" s="16">
        <v>0.3090277777777778</v>
      </c>
      <c r="K10" s="11">
        <v>33.0</v>
      </c>
      <c r="L10" s="12">
        <v>0.36875</v>
      </c>
      <c r="M10" s="13">
        <v>0.37083333333333335</v>
      </c>
      <c r="N10" s="17">
        <v>29.0</v>
      </c>
      <c r="O10" s="30">
        <v>0.44513888888888886</v>
      </c>
      <c r="P10" s="30">
        <v>0.44583333333333336</v>
      </c>
      <c r="Q10" s="11">
        <v>26.0</v>
      </c>
      <c r="R10" s="12">
        <v>0.5020833333333333</v>
      </c>
      <c r="S10" s="13">
        <v>0.5041666666666667</v>
      </c>
      <c r="T10" s="18">
        <v>28.0</v>
      </c>
      <c r="U10" s="12">
        <v>0.5618055555555556</v>
      </c>
      <c r="V10" s="13">
        <v>0.5631944444444444</v>
      </c>
      <c r="W10" s="11">
        <v>28.0</v>
      </c>
      <c r="X10" s="12">
        <v>0.6027777777777777</v>
      </c>
      <c r="Y10" s="13">
        <v>0.60625</v>
      </c>
      <c r="Z10" s="11">
        <v>22.0</v>
      </c>
      <c r="AA10" s="19"/>
      <c r="AB10" s="13">
        <v>0.6965277777777777</v>
      </c>
      <c r="AC10" s="20">
        <v>21.0</v>
      </c>
      <c r="AD10" s="21">
        <v>0.7486111111111111</v>
      </c>
      <c r="AE10" s="22">
        <v>0.7534722222222222</v>
      </c>
      <c r="AF10" s="18">
        <v>19.0</v>
      </c>
      <c r="AG10" s="12">
        <v>0.8291666666666667</v>
      </c>
      <c r="AH10" s="23">
        <v>0.8354166666666667</v>
      </c>
      <c r="AI10" s="11">
        <v>17.0</v>
      </c>
      <c r="AJ10" s="12">
        <v>0.8958333333333334</v>
      </c>
      <c r="AK10" s="13">
        <v>0.8993055555555556</v>
      </c>
      <c r="AL10" s="14">
        <v>14.0</v>
      </c>
      <c r="AM10" s="15">
        <v>0.9673611111111111</v>
      </c>
      <c r="AN10" s="16">
        <v>0.9715277777777778</v>
      </c>
      <c r="AO10" s="11">
        <v>11.0</v>
      </c>
      <c r="AP10" s="12">
        <v>0.0125</v>
      </c>
      <c r="AQ10" s="13">
        <v>0.015277777777777777</v>
      </c>
      <c r="AR10" s="11">
        <v>11.0</v>
      </c>
      <c r="AS10" s="12">
        <v>0.07222222222222222</v>
      </c>
      <c r="AT10" s="13">
        <v>0.0763888888888889</v>
      </c>
      <c r="AU10" s="11">
        <v>10.0</v>
      </c>
      <c r="AV10" s="12">
        <v>0.16597222222222222</v>
      </c>
      <c r="AW10" s="13">
        <v>0.16944444444444445</v>
      </c>
      <c r="AX10" s="11">
        <v>10.0</v>
      </c>
      <c r="AY10" s="12">
        <v>0.24097222222222223</v>
      </c>
      <c r="AZ10" s="13">
        <v>0.2423611111111111</v>
      </c>
      <c r="BA10" s="24">
        <v>9.0</v>
      </c>
      <c r="BB10" s="25">
        <v>44787.28279826389</v>
      </c>
      <c r="BC10" s="12"/>
    </row>
    <row r="11" ht="15.75" customHeight="1">
      <c r="A11" s="7"/>
      <c r="B11" s="8" t="s">
        <v>63</v>
      </c>
      <c r="C11" s="9">
        <v>563.0</v>
      </c>
      <c r="D11" s="10" t="s">
        <v>54</v>
      </c>
      <c r="E11" s="11">
        <v>7.0</v>
      </c>
      <c r="F11" s="12">
        <v>0.2520833333333333</v>
      </c>
      <c r="G11" s="13">
        <v>0.25277777777777777</v>
      </c>
      <c r="H11" s="27"/>
      <c r="I11" s="28"/>
      <c r="J11" s="29"/>
      <c r="K11" s="11">
        <v>7.0</v>
      </c>
      <c r="L11" s="12">
        <v>0.3458333333333333</v>
      </c>
      <c r="M11" s="13">
        <v>0.34791666666666665</v>
      </c>
      <c r="N11" s="17">
        <v>6.0</v>
      </c>
      <c r="O11" s="12">
        <v>0.41597222222222224</v>
      </c>
      <c r="P11" s="12">
        <v>0.4166666666666667</v>
      </c>
      <c r="Q11" s="11">
        <v>6.0</v>
      </c>
      <c r="R11" s="12">
        <v>0.4708333333333333</v>
      </c>
      <c r="S11" s="13">
        <v>0.4722222222222222</v>
      </c>
      <c r="T11" s="18">
        <v>5.0</v>
      </c>
      <c r="U11" s="12">
        <v>0.5180555555555556</v>
      </c>
      <c r="V11" s="13">
        <v>0.5194444444444445</v>
      </c>
      <c r="W11" s="11">
        <v>6.0</v>
      </c>
      <c r="X11" s="12">
        <v>0.5527777777777778</v>
      </c>
      <c r="Y11" s="13">
        <v>0.5555555555555556</v>
      </c>
      <c r="Z11" s="11">
        <v>5.0</v>
      </c>
      <c r="AA11" s="19"/>
      <c r="AB11" s="13">
        <v>0.6416666666666667</v>
      </c>
      <c r="AC11" s="20">
        <v>6.0</v>
      </c>
      <c r="AD11" s="21">
        <v>0.6916666666666667</v>
      </c>
      <c r="AE11" s="22">
        <v>0.69375</v>
      </c>
      <c r="AF11" s="18">
        <v>6.0</v>
      </c>
      <c r="AG11" s="12">
        <v>0.7715277777777778</v>
      </c>
      <c r="AH11" s="23">
        <v>0.775</v>
      </c>
      <c r="AI11" s="11">
        <v>6.0</v>
      </c>
      <c r="AJ11" s="12">
        <v>0.8395833333333333</v>
      </c>
      <c r="AK11" s="13">
        <v>0.8416666666666667</v>
      </c>
      <c r="AL11" s="14">
        <v>8.0</v>
      </c>
      <c r="AM11" s="15">
        <v>0.9298611111111111</v>
      </c>
      <c r="AN11" s="16">
        <v>0.9326388888888889</v>
      </c>
      <c r="AO11" s="11">
        <v>8.0</v>
      </c>
      <c r="AP11" s="12">
        <v>0.9868055555555556</v>
      </c>
      <c r="AQ11" s="13">
        <v>0.9895833333333334</v>
      </c>
      <c r="AR11" s="11">
        <v>9.0</v>
      </c>
      <c r="AS11" s="12">
        <v>0.050694444444444445</v>
      </c>
      <c r="AT11" s="13">
        <v>0.052083333333333336</v>
      </c>
      <c r="AU11" s="11">
        <v>8.0</v>
      </c>
      <c r="AV11" s="12">
        <v>0.1527777777777778</v>
      </c>
      <c r="AW11" s="13">
        <v>0.15694444444444444</v>
      </c>
      <c r="AX11" s="11">
        <v>9.0</v>
      </c>
      <c r="AY11" s="12">
        <v>0.2375</v>
      </c>
      <c r="AZ11" s="13">
        <v>0.23819444444444443</v>
      </c>
      <c r="BA11" s="24">
        <v>10.0</v>
      </c>
      <c r="BB11" s="25">
        <v>44787.2850443287</v>
      </c>
      <c r="BC11" s="12"/>
    </row>
    <row r="12" ht="15.75" customHeight="1">
      <c r="A12" s="7"/>
      <c r="B12" s="8" t="s">
        <v>64</v>
      </c>
      <c r="C12" s="9">
        <v>601.0</v>
      </c>
      <c r="D12" s="10" t="s">
        <v>54</v>
      </c>
      <c r="E12" s="11">
        <v>11.0</v>
      </c>
      <c r="F12" s="12">
        <v>0.25416666666666665</v>
      </c>
      <c r="G12" s="13">
        <v>0.25416666666666665</v>
      </c>
      <c r="H12" s="14">
        <v>12.0</v>
      </c>
      <c r="I12" s="15">
        <v>0.2986111111111111</v>
      </c>
      <c r="J12" s="16">
        <v>0.2986111111111111</v>
      </c>
      <c r="K12" s="11">
        <v>15.0</v>
      </c>
      <c r="L12" s="12">
        <v>0.3590277777777778</v>
      </c>
      <c r="M12" s="13">
        <v>0.36180555555555555</v>
      </c>
      <c r="N12" s="17">
        <v>22.0</v>
      </c>
      <c r="O12" s="12">
        <v>0.43680555555555556</v>
      </c>
      <c r="P12" s="12">
        <v>0.43819444444444444</v>
      </c>
      <c r="Q12" s="11">
        <v>20.0</v>
      </c>
      <c r="R12" s="12">
        <v>0.49583333333333335</v>
      </c>
      <c r="S12" s="13">
        <v>0.4979166666666667</v>
      </c>
      <c r="T12" s="18">
        <v>20.0</v>
      </c>
      <c r="U12" s="12">
        <v>0.5534722222222223</v>
      </c>
      <c r="V12" s="13">
        <v>0.5555555555555556</v>
      </c>
      <c r="W12" s="11">
        <v>19.0</v>
      </c>
      <c r="X12" s="12">
        <v>0.5930555555555556</v>
      </c>
      <c r="Y12" s="13">
        <v>0.5979166666666667</v>
      </c>
      <c r="Z12" s="11">
        <v>19.0</v>
      </c>
      <c r="AA12" s="19"/>
      <c r="AB12" s="13">
        <v>0.6923611111111111</v>
      </c>
      <c r="AC12" s="20">
        <v>19.0</v>
      </c>
      <c r="AD12" s="21">
        <v>0.7451388888888889</v>
      </c>
      <c r="AE12" s="22">
        <v>0.7472222222222222</v>
      </c>
      <c r="AF12" s="18">
        <v>16.0</v>
      </c>
      <c r="AG12" s="12">
        <v>0.8229166666666666</v>
      </c>
      <c r="AH12" s="23">
        <v>0.8277777777777777</v>
      </c>
      <c r="AI12" s="11">
        <v>15.0</v>
      </c>
      <c r="AJ12" s="12">
        <v>0.8881944444444444</v>
      </c>
      <c r="AK12" s="13">
        <v>0.8895833333333333</v>
      </c>
      <c r="AL12" s="14">
        <v>16.0</v>
      </c>
      <c r="AM12" s="15">
        <v>0.9694444444444444</v>
      </c>
      <c r="AN12" s="16">
        <v>0.9722222222222222</v>
      </c>
      <c r="AO12" s="11">
        <v>13.0</v>
      </c>
      <c r="AP12" s="12">
        <v>0.021527777777777778</v>
      </c>
      <c r="AQ12" s="13">
        <v>0.027083333333333334</v>
      </c>
      <c r="AR12" s="11">
        <v>13.0</v>
      </c>
      <c r="AS12" s="12">
        <v>0.08958333333333333</v>
      </c>
      <c r="AT12" s="13">
        <v>0.09305555555555556</v>
      </c>
      <c r="AU12" s="11">
        <v>13.0</v>
      </c>
      <c r="AV12" s="12">
        <v>0.1840277777777778</v>
      </c>
      <c r="AW12" s="13">
        <v>0.18888888888888888</v>
      </c>
      <c r="AX12" s="11">
        <v>12.0</v>
      </c>
      <c r="AY12" s="12">
        <v>0.2513888888888889</v>
      </c>
      <c r="AZ12" s="13">
        <v>0.2513888888888889</v>
      </c>
      <c r="BA12" s="24">
        <v>11.0</v>
      </c>
      <c r="BB12" s="25">
        <v>44787.285608101854</v>
      </c>
      <c r="BC12" s="12"/>
    </row>
    <row r="13" ht="15.75" customHeight="1">
      <c r="A13" s="7"/>
      <c r="B13" s="8" t="s">
        <v>65</v>
      </c>
      <c r="C13" s="9">
        <v>731.0</v>
      </c>
      <c r="D13" s="10" t="s">
        <v>66</v>
      </c>
      <c r="E13" s="11">
        <v>24.0</v>
      </c>
      <c r="F13" s="12">
        <v>0.2590277777777778</v>
      </c>
      <c r="G13" s="13">
        <v>0.25972222222222224</v>
      </c>
      <c r="H13" s="14">
        <v>136.0</v>
      </c>
      <c r="I13" s="15">
        <v>0.33402777777777776</v>
      </c>
      <c r="J13" s="16">
        <v>0.33402777777777776</v>
      </c>
      <c r="K13" s="11">
        <v>30.0</v>
      </c>
      <c r="L13" s="12">
        <v>0.36736111111111114</v>
      </c>
      <c r="M13" s="13">
        <v>0.36875</v>
      </c>
      <c r="N13" s="17">
        <v>25.0</v>
      </c>
      <c r="O13" s="12">
        <v>0.44166666666666665</v>
      </c>
      <c r="P13" s="12">
        <v>0.4423611111111111</v>
      </c>
      <c r="Q13" s="11">
        <v>25.0</v>
      </c>
      <c r="R13" s="12">
        <v>0.5</v>
      </c>
      <c r="S13" s="13">
        <v>0.5013888888888889</v>
      </c>
      <c r="T13" s="18">
        <v>22.0</v>
      </c>
      <c r="U13" s="12">
        <v>0.5555555555555556</v>
      </c>
      <c r="V13" s="13">
        <v>0.55625</v>
      </c>
      <c r="W13" s="11">
        <v>20.0</v>
      </c>
      <c r="X13" s="12">
        <v>0.5930555555555556</v>
      </c>
      <c r="Y13" s="13">
        <v>0.5944444444444444</v>
      </c>
      <c r="Z13" s="11">
        <v>13.0</v>
      </c>
      <c r="AA13" s="19"/>
      <c r="AB13" s="13">
        <v>0.6854166666666667</v>
      </c>
      <c r="AC13" s="20">
        <v>12.0</v>
      </c>
      <c r="AD13" s="21">
        <v>0.7368055555555556</v>
      </c>
      <c r="AE13" s="22">
        <v>0.7375</v>
      </c>
      <c r="AF13" s="18">
        <v>13.0</v>
      </c>
      <c r="AG13" s="12">
        <v>0.8166666666666667</v>
      </c>
      <c r="AH13" s="23">
        <v>0.81875</v>
      </c>
      <c r="AI13" s="11">
        <v>13.0</v>
      </c>
      <c r="AJ13" s="12">
        <v>0.875</v>
      </c>
      <c r="AK13" s="13">
        <v>0.8770833333333333</v>
      </c>
      <c r="AL13" s="14">
        <v>12.0</v>
      </c>
      <c r="AM13" s="15">
        <v>0.9618055555555556</v>
      </c>
      <c r="AN13" s="16">
        <v>0.9638888888888889</v>
      </c>
      <c r="AO13" s="11">
        <v>12.0</v>
      </c>
      <c r="AP13" s="12">
        <v>0.013888888888888888</v>
      </c>
      <c r="AQ13" s="13">
        <v>0.01597222222222222</v>
      </c>
      <c r="AR13" s="11">
        <v>12.0</v>
      </c>
      <c r="AS13" s="12">
        <v>0.08125</v>
      </c>
      <c r="AT13" s="13">
        <v>0.08333333333333333</v>
      </c>
      <c r="AU13" s="11">
        <v>12.0</v>
      </c>
      <c r="AV13" s="12">
        <v>0.1798611111111111</v>
      </c>
      <c r="AW13" s="13">
        <v>0.18263888888888888</v>
      </c>
      <c r="AX13" s="11">
        <v>11.0</v>
      </c>
      <c r="AY13" s="12">
        <v>0.2513888888888889</v>
      </c>
      <c r="AZ13" s="13">
        <v>0.2513888888888889</v>
      </c>
      <c r="BA13" s="24">
        <v>12.0</v>
      </c>
      <c r="BB13" s="25">
        <v>44787.29487476852</v>
      </c>
      <c r="BC13" s="12"/>
    </row>
    <row r="14" ht="15.75" customHeight="1">
      <c r="A14" s="7"/>
      <c r="B14" s="8" t="s">
        <v>67</v>
      </c>
      <c r="C14" s="9">
        <v>602.0</v>
      </c>
      <c r="D14" s="10" t="s">
        <v>54</v>
      </c>
      <c r="E14" s="11">
        <v>101.0</v>
      </c>
      <c r="F14" s="12">
        <v>0.26875</v>
      </c>
      <c r="G14" s="13">
        <v>0.26944444444444443</v>
      </c>
      <c r="H14" s="14">
        <v>82.0</v>
      </c>
      <c r="I14" s="15">
        <v>0.3215277777777778</v>
      </c>
      <c r="J14" s="16">
        <v>0.3215277777777778</v>
      </c>
      <c r="K14" s="11">
        <v>60.0</v>
      </c>
      <c r="L14" s="12">
        <v>0.3819444444444444</v>
      </c>
      <c r="M14" s="13">
        <v>0.38472222222222224</v>
      </c>
      <c r="N14" s="17">
        <v>47.0</v>
      </c>
      <c r="O14" s="12">
        <v>0.45555555555555555</v>
      </c>
      <c r="P14" s="12">
        <v>0.45694444444444443</v>
      </c>
      <c r="Q14" s="11">
        <v>40.0</v>
      </c>
      <c r="R14" s="12">
        <v>0.5125</v>
      </c>
      <c r="S14" s="13">
        <v>0.5145833333333333</v>
      </c>
      <c r="T14" s="18">
        <v>35.0</v>
      </c>
      <c r="U14" s="12">
        <v>0.5666666666666667</v>
      </c>
      <c r="V14" s="13">
        <v>0.5701388888888889</v>
      </c>
      <c r="W14" s="11">
        <v>34.0</v>
      </c>
      <c r="X14" s="12">
        <v>0.6097222222222223</v>
      </c>
      <c r="Y14" s="13">
        <v>0.6131944444444445</v>
      </c>
      <c r="Z14" s="11">
        <v>25.0</v>
      </c>
      <c r="AA14" s="19"/>
      <c r="AB14" s="13">
        <v>0.6993055555555555</v>
      </c>
      <c r="AC14" s="20">
        <v>24.0</v>
      </c>
      <c r="AD14" s="21">
        <v>0.7493055555555556</v>
      </c>
      <c r="AE14" s="22">
        <v>0.7520833333333333</v>
      </c>
      <c r="AF14" s="18">
        <v>23.0</v>
      </c>
      <c r="AG14" s="12">
        <v>0.8305555555555556</v>
      </c>
      <c r="AH14" s="23">
        <v>0.8423611111111111</v>
      </c>
      <c r="AI14" s="11">
        <v>20.0</v>
      </c>
      <c r="AJ14" s="12">
        <v>0.9013888888888889</v>
      </c>
      <c r="AK14" s="13">
        <v>0.9041666666666667</v>
      </c>
      <c r="AL14" s="14">
        <v>18.0</v>
      </c>
      <c r="AM14" s="15">
        <v>0.9791666666666666</v>
      </c>
      <c r="AN14" s="16">
        <v>0.9819444444444444</v>
      </c>
      <c r="AO14" s="11">
        <v>17.0</v>
      </c>
      <c r="AP14" s="12">
        <v>0.03125</v>
      </c>
      <c r="AQ14" s="13">
        <v>0.034722222222222224</v>
      </c>
      <c r="AR14" s="11">
        <v>15.0</v>
      </c>
      <c r="AS14" s="12">
        <v>0.09652777777777778</v>
      </c>
      <c r="AT14" s="13">
        <v>0.10069444444444445</v>
      </c>
      <c r="AU14" s="11">
        <v>14.0</v>
      </c>
      <c r="AV14" s="12">
        <v>0.19375</v>
      </c>
      <c r="AW14" s="13">
        <v>0.19583333333333333</v>
      </c>
      <c r="AX14" s="11">
        <v>13.0</v>
      </c>
      <c r="AY14" s="12">
        <v>0.2611111111111111</v>
      </c>
      <c r="AZ14" s="13">
        <v>0.25763888888888886</v>
      </c>
      <c r="BA14" s="24">
        <v>13.0</v>
      </c>
      <c r="BB14" s="25">
        <v>44787.30193194445</v>
      </c>
      <c r="BC14" s="12"/>
    </row>
    <row r="15" ht="15.75" customHeight="1">
      <c r="A15" s="7"/>
      <c r="B15" s="8" t="s">
        <v>68</v>
      </c>
      <c r="C15" s="9">
        <v>618.0</v>
      </c>
      <c r="D15" s="10" t="s">
        <v>54</v>
      </c>
      <c r="E15" s="11">
        <v>8.0</v>
      </c>
      <c r="F15" s="12">
        <v>0.2520833333333333</v>
      </c>
      <c r="G15" s="13">
        <v>0.25277777777777777</v>
      </c>
      <c r="H15" s="14">
        <v>5.0</v>
      </c>
      <c r="I15" s="15">
        <v>0.2923611111111111</v>
      </c>
      <c r="J15" s="16">
        <v>0.29305555555555557</v>
      </c>
      <c r="K15" s="11">
        <v>4.0</v>
      </c>
      <c r="L15" s="12">
        <v>0.34375</v>
      </c>
      <c r="M15" s="13">
        <v>0.3451388888888889</v>
      </c>
      <c r="N15" s="17">
        <v>4.0</v>
      </c>
      <c r="O15" s="12">
        <v>0.4111111111111111</v>
      </c>
      <c r="P15" s="12">
        <v>0.4131944444444444</v>
      </c>
      <c r="Q15" s="11">
        <v>4.0</v>
      </c>
      <c r="R15" s="12">
        <v>0.46319444444444446</v>
      </c>
      <c r="S15" s="13">
        <v>0.4652777777777778</v>
      </c>
      <c r="T15" s="18">
        <v>3.0</v>
      </c>
      <c r="U15" s="12">
        <v>0.5118055555555555</v>
      </c>
      <c r="V15" s="13">
        <v>0.5131944444444444</v>
      </c>
      <c r="W15" s="11">
        <v>3.0</v>
      </c>
      <c r="X15" s="12">
        <v>0.55</v>
      </c>
      <c r="Y15" s="13">
        <v>0.5520833333333334</v>
      </c>
      <c r="Z15" s="11">
        <v>3.0</v>
      </c>
      <c r="AA15" s="19"/>
      <c r="AB15" s="13">
        <v>0.6305555555555555</v>
      </c>
      <c r="AC15" s="20">
        <v>3.0</v>
      </c>
      <c r="AD15" s="21">
        <v>0.675</v>
      </c>
      <c r="AE15" s="22">
        <v>0.6784722222222223</v>
      </c>
      <c r="AF15" s="18">
        <v>3.0</v>
      </c>
      <c r="AG15" s="12">
        <v>0.7548611111111111</v>
      </c>
      <c r="AH15" s="23">
        <v>0.7631944444444444</v>
      </c>
      <c r="AI15" s="11">
        <v>3.0</v>
      </c>
      <c r="AJ15" s="12">
        <v>0.8208333333333333</v>
      </c>
      <c r="AK15" s="13">
        <v>0.8243055555555555</v>
      </c>
      <c r="AL15" s="14">
        <v>3.0</v>
      </c>
      <c r="AM15" s="15">
        <v>0.9006944444444445</v>
      </c>
      <c r="AN15" s="16">
        <v>0.9069444444444444</v>
      </c>
      <c r="AO15" s="11">
        <v>4.0</v>
      </c>
      <c r="AP15" s="12">
        <v>0.9583333333333334</v>
      </c>
      <c r="AQ15" s="13">
        <v>0.9652777777777778</v>
      </c>
      <c r="AR15" s="11">
        <v>7.0</v>
      </c>
      <c r="AS15" s="12">
        <v>0.0375</v>
      </c>
      <c r="AT15" s="13">
        <v>0.05</v>
      </c>
      <c r="AU15" s="11">
        <v>11.0</v>
      </c>
      <c r="AV15" s="12">
        <v>0.17430555555555555</v>
      </c>
      <c r="AW15" s="13">
        <v>0.17708333333333334</v>
      </c>
      <c r="AX15" s="11">
        <v>14.0</v>
      </c>
      <c r="AY15" s="12">
        <v>0.26180555555555557</v>
      </c>
      <c r="AZ15" s="13">
        <v>0.2652777777777778</v>
      </c>
      <c r="BA15" s="24">
        <v>14.0</v>
      </c>
      <c r="BB15" s="25">
        <v>44787.31881863426</v>
      </c>
      <c r="BC15" s="12"/>
    </row>
    <row r="16" ht="15.75" customHeight="1">
      <c r="A16" s="7"/>
      <c r="B16" s="8" t="s">
        <v>69</v>
      </c>
      <c r="C16" s="9">
        <v>561.0</v>
      </c>
      <c r="D16" s="10" t="s">
        <v>54</v>
      </c>
      <c r="E16" s="11">
        <v>36.0</v>
      </c>
      <c r="F16" s="12">
        <v>0.2604166666666667</v>
      </c>
      <c r="G16" s="13">
        <v>0.26180555555555557</v>
      </c>
      <c r="H16" s="27"/>
      <c r="I16" s="28"/>
      <c r="J16" s="29"/>
      <c r="K16" s="11">
        <v>38.0</v>
      </c>
      <c r="L16" s="12">
        <v>0.3715277777777778</v>
      </c>
      <c r="M16" s="13">
        <v>0.3770833333333333</v>
      </c>
      <c r="N16" s="17">
        <v>32.0</v>
      </c>
      <c r="O16" s="12">
        <v>0.44583333333333336</v>
      </c>
      <c r="P16" s="12">
        <v>0.44722222222222224</v>
      </c>
      <c r="Q16" s="11">
        <v>31.0</v>
      </c>
      <c r="R16" s="12">
        <v>0.5034722222222222</v>
      </c>
      <c r="S16" s="13">
        <v>0.5048611111111111</v>
      </c>
      <c r="T16" s="18">
        <v>29.0</v>
      </c>
      <c r="U16" s="12">
        <v>0.5638888888888889</v>
      </c>
      <c r="V16" s="13">
        <v>0.5659722222222222</v>
      </c>
      <c r="W16" s="11">
        <v>31.0</v>
      </c>
      <c r="X16" s="12">
        <v>0.60625</v>
      </c>
      <c r="Y16" s="13">
        <v>0.6104166666666667</v>
      </c>
      <c r="Z16" s="11">
        <v>21.0</v>
      </c>
      <c r="AA16" s="19"/>
      <c r="AB16" s="13">
        <v>0.6958333333333333</v>
      </c>
      <c r="AC16" s="20">
        <v>23.0</v>
      </c>
      <c r="AD16" s="21">
        <v>0.7493055555555556</v>
      </c>
      <c r="AE16" s="22">
        <v>0.7520833333333333</v>
      </c>
      <c r="AF16" s="18">
        <v>18.0</v>
      </c>
      <c r="AG16" s="12">
        <v>0.8291666666666667</v>
      </c>
      <c r="AH16" s="23">
        <v>0.8388888888888889</v>
      </c>
      <c r="AI16" s="11">
        <v>19.0</v>
      </c>
      <c r="AJ16" s="12">
        <v>0.8986111111111111</v>
      </c>
      <c r="AK16" s="13">
        <v>0.9006944444444445</v>
      </c>
      <c r="AL16" s="14">
        <v>17.0</v>
      </c>
      <c r="AM16" s="15">
        <v>0.9770833333333333</v>
      </c>
      <c r="AN16" s="16">
        <v>0.9805555555555555</v>
      </c>
      <c r="AO16" s="11">
        <v>15.0</v>
      </c>
      <c r="AP16" s="12">
        <v>0.027777777777777776</v>
      </c>
      <c r="AQ16" s="13">
        <v>0.03194444444444444</v>
      </c>
      <c r="AR16" s="11">
        <v>16.0</v>
      </c>
      <c r="AS16" s="12">
        <v>0.09791666666666667</v>
      </c>
      <c r="AT16" s="13">
        <v>0.10625</v>
      </c>
      <c r="AU16" s="11">
        <v>15.0</v>
      </c>
      <c r="AV16" s="12">
        <v>0.19444444444444445</v>
      </c>
      <c r="AW16" s="13">
        <v>0.19583333333333333</v>
      </c>
      <c r="AX16" s="11">
        <v>15.0</v>
      </c>
      <c r="AY16" s="12">
        <v>0.2652777777777778</v>
      </c>
      <c r="AZ16" s="13">
        <v>0.26666666666666666</v>
      </c>
      <c r="BA16" s="24">
        <v>15.0</v>
      </c>
      <c r="BB16" s="25">
        <v>44787.319578125</v>
      </c>
      <c r="BC16" s="12"/>
    </row>
    <row r="17" ht="15.75" customHeight="1">
      <c r="A17" s="7"/>
      <c r="B17" s="8" t="s">
        <v>70</v>
      </c>
      <c r="C17" s="9">
        <v>529.0</v>
      </c>
      <c r="D17" s="10" t="s">
        <v>54</v>
      </c>
      <c r="E17" s="11">
        <v>71.0</v>
      </c>
      <c r="F17" s="12">
        <v>0.2638888888888889</v>
      </c>
      <c r="G17" s="13">
        <v>0.26458333333333334</v>
      </c>
      <c r="H17" s="14">
        <v>65.0</v>
      </c>
      <c r="I17" s="15">
        <v>0.31875</v>
      </c>
      <c r="J17" s="16">
        <v>0.31875</v>
      </c>
      <c r="K17" s="11">
        <v>58.0</v>
      </c>
      <c r="L17" s="12">
        <v>0.37916666666666665</v>
      </c>
      <c r="M17" s="13">
        <v>0.38125</v>
      </c>
      <c r="N17" s="17">
        <v>39.0</v>
      </c>
      <c r="O17" s="12">
        <v>0.45</v>
      </c>
      <c r="P17" s="12">
        <v>0.45069444444444445</v>
      </c>
      <c r="Q17" s="11">
        <v>38.0</v>
      </c>
      <c r="R17" s="12">
        <v>0.5097222222222222</v>
      </c>
      <c r="S17" s="13">
        <v>0.5111111111111111</v>
      </c>
      <c r="T17" s="18">
        <v>31.0</v>
      </c>
      <c r="U17" s="12">
        <v>0.5652777777777778</v>
      </c>
      <c r="V17" s="13">
        <v>0.5666666666666667</v>
      </c>
      <c r="W17" s="11">
        <v>29.0</v>
      </c>
      <c r="X17" s="12">
        <v>0.6027777777777777</v>
      </c>
      <c r="Y17" s="13">
        <v>0.60625</v>
      </c>
      <c r="Z17" s="11">
        <v>20.0</v>
      </c>
      <c r="AA17" s="19"/>
      <c r="AB17" s="13">
        <v>0.6951388888888889</v>
      </c>
      <c r="AC17" s="20">
        <v>18.0</v>
      </c>
      <c r="AD17" s="21">
        <v>0.7444444444444445</v>
      </c>
      <c r="AE17" s="22">
        <v>0.7458333333333333</v>
      </c>
      <c r="AF17" s="18">
        <v>15.0</v>
      </c>
      <c r="AG17" s="12">
        <v>0.8229166666666666</v>
      </c>
      <c r="AH17" s="23">
        <v>0.8263888888888888</v>
      </c>
      <c r="AI17" s="11">
        <v>14.0</v>
      </c>
      <c r="AJ17" s="12">
        <v>0.8854166666666666</v>
      </c>
      <c r="AK17" s="13">
        <v>0.8868055555555555</v>
      </c>
      <c r="AL17" s="14">
        <v>15.0</v>
      </c>
      <c r="AM17" s="15">
        <v>0.96875</v>
      </c>
      <c r="AN17" s="16">
        <v>0.9722222222222222</v>
      </c>
      <c r="AO17" s="11">
        <v>14.0</v>
      </c>
      <c r="AP17" s="12">
        <v>0.024305555555555556</v>
      </c>
      <c r="AQ17" s="13">
        <v>0.027083333333333334</v>
      </c>
      <c r="AR17" s="11">
        <v>14.0</v>
      </c>
      <c r="AS17" s="12">
        <v>0.09513888888888888</v>
      </c>
      <c r="AT17" s="13">
        <v>0.09791666666666667</v>
      </c>
      <c r="AU17" s="11">
        <v>16.0</v>
      </c>
      <c r="AV17" s="12">
        <v>0.19930555555555557</v>
      </c>
      <c r="AW17" s="13">
        <v>0.2013888888888889</v>
      </c>
      <c r="AX17" s="11">
        <v>16.0</v>
      </c>
      <c r="AY17" s="12">
        <v>0.2777777777777778</v>
      </c>
      <c r="AZ17" s="13">
        <v>0.27847222222222223</v>
      </c>
      <c r="BA17" s="24">
        <v>16.0</v>
      </c>
      <c r="BB17" s="25">
        <v>44787.3238238426</v>
      </c>
      <c r="BC17" s="12"/>
    </row>
    <row r="18" ht="15.75" customHeight="1">
      <c r="A18" s="7"/>
      <c r="B18" s="8" t="s">
        <v>71</v>
      </c>
      <c r="C18" s="9">
        <v>629.0</v>
      </c>
      <c r="D18" s="10" t="s">
        <v>54</v>
      </c>
      <c r="E18" s="11">
        <v>29.0</v>
      </c>
      <c r="F18" s="12">
        <v>0.25972222222222224</v>
      </c>
      <c r="G18" s="13">
        <v>0.2604166666666667</v>
      </c>
      <c r="H18" s="14">
        <v>27.0</v>
      </c>
      <c r="I18" s="15">
        <v>0.30694444444444446</v>
      </c>
      <c r="J18" s="16">
        <v>0.30694444444444446</v>
      </c>
      <c r="K18" s="11">
        <v>19.0</v>
      </c>
      <c r="L18" s="12">
        <v>0.3625</v>
      </c>
      <c r="M18" s="13">
        <v>0.36527777777777776</v>
      </c>
      <c r="N18" s="17">
        <v>17.0</v>
      </c>
      <c r="O18" s="12">
        <v>0.43472222222222223</v>
      </c>
      <c r="P18" s="12">
        <v>0.43680555555555556</v>
      </c>
      <c r="Q18" s="11">
        <v>17.0</v>
      </c>
      <c r="R18" s="12">
        <v>0.4930555555555556</v>
      </c>
      <c r="S18" s="13">
        <v>0.4965277777777778</v>
      </c>
      <c r="T18" s="18">
        <v>18.0</v>
      </c>
      <c r="U18" s="12">
        <v>0.5506944444444445</v>
      </c>
      <c r="V18" s="13">
        <v>0.5541666666666667</v>
      </c>
      <c r="W18" s="11">
        <v>15.0</v>
      </c>
      <c r="X18" s="12">
        <v>0.5902777777777778</v>
      </c>
      <c r="Y18" s="13">
        <v>0.5958333333333333</v>
      </c>
      <c r="Z18" s="11">
        <v>18.0</v>
      </c>
      <c r="AA18" s="19"/>
      <c r="AB18" s="13">
        <v>0.6916666666666667</v>
      </c>
      <c r="AC18" s="20">
        <v>20.0</v>
      </c>
      <c r="AD18" s="21">
        <v>0.7465277777777778</v>
      </c>
      <c r="AE18" s="22">
        <v>0.7506944444444444</v>
      </c>
      <c r="AF18" s="18">
        <v>17.0</v>
      </c>
      <c r="AG18" s="12">
        <v>0.8270833333333333</v>
      </c>
      <c r="AH18" s="23">
        <v>0.8388888888888889</v>
      </c>
      <c r="AI18" s="11">
        <v>18.0</v>
      </c>
      <c r="AJ18" s="12">
        <v>0.8986111111111111</v>
      </c>
      <c r="AK18" s="31">
        <v>0.8986111111111111</v>
      </c>
      <c r="AL18" s="14">
        <v>19.0</v>
      </c>
      <c r="AM18" s="15">
        <v>0.9826388888888888</v>
      </c>
      <c r="AN18" s="16">
        <v>0.9881944444444445</v>
      </c>
      <c r="AO18" s="11">
        <v>18.0</v>
      </c>
      <c r="AP18" s="12">
        <v>0.0375</v>
      </c>
      <c r="AQ18" s="13">
        <v>0.04722222222222222</v>
      </c>
      <c r="AR18" s="11">
        <v>17.0</v>
      </c>
      <c r="AS18" s="12">
        <v>0.10833333333333334</v>
      </c>
      <c r="AT18" s="13">
        <v>0.11458333333333333</v>
      </c>
      <c r="AU18" s="11">
        <v>17.0</v>
      </c>
      <c r="AV18" s="12">
        <v>0.20972222222222223</v>
      </c>
      <c r="AW18" s="13">
        <v>0.21736111111111112</v>
      </c>
      <c r="AX18" s="11">
        <v>17.0</v>
      </c>
      <c r="AY18" s="12">
        <v>0.2861111111111111</v>
      </c>
      <c r="AZ18" s="13">
        <v>0.2861111111111111</v>
      </c>
      <c r="BA18" s="24">
        <v>17.0</v>
      </c>
      <c r="BB18" s="25">
        <v>44787.32540729167</v>
      </c>
      <c r="BC18" s="12"/>
    </row>
    <row r="19" ht="15.75" customHeight="1">
      <c r="A19" s="7"/>
      <c r="B19" s="8" t="s">
        <v>72</v>
      </c>
      <c r="C19" s="9">
        <v>655.0</v>
      </c>
      <c r="D19" s="10" t="s">
        <v>54</v>
      </c>
      <c r="E19" s="11">
        <v>54.0</v>
      </c>
      <c r="F19" s="12">
        <v>0.26319444444444445</v>
      </c>
      <c r="G19" s="13">
        <v>0.2638888888888889</v>
      </c>
      <c r="H19" s="14">
        <v>43.0</v>
      </c>
      <c r="I19" s="15">
        <v>0.3138888888888889</v>
      </c>
      <c r="J19" s="16">
        <v>0.3138888888888889</v>
      </c>
      <c r="K19" s="11">
        <v>40.0</v>
      </c>
      <c r="L19" s="12">
        <v>0.3715277777777778</v>
      </c>
      <c r="M19" s="13">
        <v>0.37569444444444444</v>
      </c>
      <c r="N19" s="17">
        <v>31.0</v>
      </c>
      <c r="O19" s="12">
        <v>0.44583333333333336</v>
      </c>
      <c r="P19" s="12">
        <v>0.44722222222222224</v>
      </c>
      <c r="Q19" s="11">
        <v>27.0</v>
      </c>
      <c r="R19" s="12">
        <v>0.5020833333333333</v>
      </c>
      <c r="S19" s="13">
        <v>0.5041666666666667</v>
      </c>
      <c r="T19" s="18">
        <v>27.0</v>
      </c>
      <c r="U19" s="12">
        <v>0.5604166666666667</v>
      </c>
      <c r="V19" s="13">
        <v>0.5625</v>
      </c>
      <c r="W19" s="11">
        <v>26.0</v>
      </c>
      <c r="X19" s="12">
        <v>0.6020833333333333</v>
      </c>
      <c r="Y19" s="13">
        <v>0.6097222222222223</v>
      </c>
      <c r="Z19" s="11">
        <v>26.0</v>
      </c>
      <c r="AA19" s="19"/>
      <c r="AB19" s="13">
        <v>0.6993055555555555</v>
      </c>
      <c r="AC19" s="20">
        <v>22.0</v>
      </c>
      <c r="AD19" s="21">
        <v>0.7486111111111111</v>
      </c>
      <c r="AE19" s="22">
        <v>0.7534722222222222</v>
      </c>
      <c r="AF19" s="18">
        <v>21.0</v>
      </c>
      <c r="AG19" s="12">
        <v>0.8305555555555556</v>
      </c>
      <c r="AH19" s="23">
        <v>0.84375</v>
      </c>
      <c r="AI19" s="11">
        <v>21.0</v>
      </c>
      <c r="AJ19" s="12">
        <v>0.9020833333333333</v>
      </c>
      <c r="AK19" s="13">
        <v>0.9048611111111111</v>
      </c>
      <c r="AL19" s="14">
        <v>20.0</v>
      </c>
      <c r="AM19" s="15">
        <v>0.9902777777777778</v>
      </c>
      <c r="AN19" s="16">
        <v>0.9930555555555556</v>
      </c>
      <c r="AO19" s="11">
        <v>19.0</v>
      </c>
      <c r="AP19" s="12">
        <v>0.049305555555555554</v>
      </c>
      <c r="AQ19" s="13">
        <v>0.059722222222222225</v>
      </c>
      <c r="AR19" s="11">
        <v>19.0</v>
      </c>
      <c r="AS19" s="12">
        <v>0.12361111111111112</v>
      </c>
      <c r="AT19" s="13">
        <v>0.12777777777777777</v>
      </c>
      <c r="AU19" s="11">
        <v>19.0</v>
      </c>
      <c r="AV19" s="12">
        <v>0.23194444444444445</v>
      </c>
      <c r="AW19" s="13">
        <v>0.23819444444444443</v>
      </c>
      <c r="AX19" s="11">
        <v>18.0</v>
      </c>
      <c r="AY19" s="12">
        <v>0.30625</v>
      </c>
      <c r="AZ19" s="13">
        <v>0.30625</v>
      </c>
      <c r="BA19" s="24">
        <v>18.0</v>
      </c>
      <c r="BB19" s="25">
        <v>44787.355109490745</v>
      </c>
      <c r="BC19" s="12"/>
    </row>
    <row r="20" ht="15.75" customHeight="1">
      <c r="A20" s="7"/>
      <c r="B20" s="8" t="s">
        <v>73</v>
      </c>
      <c r="C20" s="9">
        <v>567.0</v>
      </c>
      <c r="D20" s="10" t="s">
        <v>54</v>
      </c>
      <c r="E20" s="11">
        <v>4.0</v>
      </c>
      <c r="F20" s="12">
        <v>0.2513888888888889</v>
      </c>
      <c r="G20" s="13">
        <v>0.2520833333333333</v>
      </c>
      <c r="H20" s="27"/>
      <c r="I20" s="28"/>
      <c r="J20" s="29"/>
      <c r="K20" s="11">
        <v>5.0</v>
      </c>
      <c r="L20" s="12">
        <v>0.34375</v>
      </c>
      <c r="M20" s="13">
        <v>0.3451388888888889</v>
      </c>
      <c r="N20" s="17">
        <v>12.0</v>
      </c>
      <c r="O20" s="12">
        <v>0.42430555555555555</v>
      </c>
      <c r="P20" s="12">
        <v>0.42569444444444443</v>
      </c>
      <c r="Q20" s="11">
        <v>18.0</v>
      </c>
      <c r="R20" s="12">
        <v>0.49444444444444446</v>
      </c>
      <c r="S20" s="13">
        <v>0.49722222222222223</v>
      </c>
      <c r="T20" s="18">
        <v>17.0</v>
      </c>
      <c r="U20" s="12">
        <v>0.55</v>
      </c>
      <c r="V20" s="13">
        <v>0.5520833333333334</v>
      </c>
      <c r="W20" s="11">
        <v>21.0</v>
      </c>
      <c r="X20" s="12">
        <v>0.5965277777777778</v>
      </c>
      <c r="Y20" s="13">
        <v>0.6027777777777777</v>
      </c>
      <c r="Z20" s="11">
        <v>36.0</v>
      </c>
      <c r="AA20" s="19"/>
      <c r="AB20" s="13">
        <v>0.7159722222222222</v>
      </c>
      <c r="AC20" s="20">
        <v>38.0</v>
      </c>
      <c r="AD20" s="21">
        <v>0.78125</v>
      </c>
      <c r="AE20" s="22">
        <v>0.7833333333333333</v>
      </c>
      <c r="AF20" s="18">
        <v>41.0</v>
      </c>
      <c r="AG20" s="12">
        <v>0.8777777777777778</v>
      </c>
      <c r="AH20" s="23">
        <v>0.88125</v>
      </c>
      <c r="AI20" s="11">
        <v>33.0</v>
      </c>
      <c r="AJ20" s="12">
        <v>0.9409722222222222</v>
      </c>
      <c r="AK20" s="13">
        <v>0.9430555555555555</v>
      </c>
      <c r="AL20" s="14">
        <v>29.0</v>
      </c>
      <c r="AM20" s="15">
        <v>0.03125</v>
      </c>
      <c r="AN20" s="16">
        <v>0.034722222222222224</v>
      </c>
      <c r="AO20" s="11">
        <v>25.0</v>
      </c>
      <c r="AP20" s="12">
        <v>0.08611111111111111</v>
      </c>
      <c r="AQ20" s="13">
        <v>0.09097222222222222</v>
      </c>
      <c r="AR20" s="11">
        <v>24.0</v>
      </c>
      <c r="AS20" s="12">
        <v>0.15138888888888888</v>
      </c>
      <c r="AT20" s="13">
        <v>0.15416666666666667</v>
      </c>
      <c r="AU20" s="11">
        <v>21.0</v>
      </c>
      <c r="AV20" s="12">
        <v>0.24444444444444444</v>
      </c>
      <c r="AW20" s="13">
        <v>0.24722222222222223</v>
      </c>
      <c r="AX20" s="11">
        <v>19.0</v>
      </c>
      <c r="AY20" s="12">
        <v>0.31319444444444444</v>
      </c>
      <c r="AZ20" s="13">
        <v>0.3138888888888889</v>
      </c>
      <c r="BA20" s="24">
        <v>19.0</v>
      </c>
      <c r="BB20" s="25">
        <v>44787.357861226854</v>
      </c>
      <c r="BC20" s="12"/>
    </row>
    <row r="21" ht="15.75" customHeight="1">
      <c r="A21" s="7"/>
      <c r="B21" s="8" t="s">
        <v>74</v>
      </c>
      <c r="C21" s="9">
        <v>702.0</v>
      </c>
      <c r="D21" s="10" t="s">
        <v>54</v>
      </c>
      <c r="E21" s="11">
        <v>27.0</v>
      </c>
      <c r="F21" s="12">
        <v>0.25972222222222224</v>
      </c>
      <c r="G21" s="13">
        <v>0.2604166666666667</v>
      </c>
      <c r="H21" s="14">
        <v>23.0</v>
      </c>
      <c r="I21" s="15">
        <v>0.30625</v>
      </c>
      <c r="J21" s="16">
        <v>0.30625</v>
      </c>
      <c r="K21" s="11">
        <v>23.0</v>
      </c>
      <c r="L21" s="12">
        <v>0.3638888888888889</v>
      </c>
      <c r="M21" s="13">
        <v>0.36736111111111114</v>
      </c>
      <c r="N21" s="17">
        <v>20.0</v>
      </c>
      <c r="O21" s="12">
        <v>0.4354166666666667</v>
      </c>
      <c r="P21" s="12">
        <v>0.4375</v>
      </c>
      <c r="Q21" s="11">
        <v>15.0</v>
      </c>
      <c r="R21" s="12">
        <v>0.49166666666666664</v>
      </c>
      <c r="S21" s="13">
        <v>0.4951388888888889</v>
      </c>
      <c r="T21" s="18">
        <v>15.0</v>
      </c>
      <c r="U21" s="12">
        <v>0.5486111111111112</v>
      </c>
      <c r="V21" s="13">
        <v>0.5513888888888889</v>
      </c>
      <c r="W21" s="11">
        <v>17.0</v>
      </c>
      <c r="X21" s="12">
        <v>0.5909722222222222</v>
      </c>
      <c r="Y21" s="13">
        <v>0.6027777777777777</v>
      </c>
      <c r="Z21" s="11">
        <v>16.0</v>
      </c>
      <c r="AA21" s="19"/>
      <c r="AB21" s="13">
        <v>0.6902777777777778</v>
      </c>
      <c r="AC21" s="20">
        <v>15.0</v>
      </c>
      <c r="AD21" s="21">
        <v>0.7402777777777778</v>
      </c>
      <c r="AE21" s="22">
        <v>0.7430555555555556</v>
      </c>
      <c r="AF21" s="18">
        <v>11.0</v>
      </c>
      <c r="AG21" s="12">
        <v>0.8152777777777778</v>
      </c>
      <c r="AH21" s="23">
        <v>0.81875</v>
      </c>
      <c r="AI21" s="11">
        <v>11.0</v>
      </c>
      <c r="AJ21" s="12">
        <v>0.875</v>
      </c>
      <c r="AK21" s="13">
        <v>0.875</v>
      </c>
      <c r="AL21" s="14">
        <v>11.0</v>
      </c>
      <c r="AM21" s="15">
        <v>0.9618055555555556</v>
      </c>
      <c r="AN21" s="16">
        <v>0.9652777777777778</v>
      </c>
      <c r="AO21" s="11">
        <v>16.0</v>
      </c>
      <c r="AP21" s="12">
        <v>0.029166666666666667</v>
      </c>
      <c r="AQ21" s="13">
        <v>0.049305555555555554</v>
      </c>
      <c r="AR21" s="11">
        <v>18.0</v>
      </c>
      <c r="AS21" s="12">
        <v>0.12083333333333333</v>
      </c>
      <c r="AT21" s="13">
        <v>0.12430555555555556</v>
      </c>
      <c r="AU21" s="11">
        <v>18.0</v>
      </c>
      <c r="AV21" s="12">
        <v>0.23125</v>
      </c>
      <c r="AW21" s="13">
        <v>0.2361111111111111</v>
      </c>
      <c r="AX21" s="11">
        <v>20.0</v>
      </c>
      <c r="AY21" s="12">
        <v>0.3194444444444444</v>
      </c>
      <c r="AZ21" s="13">
        <v>0.3194444444444444</v>
      </c>
      <c r="BA21" s="24">
        <v>20.0</v>
      </c>
      <c r="BB21" s="25">
        <v>44787.362956944446</v>
      </c>
      <c r="BC21" s="12"/>
    </row>
    <row r="22" ht="15.75" customHeight="1">
      <c r="A22" s="7"/>
      <c r="B22" s="8" t="s">
        <v>75</v>
      </c>
      <c r="C22" s="9">
        <v>591.0</v>
      </c>
      <c r="D22" s="10" t="s">
        <v>54</v>
      </c>
      <c r="E22" s="11">
        <v>169.0</v>
      </c>
      <c r="F22" s="12">
        <v>0.2743055555555556</v>
      </c>
      <c r="G22" s="13">
        <v>0.275</v>
      </c>
      <c r="H22" s="14">
        <v>143.0</v>
      </c>
      <c r="I22" s="15">
        <v>0.3368055555555556</v>
      </c>
      <c r="J22" s="16">
        <v>0.3368055555555556</v>
      </c>
      <c r="K22" s="11">
        <v>110.0</v>
      </c>
      <c r="L22" s="12">
        <v>0.4</v>
      </c>
      <c r="M22" s="13">
        <v>0.4097222222222222</v>
      </c>
      <c r="N22" s="17">
        <v>94.0</v>
      </c>
      <c r="O22" s="12">
        <v>0.4847222222222222</v>
      </c>
      <c r="P22" s="12">
        <v>0.4861111111111111</v>
      </c>
      <c r="Q22" s="11">
        <v>79.0</v>
      </c>
      <c r="R22" s="12">
        <v>0.5472222222222223</v>
      </c>
      <c r="S22" s="13">
        <v>0.55</v>
      </c>
      <c r="T22" s="18">
        <v>67.0</v>
      </c>
      <c r="U22" s="12">
        <v>0.6069444444444444</v>
      </c>
      <c r="V22" s="13">
        <v>0.6083333333333333</v>
      </c>
      <c r="W22" s="11">
        <v>63.0</v>
      </c>
      <c r="X22" s="12">
        <v>0.6472222222222223</v>
      </c>
      <c r="Y22" s="13">
        <v>0.6548611111111111</v>
      </c>
      <c r="Z22" s="11">
        <v>52.0</v>
      </c>
      <c r="AA22" s="19"/>
      <c r="AB22" s="13">
        <v>0.7451388888888889</v>
      </c>
      <c r="AC22" s="20">
        <v>48.0</v>
      </c>
      <c r="AD22" s="21">
        <v>0.7958333333333333</v>
      </c>
      <c r="AE22" s="22">
        <v>0.7979166666666667</v>
      </c>
      <c r="AF22" s="18">
        <v>37.0</v>
      </c>
      <c r="AG22" s="12">
        <v>0.8715277777777778</v>
      </c>
      <c r="AH22" s="23">
        <v>0.8770833333333333</v>
      </c>
      <c r="AI22" s="11">
        <v>31.0</v>
      </c>
      <c r="AJ22" s="12">
        <v>0.9395833333333333</v>
      </c>
      <c r="AK22" s="13">
        <v>0.9423611111111111</v>
      </c>
      <c r="AL22" s="14">
        <v>30.0</v>
      </c>
      <c r="AM22" s="15">
        <v>0.034722222222222224</v>
      </c>
      <c r="AN22" s="16">
        <v>0.03819444444444445</v>
      </c>
      <c r="AO22" s="11">
        <v>26.0</v>
      </c>
      <c r="AP22" s="12">
        <v>0.08611111111111111</v>
      </c>
      <c r="AQ22" s="13">
        <v>0.09305555555555556</v>
      </c>
      <c r="AR22" s="11">
        <v>26.0</v>
      </c>
      <c r="AS22" s="12">
        <v>0.15902777777777777</v>
      </c>
      <c r="AT22" s="13">
        <v>0.16666666666666666</v>
      </c>
      <c r="AU22" s="11">
        <v>24.0</v>
      </c>
      <c r="AV22" s="12">
        <v>0.25972222222222224</v>
      </c>
      <c r="AW22" s="13">
        <v>0.26458333333333334</v>
      </c>
      <c r="AX22" s="11">
        <v>22.0</v>
      </c>
      <c r="AY22" s="12">
        <v>0.32708333333333334</v>
      </c>
      <c r="AZ22" s="13">
        <v>0.3277777777777778</v>
      </c>
      <c r="BA22" s="24">
        <v>21.0</v>
      </c>
      <c r="BB22" s="25">
        <v>44787.37194664352</v>
      </c>
      <c r="BC22" s="12"/>
    </row>
    <row r="23" ht="15.75" customHeight="1">
      <c r="A23" s="7"/>
      <c r="B23" s="8" t="s">
        <v>76</v>
      </c>
      <c r="C23" s="9">
        <v>728.0</v>
      </c>
      <c r="D23" s="10" t="s">
        <v>66</v>
      </c>
      <c r="E23" s="11">
        <v>60.0</v>
      </c>
      <c r="F23" s="12">
        <v>0.26319444444444445</v>
      </c>
      <c r="G23" s="13">
        <v>0.2638888888888889</v>
      </c>
      <c r="H23" s="14">
        <v>77.0</v>
      </c>
      <c r="I23" s="15">
        <v>0.32083333333333336</v>
      </c>
      <c r="J23" s="16">
        <v>0.32083333333333336</v>
      </c>
      <c r="K23" s="11">
        <v>34.0</v>
      </c>
      <c r="L23" s="12">
        <v>0.37083333333333335</v>
      </c>
      <c r="M23" s="13">
        <v>0.3736111111111111</v>
      </c>
      <c r="N23" s="17">
        <v>37.0</v>
      </c>
      <c r="O23" s="12">
        <v>0.44722222222222224</v>
      </c>
      <c r="P23" s="12">
        <v>0.4486111111111111</v>
      </c>
      <c r="Q23" s="11">
        <v>37.0</v>
      </c>
      <c r="R23" s="12">
        <v>0.5083333333333333</v>
      </c>
      <c r="S23" s="13">
        <v>0.5104166666666666</v>
      </c>
      <c r="T23" s="18">
        <v>33.0</v>
      </c>
      <c r="U23" s="12">
        <v>0.5659722222222222</v>
      </c>
      <c r="V23" s="13">
        <v>0.5666666666666667</v>
      </c>
      <c r="W23" s="11">
        <v>30.0</v>
      </c>
      <c r="X23" s="12">
        <v>0.6055555555555555</v>
      </c>
      <c r="Y23" s="13">
        <v>0.6104166666666667</v>
      </c>
      <c r="Z23" s="11">
        <v>29.0</v>
      </c>
      <c r="AA23" s="19"/>
      <c r="AB23" s="13">
        <v>0.7034722222222223</v>
      </c>
      <c r="AC23" s="20">
        <v>27.0</v>
      </c>
      <c r="AD23" s="21">
        <v>0.7569444444444444</v>
      </c>
      <c r="AE23" s="22">
        <v>0.7611111111111111</v>
      </c>
      <c r="AF23" s="18">
        <v>27.0</v>
      </c>
      <c r="AG23" s="12">
        <v>0.8423611111111111</v>
      </c>
      <c r="AH23" s="23">
        <v>0.8479166666666667</v>
      </c>
      <c r="AI23" s="11">
        <v>25.0</v>
      </c>
      <c r="AJ23" s="12">
        <v>0.9090277777777778</v>
      </c>
      <c r="AK23" s="13">
        <v>0.9125</v>
      </c>
      <c r="AL23" s="14">
        <v>23.0</v>
      </c>
      <c r="AM23" s="15">
        <v>0.9979166666666667</v>
      </c>
      <c r="AN23" s="16">
        <v>0.001388888888888889</v>
      </c>
      <c r="AO23" s="11">
        <v>20.0</v>
      </c>
      <c r="AP23" s="12">
        <v>0.05694444444444444</v>
      </c>
      <c r="AQ23" s="13">
        <v>0.07222222222222222</v>
      </c>
      <c r="AR23" s="11">
        <v>21.0</v>
      </c>
      <c r="AS23" s="12">
        <v>0.13541666666666666</v>
      </c>
      <c r="AT23" s="13">
        <v>0.13958333333333334</v>
      </c>
      <c r="AU23" s="11">
        <v>20.0</v>
      </c>
      <c r="AV23" s="12">
        <v>0.24027777777777778</v>
      </c>
      <c r="AW23" s="13">
        <v>0.24791666666666667</v>
      </c>
      <c r="AX23" s="11">
        <v>21.0</v>
      </c>
      <c r="AY23" s="12">
        <v>0.32222222222222224</v>
      </c>
      <c r="AZ23" s="13">
        <v>0.3236111111111111</v>
      </c>
      <c r="BA23" s="24">
        <v>22.0</v>
      </c>
      <c r="BB23" s="25">
        <v>44787.37420752315</v>
      </c>
      <c r="BC23" s="12"/>
    </row>
    <row r="24" ht="15.75" customHeight="1">
      <c r="A24" s="7"/>
      <c r="B24" s="8" t="s">
        <v>77</v>
      </c>
      <c r="C24" s="9">
        <v>650.0</v>
      </c>
      <c r="D24" s="10" t="s">
        <v>54</v>
      </c>
      <c r="E24" s="11">
        <v>28.0</v>
      </c>
      <c r="F24" s="12">
        <v>0.25972222222222224</v>
      </c>
      <c r="G24" s="13">
        <v>0.2604166666666667</v>
      </c>
      <c r="H24" s="14">
        <v>36.0</v>
      </c>
      <c r="I24" s="15">
        <v>0.31180555555555556</v>
      </c>
      <c r="J24" s="16">
        <v>0.31180555555555556</v>
      </c>
      <c r="K24" s="11">
        <v>31.0</v>
      </c>
      <c r="L24" s="12">
        <v>0.36875</v>
      </c>
      <c r="M24" s="13">
        <v>0.3701388888888889</v>
      </c>
      <c r="N24" s="17">
        <v>24.0</v>
      </c>
      <c r="O24" s="30">
        <v>0.44027777777777777</v>
      </c>
      <c r="P24" s="30">
        <v>0.4409722222222222</v>
      </c>
      <c r="Q24" s="11">
        <v>24.0</v>
      </c>
      <c r="R24" s="12">
        <v>0.4986111111111111</v>
      </c>
      <c r="S24" s="13">
        <v>0.5</v>
      </c>
      <c r="T24" s="18">
        <v>19.0</v>
      </c>
      <c r="U24" s="12">
        <v>0.5520833333333334</v>
      </c>
      <c r="V24" s="13">
        <v>0.5534722222222223</v>
      </c>
      <c r="W24" s="11">
        <v>18.0</v>
      </c>
      <c r="X24" s="12">
        <v>0.5909722222222222</v>
      </c>
      <c r="Y24" s="13">
        <v>0.59375</v>
      </c>
      <c r="Z24" s="11">
        <v>15.0</v>
      </c>
      <c r="AA24" s="19"/>
      <c r="AB24" s="13">
        <v>0.6861111111111111</v>
      </c>
      <c r="AC24" s="20">
        <v>17.0</v>
      </c>
      <c r="AD24" s="21">
        <v>0.7430555555555556</v>
      </c>
      <c r="AE24" s="22">
        <v>0.7458333333333333</v>
      </c>
      <c r="AF24" s="18">
        <v>22.0</v>
      </c>
      <c r="AG24" s="12">
        <v>0.8305555555555556</v>
      </c>
      <c r="AH24" s="23">
        <v>0.8423611111111111</v>
      </c>
      <c r="AI24" s="11">
        <v>22.0</v>
      </c>
      <c r="AJ24" s="12">
        <v>0.9048611111111111</v>
      </c>
      <c r="AK24" s="13">
        <v>0.9076388888888889</v>
      </c>
      <c r="AL24" s="14">
        <v>21.0</v>
      </c>
      <c r="AM24" s="15">
        <v>0.9965277777777778</v>
      </c>
      <c r="AN24" s="16">
        <v>0.9986111111111111</v>
      </c>
      <c r="AO24" s="11">
        <v>21.0</v>
      </c>
      <c r="AP24" s="12">
        <v>0.059722222222222225</v>
      </c>
      <c r="AQ24" s="13">
        <v>0.06597222222222222</v>
      </c>
      <c r="AR24" s="11">
        <v>22.0</v>
      </c>
      <c r="AS24" s="12">
        <v>0.13819444444444445</v>
      </c>
      <c r="AT24" s="13">
        <v>0.1451388888888889</v>
      </c>
      <c r="AU24" s="11">
        <v>25.0</v>
      </c>
      <c r="AV24" s="12">
        <v>0.2604166666666667</v>
      </c>
      <c r="AW24" s="13">
        <v>0.2625</v>
      </c>
      <c r="AX24" s="11">
        <v>24.0</v>
      </c>
      <c r="AY24" s="12">
        <v>0.3375</v>
      </c>
      <c r="AZ24" s="13">
        <v>0.3375</v>
      </c>
      <c r="BA24" s="24">
        <v>23.0</v>
      </c>
      <c r="BB24" s="25">
        <v>44787.37968125</v>
      </c>
      <c r="BC24" s="12"/>
    </row>
    <row r="25" ht="15.75" customHeight="1">
      <c r="A25" s="7"/>
      <c r="B25" s="8" t="s">
        <v>78</v>
      </c>
      <c r="C25" s="9">
        <v>644.0</v>
      </c>
      <c r="D25" s="10" t="s">
        <v>54</v>
      </c>
      <c r="E25" s="11">
        <v>13.0</v>
      </c>
      <c r="F25" s="12">
        <v>0.25416666666666665</v>
      </c>
      <c r="G25" s="13">
        <v>0.2548611111111111</v>
      </c>
      <c r="H25" s="14">
        <v>13.0</v>
      </c>
      <c r="I25" s="15">
        <v>0.3013888888888889</v>
      </c>
      <c r="J25" s="16">
        <v>0.3013888888888889</v>
      </c>
      <c r="K25" s="11">
        <v>16.0</v>
      </c>
      <c r="L25" s="12">
        <v>0.3590277777777778</v>
      </c>
      <c r="M25" s="13">
        <v>0.3625</v>
      </c>
      <c r="N25" s="17">
        <v>23.0</v>
      </c>
      <c r="O25" s="12">
        <v>0.43680555555555556</v>
      </c>
      <c r="P25" s="12">
        <v>0.43819444444444444</v>
      </c>
      <c r="Q25" s="11">
        <v>22.0</v>
      </c>
      <c r="R25" s="12">
        <v>0.49722222222222223</v>
      </c>
      <c r="S25" s="13">
        <v>0.5</v>
      </c>
      <c r="T25" s="18">
        <v>23.0</v>
      </c>
      <c r="U25" s="12">
        <v>0.5569444444444445</v>
      </c>
      <c r="V25" s="13">
        <v>0.5604166666666667</v>
      </c>
      <c r="W25" s="11">
        <v>25.0</v>
      </c>
      <c r="X25" s="12">
        <v>0.6006944444444444</v>
      </c>
      <c r="Y25" s="13">
        <v>0.6083333333333333</v>
      </c>
      <c r="Z25" s="11">
        <v>24.0</v>
      </c>
      <c r="AA25" s="19"/>
      <c r="AB25" s="13">
        <v>0.6986111111111111</v>
      </c>
      <c r="AC25" s="20">
        <v>26.0</v>
      </c>
      <c r="AD25" s="21">
        <v>0.7520833333333333</v>
      </c>
      <c r="AE25" s="22">
        <v>0.7541666666666667</v>
      </c>
      <c r="AF25" s="18">
        <v>26.0</v>
      </c>
      <c r="AG25" s="12">
        <v>0.83125</v>
      </c>
      <c r="AH25" s="23">
        <v>0.8430555555555556</v>
      </c>
      <c r="AI25" s="11">
        <v>24.0</v>
      </c>
      <c r="AJ25" s="12">
        <v>0.9076388888888889</v>
      </c>
      <c r="AK25" s="13">
        <v>0.9125</v>
      </c>
      <c r="AL25" s="14">
        <v>24.0</v>
      </c>
      <c r="AM25" s="15">
        <v>0.0</v>
      </c>
      <c r="AN25" s="16">
        <v>0.002777777777777778</v>
      </c>
      <c r="AO25" s="11">
        <v>22.0</v>
      </c>
      <c r="AP25" s="12">
        <v>0.06180555555555556</v>
      </c>
      <c r="AQ25" s="13">
        <v>0.06944444444444445</v>
      </c>
      <c r="AR25" s="11">
        <v>20.0</v>
      </c>
      <c r="AS25" s="12">
        <v>0.13333333333333333</v>
      </c>
      <c r="AT25" s="13">
        <v>0.13680555555555557</v>
      </c>
      <c r="AU25" s="11">
        <v>22.0</v>
      </c>
      <c r="AV25" s="12">
        <v>0.25</v>
      </c>
      <c r="AW25" s="13">
        <v>0.2534722222222222</v>
      </c>
      <c r="AX25" s="11">
        <v>23.0</v>
      </c>
      <c r="AY25" s="12">
        <v>0.33611111111111114</v>
      </c>
      <c r="AZ25" s="13">
        <v>0.33819444444444446</v>
      </c>
      <c r="BA25" s="24">
        <v>24.0</v>
      </c>
      <c r="BB25" s="25">
        <v>44787.39618831019</v>
      </c>
      <c r="BC25" s="12"/>
    </row>
    <row r="26" ht="15.75" customHeight="1">
      <c r="A26" s="7"/>
      <c r="B26" s="8" t="s">
        <v>79</v>
      </c>
      <c r="C26" s="9">
        <v>611.0</v>
      </c>
      <c r="D26" s="10" t="s">
        <v>54</v>
      </c>
      <c r="E26" s="11">
        <v>49.0</v>
      </c>
      <c r="F26" s="12">
        <v>0.2611111111111111</v>
      </c>
      <c r="G26" s="13">
        <v>0.26180555555555557</v>
      </c>
      <c r="H26" s="14">
        <v>50.0</v>
      </c>
      <c r="I26" s="15">
        <v>0.3138888888888889</v>
      </c>
      <c r="J26" s="16">
        <v>0.3138888888888889</v>
      </c>
      <c r="K26" s="11">
        <v>44.0</v>
      </c>
      <c r="L26" s="12">
        <v>0.3736111111111111</v>
      </c>
      <c r="M26" s="13">
        <v>0.3784722222222222</v>
      </c>
      <c r="N26" s="17">
        <v>41.0</v>
      </c>
      <c r="O26" s="12">
        <v>0.45</v>
      </c>
      <c r="P26" s="12">
        <v>0.4527777777777778</v>
      </c>
      <c r="Q26" s="11">
        <v>41.0</v>
      </c>
      <c r="R26" s="12">
        <v>0.5125</v>
      </c>
      <c r="S26" s="13">
        <v>0.5152777777777777</v>
      </c>
      <c r="T26" s="18">
        <v>38.0</v>
      </c>
      <c r="U26" s="12">
        <v>0.5701388888888889</v>
      </c>
      <c r="V26" s="13">
        <v>0.5708333333333333</v>
      </c>
      <c r="W26" s="11">
        <v>32.0</v>
      </c>
      <c r="X26" s="12">
        <v>0.6069444444444444</v>
      </c>
      <c r="Y26" s="13">
        <v>0.6173611111111111</v>
      </c>
      <c r="Z26" s="11">
        <v>33.0</v>
      </c>
      <c r="AA26" s="19"/>
      <c r="AB26" s="13">
        <v>0.7138888888888889</v>
      </c>
      <c r="AC26" s="20">
        <v>34.0</v>
      </c>
      <c r="AD26" s="21">
        <v>0.7701388888888889</v>
      </c>
      <c r="AE26" s="22">
        <v>0.7729166666666667</v>
      </c>
      <c r="AF26" s="18">
        <v>34.0</v>
      </c>
      <c r="AG26" s="12">
        <v>0.8611111111111112</v>
      </c>
      <c r="AH26" s="23">
        <v>0.8756944444444444</v>
      </c>
      <c r="AI26" s="11">
        <v>37.0</v>
      </c>
      <c r="AJ26" s="12">
        <v>0.9465277777777777</v>
      </c>
      <c r="AK26" s="13">
        <v>0.95</v>
      </c>
      <c r="AL26" s="14">
        <v>37.0</v>
      </c>
      <c r="AM26" s="15">
        <v>0.04722222222222222</v>
      </c>
      <c r="AN26" s="16">
        <v>0.05277777777777778</v>
      </c>
      <c r="AO26" s="11">
        <v>31.0</v>
      </c>
      <c r="AP26" s="12">
        <v>0.1076388888888889</v>
      </c>
      <c r="AQ26" s="13">
        <v>0.12361111111111112</v>
      </c>
      <c r="AR26" s="11">
        <v>33.0</v>
      </c>
      <c r="AS26" s="12">
        <v>0.1951388888888889</v>
      </c>
      <c r="AT26" s="13">
        <v>0.19930555555555557</v>
      </c>
      <c r="AU26" s="11">
        <v>31.0</v>
      </c>
      <c r="AV26" s="12">
        <v>0.2951388888888889</v>
      </c>
      <c r="AW26" s="13">
        <v>0.29930555555555555</v>
      </c>
      <c r="AX26" s="11">
        <v>26.0</v>
      </c>
      <c r="AY26" s="12">
        <v>0.35555555555555557</v>
      </c>
      <c r="AZ26" s="13">
        <v>0.35555555555555557</v>
      </c>
      <c r="BA26" s="24">
        <v>25.0</v>
      </c>
      <c r="BB26" s="25">
        <v>44787.39818182871</v>
      </c>
      <c r="BC26" s="12"/>
    </row>
    <row r="27" ht="15.75" customHeight="1">
      <c r="A27" s="7"/>
      <c r="B27" s="8" t="s">
        <v>80</v>
      </c>
      <c r="C27" s="9">
        <v>692.0</v>
      </c>
      <c r="D27" s="10" t="s">
        <v>54</v>
      </c>
      <c r="E27" s="11">
        <v>45.0</v>
      </c>
      <c r="F27" s="12">
        <v>0.2611111111111111</v>
      </c>
      <c r="G27" s="13">
        <v>0.26180555555555557</v>
      </c>
      <c r="H27" s="14">
        <v>48.0</v>
      </c>
      <c r="I27" s="15">
        <v>0.3138888888888889</v>
      </c>
      <c r="J27" s="16">
        <v>0.3138888888888889</v>
      </c>
      <c r="K27" s="11">
        <v>53.0</v>
      </c>
      <c r="L27" s="12">
        <v>0.3763888888888889</v>
      </c>
      <c r="M27" s="13">
        <v>0.38055555555555554</v>
      </c>
      <c r="N27" s="17">
        <v>56.0</v>
      </c>
      <c r="O27" s="12">
        <v>0.4618055555555556</v>
      </c>
      <c r="P27" s="12">
        <v>0.4652777777777778</v>
      </c>
      <c r="Q27" s="11">
        <v>62.0</v>
      </c>
      <c r="R27" s="12">
        <v>0.5333333333333333</v>
      </c>
      <c r="S27" s="13">
        <v>0.5354166666666667</v>
      </c>
      <c r="T27" s="18">
        <v>62.0</v>
      </c>
      <c r="U27" s="12">
        <v>0.6</v>
      </c>
      <c r="V27" s="13">
        <v>0.6034722222222222</v>
      </c>
      <c r="W27" s="11">
        <v>61.0</v>
      </c>
      <c r="X27" s="12">
        <v>0.6451388888888889</v>
      </c>
      <c r="Y27" s="13">
        <v>0.6541666666666667</v>
      </c>
      <c r="Z27" s="11">
        <v>59.0</v>
      </c>
      <c r="AA27" s="19"/>
      <c r="AB27" s="13">
        <v>0.7569444444444444</v>
      </c>
      <c r="AC27" s="20">
        <v>57.0</v>
      </c>
      <c r="AD27" s="21">
        <v>0.8125</v>
      </c>
      <c r="AE27" s="22">
        <v>0.8152777777777778</v>
      </c>
      <c r="AF27" s="18">
        <v>48.0</v>
      </c>
      <c r="AG27" s="12">
        <v>0.8951388888888889</v>
      </c>
      <c r="AH27" s="23">
        <v>0.9076388888888889</v>
      </c>
      <c r="AI27" s="11">
        <v>42.0</v>
      </c>
      <c r="AJ27" s="30">
        <v>0.9715277777777778</v>
      </c>
      <c r="AK27" s="13">
        <v>0.9777777777777777</v>
      </c>
      <c r="AL27" s="14">
        <v>38.0</v>
      </c>
      <c r="AM27" s="15">
        <v>0.059027777777777776</v>
      </c>
      <c r="AN27" s="16">
        <v>0.06527777777777778</v>
      </c>
      <c r="AO27" s="11">
        <v>34.0</v>
      </c>
      <c r="AP27" s="12">
        <v>0.11527777777777778</v>
      </c>
      <c r="AQ27" s="13">
        <v>0.11875</v>
      </c>
      <c r="AR27" s="11">
        <v>30.0</v>
      </c>
      <c r="AS27" s="12">
        <v>0.18888888888888888</v>
      </c>
      <c r="AT27" s="13">
        <v>0.19444444444444445</v>
      </c>
      <c r="AU27" s="11">
        <v>28.0</v>
      </c>
      <c r="AV27" s="12">
        <v>0.2916666666666667</v>
      </c>
      <c r="AW27" s="13">
        <v>0.29444444444444445</v>
      </c>
      <c r="AX27" s="11">
        <v>27.0</v>
      </c>
      <c r="AY27" s="12">
        <v>0.35625</v>
      </c>
      <c r="AZ27" s="13">
        <v>0.35625</v>
      </c>
      <c r="BA27" s="24">
        <v>26.0</v>
      </c>
      <c r="BB27" s="25">
        <v>44787.39818668982</v>
      </c>
      <c r="BC27" s="12"/>
    </row>
    <row r="28" ht="15.75" customHeight="1">
      <c r="A28" s="7"/>
      <c r="B28" s="8" t="s">
        <v>81</v>
      </c>
      <c r="C28" s="9">
        <v>662.0</v>
      </c>
      <c r="D28" s="10" t="s">
        <v>54</v>
      </c>
      <c r="E28" s="11">
        <v>53.0</v>
      </c>
      <c r="F28" s="12">
        <v>0.26319444444444445</v>
      </c>
      <c r="G28" s="13">
        <v>0.2638888888888889</v>
      </c>
      <c r="H28" s="14">
        <v>187.0</v>
      </c>
      <c r="I28" s="15">
        <v>0.3527777777777778</v>
      </c>
      <c r="J28" s="16">
        <v>0.3527777777777778</v>
      </c>
      <c r="K28" s="11">
        <v>46.0</v>
      </c>
      <c r="L28" s="12">
        <v>0.375</v>
      </c>
      <c r="M28" s="13">
        <v>0.3784722222222222</v>
      </c>
      <c r="N28" s="17">
        <v>43.0</v>
      </c>
      <c r="O28" s="12">
        <v>0.4527777777777778</v>
      </c>
      <c r="P28" s="12">
        <v>0.4548611111111111</v>
      </c>
      <c r="Q28" s="11">
        <v>43.0</v>
      </c>
      <c r="R28" s="12">
        <v>0.5125</v>
      </c>
      <c r="S28" s="13">
        <v>0.5152777777777777</v>
      </c>
      <c r="T28" s="18">
        <v>41.0</v>
      </c>
      <c r="U28" s="12">
        <v>0.5708333333333333</v>
      </c>
      <c r="V28" s="13">
        <v>0.5729166666666666</v>
      </c>
      <c r="W28" s="11">
        <v>35.0</v>
      </c>
      <c r="X28" s="12">
        <v>0.6111111111111112</v>
      </c>
      <c r="Y28" s="13">
        <v>0.6166666666666667</v>
      </c>
      <c r="Z28" s="11">
        <v>31.0</v>
      </c>
      <c r="AA28" s="19"/>
      <c r="AB28" s="13">
        <v>0.7111111111111111</v>
      </c>
      <c r="AC28" s="20">
        <v>30.0</v>
      </c>
      <c r="AD28" s="21">
        <v>0.7666666666666667</v>
      </c>
      <c r="AE28" s="22">
        <v>0.7694444444444445</v>
      </c>
      <c r="AF28" s="18">
        <v>29.0</v>
      </c>
      <c r="AG28" s="12">
        <v>0.8493055555555555</v>
      </c>
      <c r="AH28" s="23">
        <v>0.85625</v>
      </c>
      <c r="AI28" s="11">
        <v>28.0</v>
      </c>
      <c r="AJ28" s="12">
        <v>0.9291666666666667</v>
      </c>
      <c r="AK28" s="13">
        <v>0.9319444444444445</v>
      </c>
      <c r="AL28" s="14">
        <v>26.0</v>
      </c>
      <c r="AM28" s="15">
        <v>0.021527777777777778</v>
      </c>
      <c r="AN28" s="16">
        <v>0.025</v>
      </c>
      <c r="AO28" s="11">
        <v>24.0</v>
      </c>
      <c r="AP28" s="12">
        <v>0.07847222222222222</v>
      </c>
      <c r="AQ28" s="13">
        <v>0.08819444444444445</v>
      </c>
      <c r="AR28" s="11">
        <v>25.0</v>
      </c>
      <c r="AS28" s="12">
        <v>0.15416666666666667</v>
      </c>
      <c r="AT28" s="13">
        <v>0.15694444444444444</v>
      </c>
      <c r="AU28" s="11">
        <v>23.0</v>
      </c>
      <c r="AV28" s="12">
        <v>0.25972222222222224</v>
      </c>
      <c r="AW28" s="13">
        <v>0.2604166666666667</v>
      </c>
      <c r="AX28" s="11">
        <v>25.0</v>
      </c>
      <c r="AY28" s="12">
        <v>0.3451388888888889</v>
      </c>
      <c r="AZ28" s="13">
        <v>0.34652777777777777</v>
      </c>
      <c r="BA28" s="24">
        <v>27.0</v>
      </c>
      <c r="BB28" s="25">
        <v>44787.40830763889</v>
      </c>
      <c r="BC28" s="12"/>
    </row>
    <row r="29" ht="15.75" customHeight="1">
      <c r="A29" s="7"/>
      <c r="B29" s="8" t="s">
        <v>82</v>
      </c>
      <c r="C29" s="9">
        <v>715.0</v>
      </c>
      <c r="D29" s="10" t="s">
        <v>54</v>
      </c>
      <c r="E29" s="32"/>
      <c r="F29" s="19"/>
      <c r="G29" s="33"/>
      <c r="H29" s="27"/>
      <c r="I29" s="28"/>
      <c r="J29" s="29"/>
      <c r="K29" s="11">
        <v>48.0</v>
      </c>
      <c r="L29" s="12">
        <v>0.375</v>
      </c>
      <c r="M29" s="13">
        <v>0.37916666666666665</v>
      </c>
      <c r="N29" s="17">
        <v>44.0</v>
      </c>
      <c r="O29" s="30">
        <v>0.4527777777777778</v>
      </c>
      <c r="P29" s="30">
        <v>0.4548611111111111</v>
      </c>
      <c r="Q29" s="11">
        <v>44.0</v>
      </c>
      <c r="R29" s="12">
        <v>0.5125</v>
      </c>
      <c r="S29" s="13">
        <v>0.5152777777777777</v>
      </c>
      <c r="T29" s="18">
        <v>42.0</v>
      </c>
      <c r="U29" s="12">
        <v>0.5715277777777777</v>
      </c>
      <c r="V29" s="13">
        <v>0.5729166666666666</v>
      </c>
      <c r="W29" s="11">
        <v>39.0</v>
      </c>
      <c r="X29" s="12">
        <v>0.6118055555555556</v>
      </c>
      <c r="Y29" s="13">
        <v>0.6194444444444445</v>
      </c>
      <c r="Z29" s="11">
        <v>34.0</v>
      </c>
      <c r="AA29" s="19"/>
      <c r="AB29" s="13">
        <v>0.7138888888888889</v>
      </c>
      <c r="AC29" s="20">
        <v>33.0</v>
      </c>
      <c r="AD29" s="21">
        <v>0.7701388888888889</v>
      </c>
      <c r="AE29" s="22">
        <v>0.7729166666666667</v>
      </c>
      <c r="AF29" s="18">
        <v>33.0</v>
      </c>
      <c r="AG29" s="12">
        <v>0.8604166666666667</v>
      </c>
      <c r="AH29" s="23">
        <v>0.8722222222222222</v>
      </c>
      <c r="AI29" s="11">
        <v>32.0</v>
      </c>
      <c r="AJ29" s="12">
        <v>0.9395833333333333</v>
      </c>
      <c r="AK29" s="13">
        <v>0.9423611111111111</v>
      </c>
      <c r="AL29" s="14">
        <v>32.0</v>
      </c>
      <c r="AM29" s="15">
        <v>0.035416666666666666</v>
      </c>
      <c r="AN29" s="16">
        <v>0.03819444444444445</v>
      </c>
      <c r="AO29" s="11">
        <v>29.0</v>
      </c>
      <c r="AP29" s="12">
        <v>0.09930555555555555</v>
      </c>
      <c r="AQ29" s="13">
        <v>0.11597222222222223</v>
      </c>
      <c r="AR29" s="11">
        <v>29.0</v>
      </c>
      <c r="AS29" s="12">
        <v>0.18680555555555556</v>
      </c>
      <c r="AT29" s="13">
        <v>0.19166666666666668</v>
      </c>
      <c r="AU29" s="11">
        <v>29.0</v>
      </c>
      <c r="AV29" s="12">
        <v>0.29305555555555557</v>
      </c>
      <c r="AW29" s="13">
        <v>0.2972222222222222</v>
      </c>
      <c r="AX29" s="11">
        <v>29.0</v>
      </c>
      <c r="AY29" s="12">
        <v>0.36527777777777776</v>
      </c>
      <c r="AZ29" s="13">
        <v>0.3659722222222222</v>
      </c>
      <c r="BA29" s="24">
        <v>28.0</v>
      </c>
      <c r="BB29" s="25">
        <v>44787.41191550926</v>
      </c>
      <c r="BC29" s="12"/>
    </row>
    <row r="30" ht="15.75" customHeight="1">
      <c r="A30" s="7"/>
      <c r="B30" s="8" t="s">
        <v>83</v>
      </c>
      <c r="C30" s="9">
        <v>697.0</v>
      </c>
      <c r="D30" s="10" t="s">
        <v>54</v>
      </c>
      <c r="E30" s="11">
        <v>34.0</v>
      </c>
      <c r="F30" s="12">
        <v>0.25972222222222224</v>
      </c>
      <c r="G30" s="13">
        <v>0.2604166666666667</v>
      </c>
      <c r="H30" s="14">
        <v>28.0</v>
      </c>
      <c r="I30" s="15">
        <v>0.30694444444444446</v>
      </c>
      <c r="J30" s="16">
        <v>0.30694444444444446</v>
      </c>
      <c r="K30" s="11">
        <v>21.0</v>
      </c>
      <c r="L30" s="12">
        <v>0.36319444444444443</v>
      </c>
      <c r="M30" s="13">
        <v>0.3638888888888889</v>
      </c>
      <c r="N30" s="17">
        <v>15.0</v>
      </c>
      <c r="O30" s="12">
        <v>0.42986111111111114</v>
      </c>
      <c r="P30" s="12">
        <v>0.4326388888888889</v>
      </c>
      <c r="Q30" s="11">
        <v>13.0</v>
      </c>
      <c r="R30" s="12">
        <v>0.48680555555555555</v>
      </c>
      <c r="S30" s="13">
        <v>0.4888888888888889</v>
      </c>
      <c r="T30" s="18">
        <v>14.0</v>
      </c>
      <c r="U30" s="12">
        <v>0.5444444444444444</v>
      </c>
      <c r="V30" s="13">
        <v>0.5472222222222223</v>
      </c>
      <c r="W30" s="11">
        <v>14.0</v>
      </c>
      <c r="X30" s="12">
        <v>0.5875</v>
      </c>
      <c r="Y30" s="13">
        <v>0.5951388888888889</v>
      </c>
      <c r="Z30" s="11">
        <v>14.0</v>
      </c>
      <c r="AA30" s="26"/>
      <c r="AB30" s="13">
        <v>0.6854166666666667</v>
      </c>
      <c r="AC30" s="20">
        <v>16.0</v>
      </c>
      <c r="AD30" s="21">
        <v>0.7430555555555556</v>
      </c>
      <c r="AE30" s="22">
        <v>0.7458333333333333</v>
      </c>
      <c r="AF30" s="18">
        <v>24.0</v>
      </c>
      <c r="AG30" s="12">
        <v>0.8305555555555556</v>
      </c>
      <c r="AH30" s="23">
        <v>0.8409722222222222</v>
      </c>
      <c r="AI30" s="11">
        <v>23.0</v>
      </c>
      <c r="AJ30" s="12">
        <v>0.9055555555555556</v>
      </c>
      <c r="AK30" s="13">
        <v>0.9090277777777778</v>
      </c>
      <c r="AL30" s="14">
        <v>22.0</v>
      </c>
      <c r="AM30" s="15">
        <v>0.9965277777777778</v>
      </c>
      <c r="AN30" s="16">
        <v>0.002777777777777778</v>
      </c>
      <c r="AO30" s="11">
        <v>23.0</v>
      </c>
      <c r="AP30" s="12">
        <v>0.07013888888888889</v>
      </c>
      <c r="AQ30" s="13">
        <v>0.075</v>
      </c>
      <c r="AR30" s="11">
        <v>23.0</v>
      </c>
      <c r="AS30" s="12">
        <v>0.14722222222222223</v>
      </c>
      <c r="AT30" s="13">
        <v>0.15208333333333332</v>
      </c>
      <c r="AU30" s="11">
        <v>26.0</v>
      </c>
      <c r="AV30" s="12">
        <v>0.26805555555555555</v>
      </c>
      <c r="AW30" s="13">
        <v>0.2798611111111111</v>
      </c>
      <c r="AX30" s="11">
        <v>28.0</v>
      </c>
      <c r="AY30" s="12">
        <v>0.36180555555555555</v>
      </c>
      <c r="AZ30" s="13">
        <v>0.35694444444444445</v>
      </c>
      <c r="BA30" s="24">
        <v>29.0</v>
      </c>
      <c r="BB30" s="25">
        <v>44787.41691608797</v>
      </c>
      <c r="BC30" s="12"/>
    </row>
    <row r="31" ht="15.75" customHeight="1">
      <c r="A31" s="7"/>
      <c r="B31" s="8" t="s">
        <v>84</v>
      </c>
      <c r="C31" s="9">
        <v>527.0</v>
      </c>
      <c r="D31" s="10" t="s">
        <v>54</v>
      </c>
      <c r="E31" s="11">
        <v>23.0</v>
      </c>
      <c r="F31" s="12">
        <v>0.25763888888888886</v>
      </c>
      <c r="G31" s="13">
        <v>0.25833333333333336</v>
      </c>
      <c r="H31" s="14">
        <v>20.0</v>
      </c>
      <c r="I31" s="15">
        <v>0.30625</v>
      </c>
      <c r="J31" s="16">
        <v>0.30625</v>
      </c>
      <c r="K31" s="11">
        <v>18.0</v>
      </c>
      <c r="L31" s="12">
        <v>0.3625</v>
      </c>
      <c r="M31" s="13">
        <v>0.3638888888888889</v>
      </c>
      <c r="N31" s="17">
        <v>18.0</v>
      </c>
      <c r="O31" s="12">
        <v>0.43472222222222223</v>
      </c>
      <c r="P31" s="12">
        <v>0.4361111111111111</v>
      </c>
      <c r="Q31" s="11">
        <v>19.0</v>
      </c>
      <c r="R31" s="12">
        <v>0.49444444444444446</v>
      </c>
      <c r="S31" s="13">
        <v>0.49583333333333335</v>
      </c>
      <c r="T31" s="18">
        <v>21.0</v>
      </c>
      <c r="U31" s="12">
        <v>0.5541666666666667</v>
      </c>
      <c r="V31" s="13">
        <v>0.5576388888888889</v>
      </c>
      <c r="W31" s="11">
        <v>22.0</v>
      </c>
      <c r="X31" s="12">
        <v>0.5993055555555555</v>
      </c>
      <c r="Y31" s="13">
        <v>0.6111111111111112</v>
      </c>
      <c r="Z31" s="11">
        <v>30.0</v>
      </c>
      <c r="AA31" s="19"/>
      <c r="AB31" s="13">
        <v>0.7041666666666667</v>
      </c>
      <c r="AC31" s="20">
        <v>31.0</v>
      </c>
      <c r="AD31" s="21">
        <v>0.7680555555555556</v>
      </c>
      <c r="AE31" s="22">
        <v>0.7715277777777778</v>
      </c>
      <c r="AF31" s="18">
        <v>32.0</v>
      </c>
      <c r="AG31" s="12">
        <v>0.8597222222222223</v>
      </c>
      <c r="AH31" s="23">
        <v>0.8770833333333333</v>
      </c>
      <c r="AI31" s="11">
        <v>35.0</v>
      </c>
      <c r="AJ31" s="12">
        <v>0.9451388888888889</v>
      </c>
      <c r="AK31" s="13">
        <v>0.9486111111111111</v>
      </c>
      <c r="AL31" s="14">
        <v>35.0</v>
      </c>
      <c r="AM31" s="15">
        <v>0.041666666666666664</v>
      </c>
      <c r="AN31" s="16">
        <v>0.04652777777777778</v>
      </c>
      <c r="AO31" s="11">
        <v>33.0</v>
      </c>
      <c r="AP31" s="12">
        <v>0.1111111111111111</v>
      </c>
      <c r="AQ31" s="13">
        <v>0.12152777777777778</v>
      </c>
      <c r="AR31" s="11">
        <v>32.0</v>
      </c>
      <c r="AS31" s="12">
        <v>0.1951388888888889</v>
      </c>
      <c r="AT31" s="13">
        <v>0.20069444444444445</v>
      </c>
      <c r="AU31" s="11">
        <v>35.0</v>
      </c>
      <c r="AV31" s="12">
        <v>0.31180555555555556</v>
      </c>
      <c r="AW31" s="13">
        <v>0.31527777777777777</v>
      </c>
      <c r="AX31" s="11">
        <v>33.0</v>
      </c>
      <c r="AY31" s="12">
        <v>0.38263888888888886</v>
      </c>
      <c r="AZ31" s="13">
        <v>0.38263888888888886</v>
      </c>
      <c r="BA31" s="24">
        <v>30.0</v>
      </c>
      <c r="BB31" s="25">
        <v>44787.41921863426</v>
      </c>
      <c r="BC31" s="12"/>
    </row>
    <row r="32" ht="15.75" customHeight="1">
      <c r="A32" s="7"/>
      <c r="B32" s="8" t="s">
        <v>85</v>
      </c>
      <c r="C32" s="9">
        <v>550.0</v>
      </c>
      <c r="D32" s="10" t="s">
        <v>66</v>
      </c>
      <c r="E32" s="11">
        <v>76.0</v>
      </c>
      <c r="F32" s="12">
        <v>0.2659722222222222</v>
      </c>
      <c r="G32" s="13">
        <v>0.26666666666666666</v>
      </c>
      <c r="H32" s="27"/>
      <c r="I32" s="28"/>
      <c r="J32" s="29"/>
      <c r="K32" s="11">
        <v>82.0</v>
      </c>
      <c r="L32" s="12">
        <v>0.38819444444444445</v>
      </c>
      <c r="M32" s="13">
        <v>0.39652777777777776</v>
      </c>
      <c r="N32" s="17">
        <v>81.0</v>
      </c>
      <c r="O32" s="12">
        <v>0.47847222222222224</v>
      </c>
      <c r="P32" s="12">
        <v>0.48055555555555557</v>
      </c>
      <c r="Q32" s="11">
        <v>76.0</v>
      </c>
      <c r="R32" s="12">
        <v>0.5451388888888888</v>
      </c>
      <c r="S32" s="13">
        <v>0.5541666666666667</v>
      </c>
      <c r="T32" s="18">
        <v>78.0</v>
      </c>
      <c r="U32" s="12">
        <v>0.6166666666666667</v>
      </c>
      <c r="V32" s="13">
        <v>0.6194444444444445</v>
      </c>
      <c r="W32" s="11">
        <v>70.0</v>
      </c>
      <c r="X32" s="12">
        <v>0.6625</v>
      </c>
      <c r="Y32" s="13">
        <v>0.6708333333333333</v>
      </c>
      <c r="Z32" s="11">
        <v>65.0</v>
      </c>
      <c r="AA32" s="19"/>
      <c r="AB32" s="13">
        <v>0.7701388888888889</v>
      </c>
      <c r="AC32" s="20">
        <v>62.0</v>
      </c>
      <c r="AD32" s="21">
        <v>0.8222222222222222</v>
      </c>
      <c r="AE32" s="22">
        <v>0.8236111111111111</v>
      </c>
      <c r="AF32" s="18">
        <v>56.0</v>
      </c>
      <c r="AG32" s="12">
        <v>0.9138888888888889</v>
      </c>
      <c r="AH32" s="23">
        <v>0.925</v>
      </c>
      <c r="AI32" s="11">
        <v>51.0</v>
      </c>
      <c r="AJ32" s="12">
        <v>0.9979166666666667</v>
      </c>
      <c r="AK32" s="13">
        <v>0.003472222222222222</v>
      </c>
      <c r="AL32" s="14">
        <v>53.0</v>
      </c>
      <c r="AM32" s="15">
        <v>0.10555555555555556</v>
      </c>
      <c r="AN32" s="16">
        <v>0.1076388888888889</v>
      </c>
      <c r="AO32" s="11">
        <v>42.0</v>
      </c>
      <c r="AP32" s="12">
        <v>0.15416666666666667</v>
      </c>
      <c r="AQ32" s="13">
        <v>0.16041666666666668</v>
      </c>
      <c r="AR32" s="11">
        <v>45.0</v>
      </c>
      <c r="AS32" s="12">
        <v>0.23958333333333334</v>
      </c>
      <c r="AT32" s="13">
        <v>0.24583333333333332</v>
      </c>
      <c r="AU32" s="11">
        <v>41.0</v>
      </c>
      <c r="AV32" s="12">
        <v>0.3277777777777778</v>
      </c>
      <c r="AW32" s="13">
        <v>0.3277777777777778</v>
      </c>
      <c r="AX32" s="11">
        <v>32.0</v>
      </c>
      <c r="AY32" s="12">
        <v>0.38263888888888886</v>
      </c>
      <c r="AZ32" s="13">
        <v>0.38263888888888886</v>
      </c>
      <c r="BA32" s="24">
        <v>31.0</v>
      </c>
      <c r="BB32" s="25">
        <v>44787.42339826389</v>
      </c>
      <c r="BC32" s="12"/>
    </row>
    <row r="33" ht="15.75" customHeight="1">
      <c r="A33" s="7"/>
      <c r="B33" s="8" t="s">
        <v>86</v>
      </c>
      <c r="C33" s="9">
        <v>729.0</v>
      </c>
      <c r="D33" s="10" t="s">
        <v>54</v>
      </c>
      <c r="E33" s="11">
        <v>67.0</v>
      </c>
      <c r="F33" s="12">
        <v>0.2638888888888889</v>
      </c>
      <c r="G33" s="13">
        <v>0.26458333333333334</v>
      </c>
      <c r="H33" s="14">
        <v>71.0</v>
      </c>
      <c r="I33" s="15">
        <v>0.32083333333333336</v>
      </c>
      <c r="J33" s="16">
        <v>0.32083333333333336</v>
      </c>
      <c r="K33" s="11">
        <v>63.0</v>
      </c>
      <c r="L33" s="12">
        <v>0.3840277777777778</v>
      </c>
      <c r="M33" s="13">
        <v>0.3861111111111111</v>
      </c>
      <c r="N33" s="17">
        <v>62.0</v>
      </c>
      <c r="O33" s="12">
        <v>0.4652777777777778</v>
      </c>
      <c r="P33" s="12">
        <v>0.4666666666666667</v>
      </c>
      <c r="Q33" s="11">
        <v>59.0</v>
      </c>
      <c r="R33" s="12">
        <v>0.5291666666666667</v>
      </c>
      <c r="S33" s="13">
        <v>0.5305555555555556</v>
      </c>
      <c r="T33" s="18">
        <v>53.0</v>
      </c>
      <c r="U33" s="12">
        <v>0.5881944444444445</v>
      </c>
      <c r="V33" s="13">
        <v>0.5895833333333333</v>
      </c>
      <c r="W33" s="11">
        <v>48.0</v>
      </c>
      <c r="X33" s="12">
        <v>0.6291666666666667</v>
      </c>
      <c r="Y33" s="13">
        <v>0.63125</v>
      </c>
      <c r="Z33" s="11">
        <v>45.0</v>
      </c>
      <c r="AA33" s="19"/>
      <c r="AB33" s="13">
        <v>0.7319444444444444</v>
      </c>
      <c r="AC33" s="20">
        <v>45.0</v>
      </c>
      <c r="AD33" s="21">
        <v>0.7902777777777777</v>
      </c>
      <c r="AE33" s="22">
        <v>0.7923611111111111</v>
      </c>
      <c r="AF33" s="18">
        <v>39.0</v>
      </c>
      <c r="AG33" s="12">
        <v>0.8770833333333333</v>
      </c>
      <c r="AH33" s="23">
        <v>0.8833333333333333</v>
      </c>
      <c r="AI33" s="11">
        <v>39.0</v>
      </c>
      <c r="AJ33" s="12">
        <v>0.9576388888888889</v>
      </c>
      <c r="AK33" s="13">
        <v>0.9618055555555556</v>
      </c>
      <c r="AL33" s="14">
        <v>39.0</v>
      </c>
      <c r="AM33" s="15">
        <v>0.0625</v>
      </c>
      <c r="AN33" s="16">
        <v>0.06597222222222222</v>
      </c>
      <c r="AO33" s="11">
        <v>35.0</v>
      </c>
      <c r="AP33" s="12">
        <v>0.12152777777777778</v>
      </c>
      <c r="AQ33" s="13">
        <v>0.12777777777777777</v>
      </c>
      <c r="AR33" s="11">
        <v>34.0</v>
      </c>
      <c r="AS33" s="12">
        <v>0.19722222222222222</v>
      </c>
      <c r="AT33" s="13">
        <v>0.20069444444444445</v>
      </c>
      <c r="AU33" s="11">
        <v>30.0</v>
      </c>
      <c r="AV33" s="12">
        <v>0.29305555555555557</v>
      </c>
      <c r="AW33" s="13">
        <v>0.2972222222222222</v>
      </c>
      <c r="AX33" s="11">
        <v>31.0</v>
      </c>
      <c r="AY33" s="12">
        <v>0.3770833333333333</v>
      </c>
      <c r="AZ33" s="13">
        <v>0.3798611111111111</v>
      </c>
      <c r="BA33" s="24">
        <v>32.0</v>
      </c>
      <c r="BB33" s="25">
        <v>44787.42941863426</v>
      </c>
      <c r="BC33" s="12"/>
    </row>
    <row r="34" ht="15.75" customHeight="1">
      <c r="A34" s="7"/>
      <c r="B34" s="8" t="s">
        <v>87</v>
      </c>
      <c r="C34" s="9">
        <v>530.0</v>
      </c>
      <c r="D34" s="10" t="s">
        <v>54</v>
      </c>
      <c r="E34" s="11">
        <v>46.0</v>
      </c>
      <c r="F34" s="12">
        <v>0.2611111111111111</v>
      </c>
      <c r="G34" s="13">
        <v>0.26180555555555557</v>
      </c>
      <c r="H34" s="14">
        <v>40.0</v>
      </c>
      <c r="I34" s="15">
        <v>0.31319444444444444</v>
      </c>
      <c r="J34" s="16">
        <v>0.31319444444444444</v>
      </c>
      <c r="K34" s="11">
        <v>57.0</v>
      </c>
      <c r="L34" s="12">
        <v>0.3784722222222222</v>
      </c>
      <c r="M34" s="13">
        <v>0.38055555555555554</v>
      </c>
      <c r="N34" s="17">
        <v>49.0</v>
      </c>
      <c r="O34" s="12">
        <v>0.45694444444444443</v>
      </c>
      <c r="P34" s="12">
        <v>0.45902777777777776</v>
      </c>
      <c r="Q34" s="11">
        <v>49.0</v>
      </c>
      <c r="R34" s="12">
        <v>0.5208333333333334</v>
      </c>
      <c r="S34" s="13">
        <v>0.5229166666666667</v>
      </c>
      <c r="T34" s="18">
        <v>51.0</v>
      </c>
      <c r="U34" s="12">
        <v>0.5875</v>
      </c>
      <c r="V34" s="13">
        <v>0.5888888888888889</v>
      </c>
      <c r="W34" s="11">
        <v>49.0</v>
      </c>
      <c r="X34" s="12">
        <v>0.6305555555555555</v>
      </c>
      <c r="Y34" s="13">
        <v>0.6340277777777777</v>
      </c>
      <c r="Z34" s="11">
        <v>48.0</v>
      </c>
      <c r="AA34" s="19"/>
      <c r="AB34" s="13">
        <v>0.7388888888888889</v>
      </c>
      <c r="AC34" s="20">
        <v>49.0</v>
      </c>
      <c r="AD34" s="21">
        <v>0.8</v>
      </c>
      <c r="AE34" s="22">
        <v>0.8020833333333334</v>
      </c>
      <c r="AF34" s="18">
        <v>50.0</v>
      </c>
      <c r="AG34" s="12">
        <v>0.9013888888888889</v>
      </c>
      <c r="AH34" s="23">
        <v>0.9180555555555555</v>
      </c>
      <c r="AI34" s="11">
        <v>47.0</v>
      </c>
      <c r="AJ34" s="12">
        <v>0.9909722222222223</v>
      </c>
      <c r="AK34" s="13">
        <v>0.9930555555555556</v>
      </c>
      <c r="AL34" s="14">
        <v>41.0</v>
      </c>
      <c r="AM34" s="15">
        <v>0.07430555555555556</v>
      </c>
      <c r="AN34" s="16">
        <v>0.07569444444444444</v>
      </c>
      <c r="AO34" s="11">
        <v>38.0</v>
      </c>
      <c r="AP34" s="12">
        <v>0.13472222222222222</v>
      </c>
      <c r="AQ34" s="13">
        <v>0.14305555555555555</v>
      </c>
      <c r="AR34" s="11">
        <v>37.0</v>
      </c>
      <c r="AS34" s="12">
        <v>0.2125</v>
      </c>
      <c r="AT34" s="13">
        <v>0.21736111111111112</v>
      </c>
      <c r="AU34" s="11">
        <v>34.0</v>
      </c>
      <c r="AV34" s="12">
        <v>0.3104166666666667</v>
      </c>
      <c r="AW34" s="13">
        <v>0.31180555555555556</v>
      </c>
      <c r="AX34" s="11">
        <v>34.0</v>
      </c>
      <c r="AY34" s="12">
        <v>0.38263888888888886</v>
      </c>
      <c r="AZ34" s="13">
        <v>0.38333333333333336</v>
      </c>
      <c r="BA34" s="24">
        <v>33.0</v>
      </c>
      <c r="BB34" s="25">
        <v>44787.43122210648</v>
      </c>
      <c r="BC34" s="12"/>
    </row>
    <row r="35" ht="15.75" customHeight="1">
      <c r="A35" s="7"/>
      <c r="B35" s="8" t="s">
        <v>88</v>
      </c>
      <c r="C35" s="9">
        <v>686.0</v>
      </c>
      <c r="D35" s="10" t="s">
        <v>54</v>
      </c>
      <c r="E35" s="11">
        <v>43.0</v>
      </c>
      <c r="F35" s="12">
        <v>0.2604166666666667</v>
      </c>
      <c r="G35" s="13">
        <v>0.26180555555555557</v>
      </c>
      <c r="H35" s="14">
        <v>49.0</v>
      </c>
      <c r="I35" s="15">
        <v>0.3138888888888889</v>
      </c>
      <c r="J35" s="16">
        <v>0.3138888888888889</v>
      </c>
      <c r="K35" s="11">
        <v>55.0</v>
      </c>
      <c r="L35" s="12">
        <v>0.3770833333333333</v>
      </c>
      <c r="M35" s="13">
        <v>0.3798611111111111</v>
      </c>
      <c r="N35" s="17">
        <v>51.0</v>
      </c>
      <c r="O35" s="12">
        <v>0.45902777777777776</v>
      </c>
      <c r="P35" s="12">
        <v>0.46041666666666664</v>
      </c>
      <c r="Q35" s="11">
        <v>53.0</v>
      </c>
      <c r="R35" s="12">
        <v>0.5229166666666667</v>
      </c>
      <c r="S35" s="13">
        <v>0.5256944444444445</v>
      </c>
      <c r="T35" s="18">
        <v>55.0</v>
      </c>
      <c r="U35" s="12">
        <v>0.5888888888888889</v>
      </c>
      <c r="V35" s="13">
        <v>0.5909722222222222</v>
      </c>
      <c r="W35" s="11">
        <v>53.0</v>
      </c>
      <c r="X35" s="12">
        <v>0.6333333333333333</v>
      </c>
      <c r="Y35" s="13">
        <v>0.6361111111111111</v>
      </c>
      <c r="Z35" s="11">
        <v>44.0</v>
      </c>
      <c r="AA35" s="19"/>
      <c r="AB35" s="13">
        <v>0.7284722222222222</v>
      </c>
      <c r="AC35" s="20">
        <v>42.0</v>
      </c>
      <c r="AD35" s="21">
        <v>0.7854166666666667</v>
      </c>
      <c r="AE35" s="22">
        <v>0.7875</v>
      </c>
      <c r="AF35" s="18">
        <v>38.0</v>
      </c>
      <c r="AG35" s="12">
        <v>0.8715277777777778</v>
      </c>
      <c r="AH35" s="23">
        <v>0.8756944444444444</v>
      </c>
      <c r="AI35" s="11">
        <v>34.0</v>
      </c>
      <c r="AJ35" s="12">
        <v>0.9416666666666667</v>
      </c>
      <c r="AK35" s="13">
        <v>0.9451388888888889</v>
      </c>
      <c r="AL35" s="14">
        <v>28.0</v>
      </c>
      <c r="AM35" s="15">
        <v>0.03125</v>
      </c>
      <c r="AN35" s="16">
        <v>0.03263888888888889</v>
      </c>
      <c r="AO35" s="11">
        <v>27.0</v>
      </c>
      <c r="AP35" s="12">
        <v>0.08888888888888889</v>
      </c>
      <c r="AQ35" s="13">
        <v>0.09236111111111112</v>
      </c>
      <c r="AR35" s="11">
        <v>27.0</v>
      </c>
      <c r="AS35" s="12">
        <v>0.16319444444444445</v>
      </c>
      <c r="AT35" s="13">
        <v>0.16597222222222222</v>
      </c>
      <c r="AU35" s="11">
        <v>27.0</v>
      </c>
      <c r="AV35" s="12">
        <v>0.2763888888888889</v>
      </c>
      <c r="AW35" s="13">
        <v>0.2798611111111111</v>
      </c>
      <c r="AX35" s="11">
        <v>30.0</v>
      </c>
      <c r="AY35" s="12">
        <v>0.3680555555555556</v>
      </c>
      <c r="AZ35" s="13">
        <v>0.36180555555555555</v>
      </c>
      <c r="BA35" s="24">
        <v>34.0</v>
      </c>
      <c r="BB35" s="25">
        <v>44787.43818993056</v>
      </c>
      <c r="BC35" s="12"/>
    </row>
    <row r="36" ht="15.75" customHeight="1">
      <c r="A36" s="7"/>
      <c r="B36" s="8" t="s">
        <v>89</v>
      </c>
      <c r="C36" s="9">
        <v>684.0</v>
      </c>
      <c r="D36" s="10" t="s">
        <v>54</v>
      </c>
      <c r="E36" s="11">
        <v>121.0</v>
      </c>
      <c r="F36" s="12">
        <v>0.2701388888888889</v>
      </c>
      <c r="G36" s="13">
        <v>0.2708333333333333</v>
      </c>
      <c r="H36" s="14">
        <v>102.0</v>
      </c>
      <c r="I36" s="15">
        <v>0.32569444444444445</v>
      </c>
      <c r="J36" s="16">
        <v>0.32569444444444445</v>
      </c>
      <c r="K36" s="11">
        <v>66.0</v>
      </c>
      <c r="L36" s="12">
        <v>0.3854166666666667</v>
      </c>
      <c r="M36" s="13">
        <v>0.3875</v>
      </c>
      <c r="N36" s="17">
        <v>53.0</v>
      </c>
      <c r="O36" s="12">
        <v>0.4597222222222222</v>
      </c>
      <c r="P36" s="12">
        <v>0.46111111111111114</v>
      </c>
      <c r="Q36" s="11">
        <v>47.0</v>
      </c>
      <c r="R36" s="12">
        <v>0.5180555555555556</v>
      </c>
      <c r="S36" s="13">
        <v>0.5236111111111111</v>
      </c>
      <c r="T36" s="18">
        <v>47.0</v>
      </c>
      <c r="U36" s="12">
        <v>0.5826388888888889</v>
      </c>
      <c r="V36" s="13">
        <v>0.5854166666666667</v>
      </c>
      <c r="W36" s="11">
        <v>46.0</v>
      </c>
      <c r="X36" s="12">
        <v>0.6236111111111111</v>
      </c>
      <c r="Y36" s="13">
        <v>0.6375</v>
      </c>
      <c r="Z36" s="11">
        <v>42.0</v>
      </c>
      <c r="AA36" s="19"/>
      <c r="AB36" s="13">
        <v>0.7263888888888889</v>
      </c>
      <c r="AC36" s="20">
        <v>36.0</v>
      </c>
      <c r="AD36" s="21">
        <v>0.7756944444444445</v>
      </c>
      <c r="AE36" s="22">
        <v>0.78125</v>
      </c>
      <c r="AF36" s="18">
        <v>35.0</v>
      </c>
      <c r="AG36" s="12">
        <v>0.8645833333333334</v>
      </c>
      <c r="AH36" s="23">
        <v>0.8833333333333333</v>
      </c>
      <c r="AI36" s="11">
        <v>36.0</v>
      </c>
      <c r="AJ36" s="12">
        <v>0.9451388888888889</v>
      </c>
      <c r="AK36" s="13">
        <v>0.9493055555555555</v>
      </c>
      <c r="AL36" s="14">
        <v>31.0</v>
      </c>
      <c r="AM36" s="15">
        <v>0.034722222222222224</v>
      </c>
      <c r="AN36" s="16">
        <v>0.03888888888888889</v>
      </c>
      <c r="AO36" s="11">
        <v>28.0</v>
      </c>
      <c r="AP36" s="12">
        <v>0.09722222222222222</v>
      </c>
      <c r="AQ36" s="13">
        <v>0.11805555555555555</v>
      </c>
      <c r="AR36" s="11">
        <v>28.0</v>
      </c>
      <c r="AS36" s="12">
        <v>0.18055555555555555</v>
      </c>
      <c r="AT36" s="13">
        <v>0.1875</v>
      </c>
      <c r="AU36" s="11">
        <v>32.0</v>
      </c>
      <c r="AV36" s="12">
        <v>0.29791666666666666</v>
      </c>
      <c r="AW36" s="13">
        <v>0.30277777777777776</v>
      </c>
      <c r="AX36" s="11">
        <v>35.0</v>
      </c>
      <c r="AY36" s="12">
        <v>0.3861111111111111</v>
      </c>
      <c r="AZ36" s="13">
        <v>0.3861111111111111</v>
      </c>
      <c r="BA36" s="24">
        <v>35.0</v>
      </c>
      <c r="BB36" s="25">
        <v>44787.44045057871</v>
      </c>
      <c r="BC36" s="12"/>
    </row>
    <row r="37" ht="15.75" customHeight="1">
      <c r="A37" s="7"/>
      <c r="B37" s="8" t="s">
        <v>90</v>
      </c>
      <c r="C37" s="9">
        <v>507.0</v>
      </c>
      <c r="D37" s="10" t="s">
        <v>54</v>
      </c>
      <c r="E37" s="11">
        <v>44.0</v>
      </c>
      <c r="F37" s="12">
        <v>0.2611111111111111</v>
      </c>
      <c r="G37" s="13">
        <v>0.26180555555555557</v>
      </c>
      <c r="H37" s="14">
        <v>32.0</v>
      </c>
      <c r="I37" s="15">
        <v>0.3076388888888889</v>
      </c>
      <c r="J37" s="16">
        <v>0.3076388888888889</v>
      </c>
      <c r="K37" s="11">
        <v>41.0</v>
      </c>
      <c r="L37" s="12">
        <v>0.3715277777777778</v>
      </c>
      <c r="M37" s="13">
        <v>0.3784722222222222</v>
      </c>
      <c r="N37" s="17">
        <v>52.0</v>
      </c>
      <c r="O37" s="12">
        <v>0.4597222222222222</v>
      </c>
      <c r="P37" s="12">
        <v>0.46111111111111114</v>
      </c>
      <c r="Q37" s="11">
        <v>50.0</v>
      </c>
      <c r="R37" s="12">
        <v>0.5215277777777778</v>
      </c>
      <c r="S37" s="13">
        <v>0.525</v>
      </c>
      <c r="T37" s="18">
        <v>49.0</v>
      </c>
      <c r="U37" s="12">
        <v>0.5854166666666667</v>
      </c>
      <c r="V37" s="13">
        <v>0.5881944444444445</v>
      </c>
      <c r="W37" s="11">
        <v>47.0</v>
      </c>
      <c r="X37" s="12">
        <v>0.6277777777777778</v>
      </c>
      <c r="Y37" s="13">
        <v>0.6326388888888889</v>
      </c>
      <c r="Z37" s="11">
        <v>46.0</v>
      </c>
      <c r="AA37" s="19"/>
      <c r="AB37" s="13">
        <v>0.7333333333333333</v>
      </c>
      <c r="AC37" s="20">
        <v>46.0</v>
      </c>
      <c r="AD37" s="21">
        <v>0.79375</v>
      </c>
      <c r="AE37" s="22">
        <v>0.8</v>
      </c>
      <c r="AF37" s="18">
        <v>45.0</v>
      </c>
      <c r="AG37" s="12">
        <v>0.8895833333333333</v>
      </c>
      <c r="AH37" s="23">
        <v>0.9006944444444445</v>
      </c>
      <c r="AI37" s="11">
        <v>41.0</v>
      </c>
      <c r="AJ37" s="12">
        <v>0.9708333333333333</v>
      </c>
      <c r="AK37" s="13">
        <v>0.9777777777777777</v>
      </c>
      <c r="AL37" s="14">
        <v>40.0</v>
      </c>
      <c r="AM37" s="15">
        <v>0.07291666666666667</v>
      </c>
      <c r="AN37" s="16">
        <v>0.08055555555555556</v>
      </c>
      <c r="AO37" s="11">
        <v>36.0</v>
      </c>
      <c r="AP37" s="12">
        <v>0.12986111111111112</v>
      </c>
      <c r="AQ37" s="13">
        <v>0.14305555555555555</v>
      </c>
      <c r="AR37" s="11">
        <v>36.0</v>
      </c>
      <c r="AS37" s="12">
        <v>0.21180555555555555</v>
      </c>
      <c r="AT37" s="13">
        <v>0.2152777777777778</v>
      </c>
      <c r="AU37" s="11">
        <v>36.0</v>
      </c>
      <c r="AV37" s="12">
        <v>0.3138888888888889</v>
      </c>
      <c r="AW37" s="13">
        <v>0.3194444444444444</v>
      </c>
      <c r="AX37" s="11">
        <v>36.0</v>
      </c>
      <c r="AY37" s="12">
        <v>0.39444444444444443</v>
      </c>
      <c r="AZ37" s="13">
        <v>0.39652777777777776</v>
      </c>
      <c r="BA37" s="24">
        <v>36.0</v>
      </c>
      <c r="BB37" s="25">
        <v>44787.441484490744</v>
      </c>
      <c r="BC37" s="12"/>
    </row>
    <row r="38" ht="15.75" customHeight="1">
      <c r="A38" s="7"/>
      <c r="B38" s="8" t="s">
        <v>91</v>
      </c>
      <c r="C38" s="9">
        <v>511.0</v>
      </c>
      <c r="D38" s="10" t="s">
        <v>54</v>
      </c>
      <c r="E38" s="11">
        <v>37.0</v>
      </c>
      <c r="F38" s="12">
        <v>0.2604166666666667</v>
      </c>
      <c r="G38" s="13">
        <v>0.26180555555555557</v>
      </c>
      <c r="H38" s="14">
        <v>22.0</v>
      </c>
      <c r="I38" s="15">
        <v>0.30625</v>
      </c>
      <c r="J38" s="16">
        <v>0.30625</v>
      </c>
      <c r="K38" s="11">
        <v>27.0</v>
      </c>
      <c r="L38" s="12">
        <v>0.3659722222222222</v>
      </c>
      <c r="M38" s="13">
        <v>0.3701388888888889</v>
      </c>
      <c r="N38" s="17">
        <v>36.0</v>
      </c>
      <c r="O38" s="12">
        <v>0.4465277777777778</v>
      </c>
      <c r="P38" s="12">
        <v>0.4479166666666667</v>
      </c>
      <c r="Q38" s="11">
        <v>45.0</v>
      </c>
      <c r="R38" s="12">
        <v>0.5131944444444444</v>
      </c>
      <c r="S38" s="13">
        <v>0.5152777777777777</v>
      </c>
      <c r="T38" s="18">
        <v>46.0</v>
      </c>
      <c r="U38" s="12">
        <v>0.5798611111111112</v>
      </c>
      <c r="V38" s="13">
        <v>0.58125</v>
      </c>
      <c r="W38" s="11">
        <v>45.0</v>
      </c>
      <c r="X38" s="12">
        <v>0.6222222222222222</v>
      </c>
      <c r="Y38" s="13">
        <v>0.6319444444444444</v>
      </c>
      <c r="Z38" s="11">
        <v>50.0</v>
      </c>
      <c r="AA38" s="19"/>
      <c r="AB38" s="13">
        <v>0.74375</v>
      </c>
      <c r="AC38" s="20">
        <v>50.0</v>
      </c>
      <c r="AD38" s="21">
        <v>0.8027777777777778</v>
      </c>
      <c r="AE38" s="22">
        <v>0.8076388888888889</v>
      </c>
      <c r="AF38" s="18">
        <v>46.0</v>
      </c>
      <c r="AG38" s="12">
        <v>0.8916666666666667</v>
      </c>
      <c r="AH38" s="23">
        <v>0.9111111111111111</v>
      </c>
      <c r="AI38" s="11">
        <v>43.0</v>
      </c>
      <c r="AJ38" s="12">
        <v>0.9805555555555555</v>
      </c>
      <c r="AK38" s="13">
        <v>0.9868055555555556</v>
      </c>
      <c r="AL38" s="14">
        <v>42.0</v>
      </c>
      <c r="AM38" s="15">
        <v>0.0763888888888889</v>
      </c>
      <c r="AN38" s="16">
        <v>0.08055555555555556</v>
      </c>
      <c r="AO38" s="11">
        <v>37.0</v>
      </c>
      <c r="AP38" s="12">
        <v>0.13333333333333333</v>
      </c>
      <c r="AQ38" s="13">
        <v>0.15138888888888888</v>
      </c>
      <c r="AR38" s="11">
        <v>38.0</v>
      </c>
      <c r="AS38" s="12">
        <v>0.21458333333333332</v>
      </c>
      <c r="AT38" s="13">
        <v>0.22152777777777777</v>
      </c>
      <c r="AU38" s="11">
        <v>37.0</v>
      </c>
      <c r="AV38" s="12">
        <v>0.31666666666666665</v>
      </c>
      <c r="AW38" s="13">
        <v>0.3263888888888889</v>
      </c>
      <c r="AX38" s="11">
        <v>38.0</v>
      </c>
      <c r="AY38" s="12">
        <v>0.39791666666666664</v>
      </c>
      <c r="AZ38" s="13">
        <v>0.3993055555555556</v>
      </c>
      <c r="BA38" s="24">
        <v>37.0</v>
      </c>
      <c r="BB38" s="25">
        <v>44787.44197465278</v>
      </c>
      <c r="BC38" s="12"/>
    </row>
    <row r="39" ht="15.75" customHeight="1">
      <c r="A39" s="7"/>
      <c r="B39" s="8" t="s">
        <v>92</v>
      </c>
      <c r="C39" s="9">
        <v>645.0</v>
      </c>
      <c r="D39" s="10" t="s">
        <v>54</v>
      </c>
      <c r="E39" s="11">
        <v>56.0</v>
      </c>
      <c r="F39" s="12">
        <v>0.26319444444444445</v>
      </c>
      <c r="G39" s="13">
        <v>0.2638888888888889</v>
      </c>
      <c r="H39" s="14">
        <v>72.0</v>
      </c>
      <c r="I39" s="15">
        <v>0.32083333333333336</v>
      </c>
      <c r="J39" s="16">
        <v>0.32083333333333336</v>
      </c>
      <c r="K39" s="11">
        <v>72.0</v>
      </c>
      <c r="L39" s="12">
        <v>0.38680555555555557</v>
      </c>
      <c r="M39" s="13">
        <v>0.38958333333333334</v>
      </c>
      <c r="N39" s="17">
        <v>61.0</v>
      </c>
      <c r="O39" s="12">
        <v>0.46458333333333335</v>
      </c>
      <c r="P39" s="12">
        <v>0.46597222222222223</v>
      </c>
      <c r="Q39" s="11">
        <v>54.0</v>
      </c>
      <c r="R39" s="12">
        <v>0.525</v>
      </c>
      <c r="S39" s="13">
        <v>0.5277777777777778</v>
      </c>
      <c r="T39" s="18">
        <v>50.0</v>
      </c>
      <c r="U39" s="12">
        <v>0.5875</v>
      </c>
      <c r="V39" s="13">
        <v>0.5902777777777778</v>
      </c>
      <c r="W39" s="11">
        <v>52.0</v>
      </c>
      <c r="X39" s="12">
        <v>0.63125</v>
      </c>
      <c r="Y39" s="13">
        <v>0.6416666666666667</v>
      </c>
      <c r="Z39" s="11">
        <v>47.0</v>
      </c>
      <c r="AA39" s="19"/>
      <c r="AB39" s="13">
        <v>0.7340277777777777</v>
      </c>
      <c r="AC39" s="20">
        <v>44.0</v>
      </c>
      <c r="AD39" s="21">
        <v>0.7902777777777777</v>
      </c>
      <c r="AE39" s="22">
        <v>0.79375</v>
      </c>
      <c r="AF39" s="18">
        <v>40.0</v>
      </c>
      <c r="AG39" s="12">
        <v>0.8770833333333333</v>
      </c>
      <c r="AH39" s="23">
        <v>0.8895833333333333</v>
      </c>
      <c r="AI39" s="11">
        <v>38.0</v>
      </c>
      <c r="AJ39" s="12">
        <v>0.9493055555555555</v>
      </c>
      <c r="AK39" s="13">
        <v>0.9569444444444445</v>
      </c>
      <c r="AL39" s="14">
        <v>36.0</v>
      </c>
      <c r="AM39" s="15">
        <v>0.04513888888888889</v>
      </c>
      <c r="AN39" s="16">
        <v>0.050694444444444445</v>
      </c>
      <c r="AO39" s="11">
        <v>32.0</v>
      </c>
      <c r="AP39" s="12">
        <v>0.10902777777777778</v>
      </c>
      <c r="AQ39" s="13">
        <v>0.13333333333333333</v>
      </c>
      <c r="AR39" s="11">
        <v>35.0</v>
      </c>
      <c r="AS39" s="12">
        <v>0.2</v>
      </c>
      <c r="AT39" s="13">
        <v>0.2076388888888889</v>
      </c>
      <c r="AU39" s="11">
        <v>33.0</v>
      </c>
      <c r="AV39" s="12">
        <v>0.3076388888888889</v>
      </c>
      <c r="AW39" s="13">
        <v>0.32222222222222224</v>
      </c>
      <c r="AX39" s="11">
        <v>37.0</v>
      </c>
      <c r="AY39" s="12">
        <v>0.3958333333333333</v>
      </c>
      <c r="AZ39" s="13">
        <v>0.39791666666666664</v>
      </c>
      <c r="BA39" s="24">
        <v>38.0</v>
      </c>
      <c r="BB39" s="25">
        <v>44787.4435375</v>
      </c>
      <c r="BC39" s="12"/>
    </row>
    <row r="40" ht="15.75" customHeight="1">
      <c r="A40" s="7"/>
      <c r="B40" s="8" t="s">
        <v>93</v>
      </c>
      <c r="C40" s="9">
        <v>523.0</v>
      </c>
      <c r="D40" s="10" t="s">
        <v>54</v>
      </c>
      <c r="E40" s="11">
        <v>114.0</v>
      </c>
      <c r="F40" s="12">
        <v>0.26944444444444443</v>
      </c>
      <c r="G40" s="13">
        <v>0.2701388888888889</v>
      </c>
      <c r="H40" s="14">
        <v>100.0</v>
      </c>
      <c r="I40" s="15">
        <v>0.32569444444444445</v>
      </c>
      <c r="J40" s="16">
        <v>0.32569444444444445</v>
      </c>
      <c r="K40" s="11">
        <v>81.0</v>
      </c>
      <c r="L40" s="12">
        <v>0.38819444444444445</v>
      </c>
      <c r="M40" s="13">
        <v>0.39375</v>
      </c>
      <c r="N40" s="17">
        <v>70.0</v>
      </c>
      <c r="O40" s="12">
        <v>0.4722222222222222</v>
      </c>
      <c r="P40" s="12">
        <v>0.4736111111111111</v>
      </c>
      <c r="Q40" s="11">
        <v>61.0</v>
      </c>
      <c r="R40" s="12">
        <v>0.51875</v>
      </c>
      <c r="S40" s="13">
        <v>0.5368055555555555</v>
      </c>
      <c r="T40" s="18">
        <v>58.0</v>
      </c>
      <c r="U40" s="12">
        <v>0.5958333333333333</v>
      </c>
      <c r="V40" s="13">
        <v>0.6</v>
      </c>
      <c r="W40" s="11">
        <v>55.0</v>
      </c>
      <c r="X40" s="12">
        <v>0.6409722222222223</v>
      </c>
      <c r="Y40" s="13">
        <v>0.6555555555555556</v>
      </c>
      <c r="Z40" s="11">
        <v>57.0</v>
      </c>
      <c r="AA40" s="19"/>
      <c r="AB40" s="13">
        <v>0.75625</v>
      </c>
      <c r="AC40" s="20">
        <v>55.0</v>
      </c>
      <c r="AD40" s="21">
        <v>0.8125</v>
      </c>
      <c r="AE40" s="22">
        <v>0.8208333333333333</v>
      </c>
      <c r="AF40" s="18">
        <v>51.0</v>
      </c>
      <c r="AG40" s="12">
        <v>0.9076388888888889</v>
      </c>
      <c r="AH40" s="23">
        <v>0.91875</v>
      </c>
      <c r="AI40" s="11">
        <v>49.0</v>
      </c>
      <c r="AJ40" s="12">
        <v>0.9930555555555556</v>
      </c>
      <c r="AK40" s="13">
        <v>0.9993055555555556</v>
      </c>
      <c r="AL40" s="14">
        <v>48.0</v>
      </c>
      <c r="AM40" s="15">
        <v>0.09791666666666667</v>
      </c>
      <c r="AN40" s="16">
        <v>0.10694444444444444</v>
      </c>
      <c r="AO40" s="11">
        <v>43.0</v>
      </c>
      <c r="AP40" s="12">
        <v>0.15416666666666667</v>
      </c>
      <c r="AQ40" s="13">
        <v>0.1673611111111111</v>
      </c>
      <c r="AR40" s="11">
        <v>41.0</v>
      </c>
      <c r="AS40" s="12">
        <v>0.2298611111111111</v>
      </c>
      <c r="AT40" s="13">
        <v>0.23680555555555555</v>
      </c>
      <c r="AU40" s="11">
        <v>40.0</v>
      </c>
      <c r="AV40" s="12">
        <v>0.3277777777777778</v>
      </c>
      <c r="AW40" s="13">
        <v>0.33541666666666664</v>
      </c>
      <c r="AX40" s="11">
        <v>39.0</v>
      </c>
      <c r="AY40" s="12">
        <v>0.4027777777777778</v>
      </c>
      <c r="AZ40" s="13">
        <v>0.40347222222222223</v>
      </c>
      <c r="BA40" s="24">
        <v>39.0</v>
      </c>
      <c r="BB40" s="25">
        <v>44787.44736828704</v>
      </c>
      <c r="BC40" s="12"/>
    </row>
    <row r="41" ht="15.75" customHeight="1">
      <c r="A41" s="7"/>
      <c r="B41" s="8" t="s">
        <v>94</v>
      </c>
      <c r="C41" s="9">
        <v>642.0</v>
      </c>
      <c r="D41" s="10" t="s">
        <v>54</v>
      </c>
      <c r="E41" s="11">
        <v>39.0</v>
      </c>
      <c r="F41" s="12">
        <v>0.2604166666666667</v>
      </c>
      <c r="G41" s="13">
        <v>0.26180555555555557</v>
      </c>
      <c r="H41" s="14">
        <v>37.0</v>
      </c>
      <c r="I41" s="15">
        <v>0.31180555555555556</v>
      </c>
      <c r="J41" s="16">
        <v>0.31180555555555556</v>
      </c>
      <c r="K41" s="11">
        <v>45.0</v>
      </c>
      <c r="L41" s="12">
        <v>0.37430555555555556</v>
      </c>
      <c r="M41" s="13">
        <v>0.3763888888888889</v>
      </c>
      <c r="N41" s="17">
        <v>50.0</v>
      </c>
      <c r="O41" s="12">
        <v>0.45902777777777776</v>
      </c>
      <c r="P41" s="12">
        <v>0.46041666666666664</v>
      </c>
      <c r="Q41" s="11">
        <v>52.0</v>
      </c>
      <c r="R41" s="12">
        <v>0.5229166666666667</v>
      </c>
      <c r="S41" s="13">
        <v>0.525</v>
      </c>
      <c r="T41" s="18">
        <v>54.0</v>
      </c>
      <c r="U41" s="12">
        <v>0.5881944444444445</v>
      </c>
      <c r="V41" s="13">
        <v>0.5895833333333333</v>
      </c>
      <c r="W41" s="11">
        <v>54.0</v>
      </c>
      <c r="X41" s="12">
        <v>0.6333333333333333</v>
      </c>
      <c r="Y41" s="13">
        <v>0.6381944444444444</v>
      </c>
      <c r="Z41" s="11">
        <v>54.0</v>
      </c>
      <c r="AA41" s="19"/>
      <c r="AB41" s="13">
        <v>0.7513888888888889</v>
      </c>
      <c r="AC41" s="20">
        <v>58.0</v>
      </c>
      <c r="AD41" s="21">
        <v>0.8152777777777778</v>
      </c>
      <c r="AE41" s="22">
        <v>0.8215277777777777</v>
      </c>
      <c r="AF41" s="18">
        <v>58.0</v>
      </c>
      <c r="AG41" s="12">
        <v>0.9166666666666666</v>
      </c>
      <c r="AH41" s="23">
        <v>0.9305555555555556</v>
      </c>
      <c r="AI41" s="11">
        <v>53.0</v>
      </c>
      <c r="AJ41" s="12">
        <v>1.0</v>
      </c>
      <c r="AK41" s="13">
        <v>0.007638888888888889</v>
      </c>
      <c r="AL41" s="14">
        <v>46.0</v>
      </c>
      <c r="AM41" s="15">
        <v>0.09652777777777778</v>
      </c>
      <c r="AN41" s="16">
        <v>0.10555555555555556</v>
      </c>
      <c r="AO41" s="11">
        <v>44.0</v>
      </c>
      <c r="AP41" s="12">
        <v>0.15555555555555556</v>
      </c>
      <c r="AQ41" s="13">
        <v>0.16805555555555557</v>
      </c>
      <c r="AR41" s="11">
        <v>44.0</v>
      </c>
      <c r="AS41" s="12">
        <v>0.23958333333333334</v>
      </c>
      <c r="AT41" s="13">
        <v>0.24722222222222223</v>
      </c>
      <c r="AU41" s="11">
        <v>43.0</v>
      </c>
      <c r="AV41" s="12">
        <v>0.33819444444444446</v>
      </c>
      <c r="AW41" s="13">
        <v>0.34375</v>
      </c>
      <c r="AX41" s="11">
        <v>43.0</v>
      </c>
      <c r="AY41" s="12">
        <v>0.41180555555555554</v>
      </c>
      <c r="AZ41" s="13">
        <v>0.41180555555555554</v>
      </c>
      <c r="BA41" s="24">
        <v>40.0</v>
      </c>
      <c r="BB41" s="25">
        <v>44787.45050625</v>
      </c>
      <c r="BC41" s="12"/>
    </row>
    <row r="42" ht="15.75" customHeight="1">
      <c r="A42" s="7"/>
      <c r="B42" s="8" t="s">
        <v>95</v>
      </c>
      <c r="C42" s="9">
        <v>522.0</v>
      </c>
      <c r="D42" s="10" t="s">
        <v>54</v>
      </c>
      <c r="E42" s="11">
        <v>87.0</v>
      </c>
      <c r="F42" s="12">
        <v>0.26666666666666666</v>
      </c>
      <c r="G42" s="13">
        <v>0.2673611111111111</v>
      </c>
      <c r="H42" s="14">
        <v>90.0</v>
      </c>
      <c r="I42" s="15">
        <v>0.32430555555555557</v>
      </c>
      <c r="J42" s="16">
        <v>0.32430555555555557</v>
      </c>
      <c r="K42" s="11">
        <v>94.0</v>
      </c>
      <c r="L42" s="12">
        <v>0.39375</v>
      </c>
      <c r="M42" s="13">
        <v>0.39652777777777776</v>
      </c>
      <c r="N42" s="17">
        <v>87.0</v>
      </c>
      <c r="O42" s="12">
        <v>0.4826388888888889</v>
      </c>
      <c r="P42" s="12">
        <v>0.48541666666666666</v>
      </c>
      <c r="Q42" s="11">
        <v>88.0</v>
      </c>
      <c r="R42" s="12">
        <v>0.55625</v>
      </c>
      <c r="S42" s="13">
        <v>0.5583333333333333</v>
      </c>
      <c r="T42" s="18">
        <v>95.0</v>
      </c>
      <c r="U42" s="12">
        <v>0.6298611111111111</v>
      </c>
      <c r="V42" s="13">
        <v>0.6326388888888889</v>
      </c>
      <c r="W42" s="11">
        <v>92.0</v>
      </c>
      <c r="X42" s="12">
        <v>0.6805555555555556</v>
      </c>
      <c r="Y42" s="13">
        <v>0.6861111111111111</v>
      </c>
      <c r="Z42" s="11">
        <v>81.0</v>
      </c>
      <c r="AA42" s="19"/>
      <c r="AB42" s="13">
        <v>0.7895833333333333</v>
      </c>
      <c r="AC42" s="20">
        <v>80.0</v>
      </c>
      <c r="AD42" s="21">
        <v>0.8534722222222222</v>
      </c>
      <c r="AE42" s="22">
        <v>0.8569444444444444</v>
      </c>
      <c r="AF42" s="18">
        <v>74.0</v>
      </c>
      <c r="AG42" s="12">
        <v>0.9486111111111111</v>
      </c>
      <c r="AH42" s="23">
        <v>0.9548611111111112</v>
      </c>
      <c r="AI42" s="11">
        <v>66.0</v>
      </c>
      <c r="AJ42" s="12">
        <v>0.022222222222222223</v>
      </c>
      <c r="AK42" s="13">
        <v>0.025</v>
      </c>
      <c r="AL42" s="14">
        <v>57.0</v>
      </c>
      <c r="AM42" s="15">
        <v>0.11388888888888889</v>
      </c>
      <c r="AN42" s="16">
        <v>0.12013888888888889</v>
      </c>
      <c r="AO42" s="11">
        <v>54.0</v>
      </c>
      <c r="AP42" s="12">
        <v>0.17847222222222223</v>
      </c>
      <c r="AQ42" s="13">
        <v>0.1840277777777778</v>
      </c>
      <c r="AR42" s="11">
        <v>46.0</v>
      </c>
      <c r="AS42" s="12">
        <v>0.24444444444444444</v>
      </c>
      <c r="AT42" s="13">
        <v>0.2465277777777778</v>
      </c>
      <c r="AU42" s="11">
        <v>42.0</v>
      </c>
      <c r="AV42" s="12">
        <v>0.3375</v>
      </c>
      <c r="AW42" s="13">
        <v>0.3402777777777778</v>
      </c>
      <c r="AX42" s="11">
        <v>40.0</v>
      </c>
      <c r="AY42" s="12">
        <v>0.4076388888888889</v>
      </c>
      <c r="AZ42" s="13">
        <v>0.40902777777777777</v>
      </c>
      <c r="BA42" s="24">
        <v>41.0</v>
      </c>
      <c r="BB42" s="25">
        <v>44787.45165011574</v>
      </c>
      <c r="BC42" s="12"/>
    </row>
    <row r="43" ht="15.75" customHeight="1">
      <c r="A43" s="7"/>
      <c r="B43" s="8" t="s">
        <v>96</v>
      </c>
      <c r="C43" s="9">
        <v>675.0</v>
      </c>
      <c r="D43" s="10" t="s">
        <v>66</v>
      </c>
      <c r="E43" s="11">
        <v>94.0</v>
      </c>
      <c r="F43" s="12">
        <v>0.2673611111111111</v>
      </c>
      <c r="G43" s="13">
        <v>0.26805555555555555</v>
      </c>
      <c r="H43" s="14">
        <v>108.0</v>
      </c>
      <c r="I43" s="15">
        <v>0.32569444444444445</v>
      </c>
      <c r="J43" s="16">
        <v>0.32569444444444445</v>
      </c>
      <c r="K43" s="11">
        <v>88.0</v>
      </c>
      <c r="L43" s="12">
        <v>0.38958333333333334</v>
      </c>
      <c r="M43" s="13">
        <v>0.3951388888888889</v>
      </c>
      <c r="N43" s="17">
        <v>79.0</v>
      </c>
      <c r="O43" s="12">
        <v>0.4756944444444444</v>
      </c>
      <c r="P43" s="12">
        <v>0.48055555555555557</v>
      </c>
      <c r="Q43" s="11">
        <v>77.0</v>
      </c>
      <c r="R43" s="12">
        <v>0.5465277777777777</v>
      </c>
      <c r="S43" s="13">
        <v>0.5479166666666667</v>
      </c>
      <c r="T43" s="18">
        <v>65.0</v>
      </c>
      <c r="U43" s="12">
        <v>0.60625</v>
      </c>
      <c r="V43" s="13">
        <v>0.6076388888888888</v>
      </c>
      <c r="W43" s="11">
        <v>64.0</v>
      </c>
      <c r="X43" s="12">
        <v>0.6493055555555556</v>
      </c>
      <c r="Y43" s="13">
        <v>0.6576388888888889</v>
      </c>
      <c r="Z43" s="11">
        <v>56.0</v>
      </c>
      <c r="AA43" s="19"/>
      <c r="AB43" s="13">
        <v>0.7534722222222222</v>
      </c>
      <c r="AC43" s="20">
        <v>54.0</v>
      </c>
      <c r="AD43" s="21">
        <v>0.8125</v>
      </c>
      <c r="AE43" s="22">
        <v>0.81875</v>
      </c>
      <c r="AF43" s="18">
        <v>55.0</v>
      </c>
      <c r="AG43" s="12">
        <v>0.9111111111111111</v>
      </c>
      <c r="AH43" s="23">
        <v>0.91875</v>
      </c>
      <c r="AI43" s="11">
        <v>46.0</v>
      </c>
      <c r="AJ43" s="12">
        <v>0.9909722222222223</v>
      </c>
      <c r="AK43" s="13">
        <v>0.9916666666666667</v>
      </c>
      <c r="AL43" s="14">
        <v>44.0</v>
      </c>
      <c r="AM43" s="15">
        <v>0.08402777777777778</v>
      </c>
      <c r="AN43" s="16">
        <v>0.08958333333333333</v>
      </c>
      <c r="AO43" s="11">
        <v>41.0</v>
      </c>
      <c r="AP43" s="12">
        <v>0.14375</v>
      </c>
      <c r="AQ43" s="13">
        <v>0.1527777777777778</v>
      </c>
      <c r="AR43" s="11">
        <v>39.0</v>
      </c>
      <c r="AS43" s="12">
        <v>0.22291666666666668</v>
      </c>
      <c r="AT43" s="13">
        <v>0.225</v>
      </c>
      <c r="AU43" s="11">
        <v>39.0</v>
      </c>
      <c r="AV43" s="12">
        <v>0.3277777777777778</v>
      </c>
      <c r="AW43" s="13">
        <v>0.3347222222222222</v>
      </c>
      <c r="AX43" s="11">
        <v>41.0</v>
      </c>
      <c r="AY43" s="12">
        <v>0.4076388888888889</v>
      </c>
      <c r="AZ43" s="13">
        <v>0.4083333333333333</v>
      </c>
      <c r="BA43" s="24">
        <v>42.0</v>
      </c>
      <c r="BB43" s="25">
        <v>44787.45773391204</v>
      </c>
      <c r="BC43" s="12"/>
    </row>
    <row r="44" ht="15.75" customHeight="1">
      <c r="A44" s="7"/>
      <c r="B44" s="8" t="s">
        <v>97</v>
      </c>
      <c r="C44" s="9">
        <v>585.0</v>
      </c>
      <c r="D44" s="10" t="s">
        <v>54</v>
      </c>
      <c r="E44" s="11">
        <v>144.0</v>
      </c>
      <c r="F44" s="12">
        <v>0.27152777777777776</v>
      </c>
      <c r="G44" s="13">
        <v>0.2722222222222222</v>
      </c>
      <c r="H44" s="14">
        <v>141.0</v>
      </c>
      <c r="I44" s="15">
        <v>0.33611111111111114</v>
      </c>
      <c r="J44" s="16">
        <v>0.33611111111111114</v>
      </c>
      <c r="K44" s="11">
        <v>147.0</v>
      </c>
      <c r="L44" s="12">
        <v>0.4125</v>
      </c>
      <c r="M44" s="13">
        <v>0.41944444444444445</v>
      </c>
      <c r="N44" s="17">
        <v>129.0</v>
      </c>
      <c r="O44" s="12">
        <v>0.5041666666666667</v>
      </c>
      <c r="P44" s="12">
        <v>0.5076388888888889</v>
      </c>
      <c r="Q44" s="11">
        <v>124.0</v>
      </c>
      <c r="R44" s="12">
        <v>0.5798611111111112</v>
      </c>
      <c r="S44" s="13">
        <v>0.5826388888888889</v>
      </c>
      <c r="T44" s="18">
        <v>114.0</v>
      </c>
      <c r="U44" s="12">
        <v>0.6479166666666667</v>
      </c>
      <c r="V44" s="13">
        <v>0.6506944444444445</v>
      </c>
      <c r="W44" s="11">
        <v>105.0</v>
      </c>
      <c r="X44" s="12">
        <v>0.6958333333333333</v>
      </c>
      <c r="Y44" s="13">
        <v>0.7</v>
      </c>
      <c r="Z44" s="11">
        <v>89.0</v>
      </c>
      <c r="AA44" s="19"/>
      <c r="AB44" s="13">
        <v>0.7958333333333333</v>
      </c>
      <c r="AC44" s="20">
        <v>84.0</v>
      </c>
      <c r="AD44" s="21">
        <v>0.8555555555555555</v>
      </c>
      <c r="AE44" s="22">
        <v>0.8555555555555555</v>
      </c>
      <c r="AF44" s="18">
        <v>80.0</v>
      </c>
      <c r="AG44" s="12">
        <v>0.9520833333333333</v>
      </c>
      <c r="AH44" s="23">
        <v>0.95625</v>
      </c>
      <c r="AI44" s="11">
        <v>71.0</v>
      </c>
      <c r="AJ44" s="12">
        <v>0.029861111111111113</v>
      </c>
      <c r="AK44" s="13">
        <v>0.03125</v>
      </c>
      <c r="AL44" s="14">
        <v>60.0</v>
      </c>
      <c r="AM44" s="15">
        <v>0.13194444444444445</v>
      </c>
      <c r="AN44" s="16">
        <v>0.13541666666666666</v>
      </c>
      <c r="AO44" s="11">
        <v>57.0</v>
      </c>
      <c r="AP44" s="12">
        <v>0.19305555555555556</v>
      </c>
      <c r="AQ44" s="13">
        <v>0.19375</v>
      </c>
      <c r="AR44" s="11">
        <v>52.0</v>
      </c>
      <c r="AS44" s="12">
        <v>0.26319444444444445</v>
      </c>
      <c r="AT44" s="13">
        <v>0.2659722222222222</v>
      </c>
      <c r="AU44" s="11">
        <v>47.0</v>
      </c>
      <c r="AV44" s="12">
        <v>0.34791666666666665</v>
      </c>
      <c r="AW44" s="13">
        <v>0.34930555555555554</v>
      </c>
      <c r="AX44" s="11">
        <v>44.0</v>
      </c>
      <c r="AY44" s="12">
        <v>0.4201388888888889</v>
      </c>
      <c r="AZ44" s="13">
        <v>0.42083333333333334</v>
      </c>
      <c r="BA44" s="24">
        <v>43.0</v>
      </c>
      <c r="BB44" s="25">
        <v>44787.46321539352</v>
      </c>
      <c r="BC44" s="12"/>
    </row>
    <row r="45" ht="15.75" customHeight="1">
      <c r="A45" s="7"/>
      <c r="B45" s="8" t="s">
        <v>98</v>
      </c>
      <c r="C45" s="9">
        <v>637.0</v>
      </c>
      <c r="D45" s="10" t="s">
        <v>54</v>
      </c>
      <c r="E45" s="11">
        <v>73.0</v>
      </c>
      <c r="F45" s="12">
        <v>0.26458333333333334</v>
      </c>
      <c r="G45" s="13">
        <v>0.2652777777777778</v>
      </c>
      <c r="H45" s="27"/>
      <c r="I45" s="28"/>
      <c r="J45" s="29"/>
      <c r="K45" s="11">
        <v>76.0</v>
      </c>
      <c r="L45" s="12">
        <v>0.38819444444444445</v>
      </c>
      <c r="M45" s="13">
        <v>0.3909722222222222</v>
      </c>
      <c r="N45" s="17">
        <v>72.0</v>
      </c>
      <c r="O45" s="12">
        <v>0.4736111111111111</v>
      </c>
      <c r="P45" s="12">
        <v>0.4756944444444444</v>
      </c>
      <c r="Q45" s="11">
        <v>81.0</v>
      </c>
      <c r="R45" s="12">
        <v>0.55</v>
      </c>
      <c r="S45" s="13">
        <v>0.5506944444444445</v>
      </c>
      <c r="T45" s="18">
        <v>76.0</v>
      </c>
      <c r="U45" s="12">
        <v>0.6131944444444445</v>
      </c>
      <c r="V45" s="13">
        <v>0.6145833333333334</v>
      </c>
      <c r="W45" s="11">
        <v>68.0</v>
      </c>
      <c r="X45" s="12">
        <v>0.6597222222222222</v>
      </c>
      <c r="Y45" s="13">
        <v>0.6625</v>
      </c>
      <c r="Z45" s="11">
        <v>64.0</v>
      </c>
      <c r="AA45" s="19"/>
      <c r="AB45" s="13">
        <v>0.7673611111111112</v>
      </c>
      <c r="AC45" s="20">
        <v>65.0</v>
      </c>
      <c r="AD45" s="21">
        <v>0.8326388888888889</v>
      </c>
      <c r="AE45" s="22">
        <v>0.8402777777777778</v>
      </c>
      <c r="AF45" s="18">
        <v>68.0</v>
      </c>
      <c r="AG45" s="12">
        <v>0.9381944444444444</v>
      </c>
      <c r="AH45" s="23">
        <v>0.9444444444444444</v>
      </c>
      <c r="AI45" s="11">
        <v>58.0</v>
      </c>
      <c r="AJ45" s="12">
        <v>0.013194444444444444</v>
      </c>
      <c r="AK45" s="13">
        <v>0.015277777777777777</v>
      </c>
      <c r="AL45" s="14">
        <v>56.0</v>
      </c>
      <c r="AM45" s="15">
        <v>0.1111111111111111</v>
      </c>
      <c r="AN45" s="16">
        <v>0.11388888888888889</v>
      </c>
      <c r="AO45" s="11">
        <v>53.0</v>
      </c>
      <c r="AP45" s="12">
        <v>0.17430555555555555</v>
      </c>
      <c r="AQ45" s="13">
        <v>0.17777777777777778</v>
      </c>
      <c r="AR45" s="11">
        <v>47.0</v>
      </c>
      <c r="AS45" s="12">
        <v>0.24930555555555556</v>
      </c>
      <c r="AT45" s="13">
        <v>0.25277777777777777</v>
      </c>
      <c r="AU45" s="11">
        <v>48.0</v>
      </c>
      <c r="AV45" s="12">
        <v>0.3506944444444444</v>
      </c>
      <c r="AW45" s="13">
        <v>0.3527777777777778</v>
      </c>
      <c r="AX45" s="11">
        <v>46.0</v>
      </c>
      <c r="AY45" s="12">
        <v>0.42291666666666666</v>
      </c>
      <c r="AZ45" s="13">
        <v>0.4236111111111111</v>
      </c>
      <c r="BA45" s="24">
        <v>44.0</v>
      </c>
      <c r="BB45" s="25">
        <v>44787.46818553241</v>
      </c>
      <c r="BC45" s="12"/>
    </row>
    <row r="46" ht="15.75" customHeight="1">
      <c r="A46" s="7"/>
      <c r="B46" s="8" t="s">
        <v>99</v>
      </c>
      <c r="C46" s="9">
        <v>663.0</v>
      </c>
      <c r="D46" s="10" t="s">
        <v>54</v>
      </c>
      <c r="E46" s="11">
        <v>74.0</v>
      </c>
      <c r="F46" s="12">
        <v>0.26458333333333334</v>
      </c>
      <c r="G46" s="13">
        <v>0.2652777777777778</v>
      </c>
      <c r="H46" s="14">
        <v>91.0</v>
      </c>
      <c r="I46" s="15">
        <v>0.32430555555555557</v>
      </c>
      <c r="J46" s="16">
        <v>0.32430555555555557</v>
      </c>
      <c r="K46" s="11">
        <v>95.0</v>
      </c>
      <c r="L46" s="12">
        <v>0.3951388888888889</v>
      </c>
      <c r="M46" s="13">
        <v>0.3972222222222222</v>
      </c>
      <c r="N46" s="34">
        <v>95.0</v>
      </c>
      <c r="O46" s="12">
        <v>0.48541666666666666</v>
      </c>
      <c r="P46" s="12">
        <v>0.48680555555555555</v>
      </c>
      <c r="Q46" s="11">
        <v>92.0</v>
      </c>
      <c r="R46" s="12">
        <v>0.5569444444444445</v>
      </c>
      <c r="S46" s="13">
        <v>0.5576388888888889</v>
      </c>
      <c r="T46" s="18">
        <v>87.0</v>
      </c>
      <c r="U46" s="12">
        <v>0.625</v>
      </c>
      <c r="V46" s="13">
        <v>0.6270833333333333</v>
      </c>
      <c r="W46" s="11">
        <v>85.0</v>
      </c>
      <c r="X46" s="12">
        <v>0.6743055555555556</v>
      </c>
      <c r="Y46" s="13">
        <v>0.6791666666666667</v>
      </c>
      <c r="Z46" s="11">
        <v>71.0</v>
      </c>
      <c r="AA46" s="19"/>
      <c r="AB46" s="13">
        <v>0.7784722222222222</v>
      </c>
      <c r="AC46" s="20">
        <v>66.0</v>
      </c>
      <c r="AD46" s="21">
        <v>0.8368055555555556</v>
      </c>
      <c r="AE46" s="22">
        <v>0.8388888888888889</v>
      </c>
      <c r="AF46" s="18">
        <v>65.0</v>
      </c>
      <c r="AG46" s="12">
        <v>0.9340277777777778</v>
      </c>
      <c r="AH46" s="23">
        <v>0.9381944444444444</v>
      </c>
      <c r="AI46" s="11">
        <v>55.0</v>
      </c>
      <c r="AJ46" s="12">
        <v>0.009027777777777777</v>
      </c>
      <c r="AK46" s="13">
        <v>0.011805555555555555</v>
      </c>
      <c r="AL46" s="14">
        <v>51.0</v>
      </c>
      <c r="AM46" s="15">
        <v>0.10416666666666667</v>
      </c>
      <c r="AN46" s="16">
        <v>0.10486111111111111</v>
      </c>
      <c r="AO46" s="11">
        <v>47.0</v>
      </c>
      <c r="AP46" s="12">
        <v>0.16458333333333333</v>
      </c>
      <c r="AQ46" s="13">
        <v>0.16875</v>
      </c>
      <c r="AR46" s="11">
        <v>43.0</v>
      </c>
      <c r="AS46" s="12">
        <v>0.2388888888888889</v>
      </c>
      <c r="AT46" s="13">
        <v>0.24027777777777778</v>
      </c>
      <c r="AU46" s="11">
        <v>45.0</v>
      </c>
      <c r="AV46" s="12">
        <v>0.34444444444444444</v>
      </c>
      <c r="AW46" s="13">
        <v>0.34652777777777777</v>
      </c>
      <c r="AX46" s="11">
        <v>45.0</v>
      </c>
      <c r="AY46" s="12">
        <v>0.4222222222222222</v>
      </c>
      <c r="AZ46" s="13">
        <v>0.42291666666666666</v>
      </c>
      <c r="BA46" s="24">
        <v>45.0</v>
      </c>
      <c r="BB46" s="25">
        <v>44787.47275775463</v>
      </c>
      <c r="BC46" s="12"/>
    </row>
    <row r="47" ht="15.75" customHeight="1">
      <c r="A47" s="7"/>
      <c r="B47" s="8" t="s">
        <v>100</v>
      </c>
      <c r="C47" s="9">
        <v>562.0</v>
      </c>
      <c r="D47" s="10" t="s">
        <v>66</v>
      </c>
      <c r="E47" s="11">
        <v>42.0</v>
      </c>
      <c r="F47" s="12">
        <v>0.2604166666666667</v>
      </c>
      <c r="G47" s="13">
        <v>0.26180555555555557</v>
      </c>
      <c r="H47" s="14">
        <v>38.0</v>
      </c>
      <c r="I47" s="15">
        <v>0.31180555555555556</v>
      </c>
      <c r="J47" s="16">
        <v>0.31180555555555556</v>
      </c>
      <c r="K47" s="11">
        <v>49.0</v>
      </c>
      <c r="L47" s="12">
        <v>0.375</v>
      </c>
      <c r="M47" s="13">
        <v>0.3819444444444444</v>
      </c>
      <c r="N47" s="17">
        <v>46.0</v>
      </c>
      <c r="O47" s="12">
        <v>0.45416666666666666</v>
      </c>
      <c r="P47" s="12">
        <v>0.45555555555555555</v>
      </c>
      <c r="Q47" s="11">
        <v>46.0</v>
      </c>
      <c r="R47" s="12">
        <v>0.5131944444444444</v>
      </c>
      <c r="S47" s="13">
        <v>0.5201388888888889</v>
      </c>
      <c r="T47" s="18">
        <v>45.0</v>
      </c>
      <c r="U47" s="12">
        <v>0.5784722222222223</v>
      </c>
      <c r="V47" s="13">
        <v>0.5805555555555556</v>
      </c>
      <c r="W47" s="11">
        <v>44.0</v>
      </c>
      <c r="X47" s="12">
        <v>0.6208333333333333</v>
      </c>
      <c r="Y47" s="13">
        <v>0.6277777777777778</v>
      </c>
      <c r="Z47" s="11">
        <v>40.0</v>
      </c>
      <c r="AA47" s="19"/>
      <c r="AB47" s="13">
        <v>0.725</v>
      </c>
      <c r="AC47" s="20">
        <v>41.0</v>
      </c>
      <c r="AD47" s="21">
        <v>0.7840277777777778</v>
      </c>
      <c r="AE47" s="22">
        <v>0.7861111111111111</v>
      </c>
      <c r="AF47" s="18">
        <v>36.0</v>
      </c>
      <c r="AG47" s="12">
        <v>0.8694444444444445</v>
      </c>
      <c r="AH47" s="23">
        <v>0.8756944444444444</v>
      </c>
      <c r="AI47" s="11">
        <v>30.0</v>
      </c>
      <c r="AJ47" s="12">
        <v>0.9388888888888889</v>
      </c>
      <c r="AK47" s="13">
        <v>0.9416666666666667</v>
      </c>
      <c r="AL47" s="14">
        <v>33.0</v>
      </c>
      <c r="AM47" s="15">
        <v>0.035416666666666666</v>
      </c>
      <c r="AN47" s="16">
        <v>0.03819444444444445</v>
      </c>
      <c r="AO47" s="11">
        <v>30.0</v>
      </c>
      <c r="AP47" s="12">
        <v>0.10555555555555556</v>
      </c>
      <c r="AQ47" s="13">
        <v>0.12083333333333333</v>
      </c>
      <c r="AR47" s="11">
        <v>31.0</v>
      </c>
      <c r="AS47" s="12">
        <v>0.1951388888888889</v>
      </c>
      <c r="AT47" s="13">
        <v>0.19791666666666666</v>
      </c>
      <c r="AU47" s="11">
        <v>38.0</v>
      </c>
      <c r="AV47" s="12">
        <v>0.3104166666666667</v>
      </c>
      <c r="AW47" s="13">
        <v>0.3277777777777778</v>
      </c>
      <c r="AX47" s="11">
        <v>42.0</v>
      </c>
      <c r="AY47" s="12">
        <v>0.4083333333333333</v>
      </c>
      <c r="AZ47" s="13">
        <v>0.4097222222222222</v>
      </c>
      <c r="BA47" s="24">
        <v>46.0</v>
      </c>
      <c r="BB47" s="25">
        <v>44787.47846041667</v>
      </c>
      <c r="BC47" s="12"/>
    </row>
    <row r="48" ht="15.75" customHeight="1">
      <c r="A48" s="7"/>
      <c r="B48" s="8" t="s">
        <v>101</v>
      </c>
      <c r="C48" s="9">
        <v>709.0</v>
      </c>
      <c r="D48" s="10" t="s">
        <v>54</v>
      </c>
      <c r="E48" s="11">
        <v>78.0</v>
      </c>
      <c r="F48" s="12">
        <v>0.2659722222222222</v>
      </c>
      <c r="G48" s="13">
        <v>0.26666666666666666</v>
      </c>
      <c r="H48" s="14">
        <v>98.0</v>
      </c>
      <c r="I48" s="15">
        <v>0.3729166666666667</v>
      </c>
      <c r="J48" s="16">
        <v>0.3729166666666667</v>
      </c>
      <c r="K48" s="11">
        <v>80.0</v>
      </c>
      <c r="L48" s="12">
        <v>0.38819444444444445</v>
      </c>
      <c r="M48" s="13">
        <v>0.3909722222222222</v>
      </c>
      <c r="N48" s="17">
        <v>68.0</v>
      </c>
      <c r="O48" s="12">
        <v>0.4708333333333333</v>
      </c>
      <c r="P48" s="12">
        <v>0.47430555555555554</v>
      </c>
      <c r="Q48" s="11">
        <v>63.0</v>
      </c>
      <c r="R48" s="12">
        <v>0.5375</v>
      </c>
      <c r="S48" s="13">
        <v>0.5416666666666666</v>
      </c>
      <c r="T48" s="18">
        <v>64.0</v>
      </c>
      <c r="U48" s="12">
        <v>0.60625</v>
      </c>
      <c r="V48" s="13">
        <v>0.6083333333333333</v>
      </c>
      <c r="W48" s="11">
        <v>72.0</v>
      </c>
      <c r="X48" s="12">
        <v>0.6631944444444444</v>
      </c>
      <c r="Y48" s="13">
        <v>0.6722222222222223</v>
      </c>
      <c r="Z48" s="11">
        <v>73.0</v>
      </c>
      <c r="AA48" s="19"/>
      <c r="AB48" s="13">
        <v>0.7791666666666667</v>
      </c>
      <c r="AC48" s="20">
        <v>69.0</v>
      </c>
      <c r="AD48" s="21">
        <v>0.8388888888888889</v>
      </c>
      <c r="AE48" s="22">
        <v>0.8430555555555556</v>
      </c>
      <c r="AF48" s="18">
        <v>62.0</v>
      </c>
      <c r="AG48" s="12">
        <v>0.93125</v>
      </c>
      <c r="AH48" s="23">
        <v>0.9402777777777778</v>
      </c>
      <c r="AI48" s="11">
        <v>57.0</v>
      </c>
      <c r="AJ48" s="12">
        <v>0.011805555555555555</v>
      </c>
      <c r="AK48" s="13">
        <v>0.01875</v>
      </c>
      <c r="AL48" s="14">
        <v>55.0</v>
      </c>
      <c r="AM48" s="15">
        <v>0.11041666666666666</v>
      </c>
      <c r="AN48" s="16">
        <v>0.11597222222222223</v>
      </c>
      <c r="AO48" s="11">
        <v>50.0</v>
      </c>
      <c r="AP48" s="12">
        <v>0.17222222222222222</v>
      </c>
      <c r="AQ48" s="13">
        <v>0.18125</v>
      </c>
      <c r="AR48" s="11">
        <v>51.0</v>
      </c>
      <c r="AS48" s="12">
        <v>0.2548611111111111</v>
      </c>
      <c r="AT48" s="13">
        <v>0.2590277777777778</v>
      </c>
      <c r="AU48" s="11">
        <v>49.0</v>
      </c>
      <c r="AV48" s="12">
        <v>0.3527777777777778</v>
      </c>
      <c r="AW48" s="13">
        <v>0.35833333333333334</v>
      </c>
      <c r="AX48" s="11">
        <v>48.0</v>
      </c>
      <c r="AY48" s="12">
        <v>0.4305555555555556</v>
      </c>
      <c r="AZ48" s="13">
        <v>0.4340277777777778</v>
      </c>
      <c r="BA48" s="24">
        <v>47.0</v>
      </c>
      <c r="BB48" s="25">
        <v>44787.4826005787</v>
      </c>
      <c r="BC48" s="12"/>
    </row>
    <row r="49" ht="15.75" customHeight="1">
      <c r="A49" s="7"/>
      <c r="B49" s="8" t="s">
        <v>102</v>
      </c>
      <c r="C49" s="9">
        <v>546.0</v>
      </c>
      <c r="D49" s="10" t="s">
        <v>66</v>
      </c>
      <c r="E49" s="11">
        <v>100.0</v>
      </c>
      <c r="F49" s="12">
        <v>0.26805555555555555</v>
      </c>
      <c r="G49" s="13">
        <v>0.26875</v>
      </c>
      <c r="H49" s="27"/>
      <c r="I49" s="28"/>
      <c r="J49" s="29"/>
      <c r="K49" s="11">
        <v>84.0</v>
      </c>
      <c r="L49" s="12">
        <v>0.38819444444444445</v>
      </c>
      <c r="M49" s="13">
        <v>0.39166666666666666</v>
      </c>
      <c r="N49" s="17">
        <v>69.0</v>
      </c>
      <c r="O49" s="12">
        <v>0.4722222222222222</v>
      </c>
      <c r="P49" s="12">
        <v>0.4756944444444444</v>
      </c>
      <c r="Q49" s="11">
        <v>65.0</v>
      </c>
      <c r="R49" s="12">
        <v>0.5388888888888889</v>
      </c>
      <c r="S49" s="13">
        <v>0.5409722222222222</v>
      </c>
      <c r="T49" s="18">
        <v>66.0</v>
      </c>
      <c r="U49" s="12">
        <v>0.60625</v>
      </c>
      <c r="V49" s="13">
        <v>0.6083333333333333</v>
      </c>
      <c r="W49" s="11">
        <v>71.0</v>
      </c>
      <c r="X49" s="12">
        <v>0.6631944444444444</v>
      </c>
      <c r="Y49" s="13">
        <v>0.6708333333333333</v>
      </c>
      <c r="Z49" s="11">
        <v>72.0</v>
      </c>
      <c r="AA49" s="19"/>
      <c r="AB49" s="13">
        <v>0.7791666666666667</v>
      </c>
      <c r="AC49" s="20">
        <v>70.0</v>
      </c>
      <c r="AD49" s="21">
        <v>0.8388888888888889</v>
      </c>
      <c r="AE49" s="22">
        <v>0.8430555555555556</v>
      </c>
      <c r="AF49" s="18">
        <v>63.0</v>
      </c>
      <c r="AG49" s="12">
        <v>0.93125</v>
      </c>
      <c r="AH49" s="23">
        <v>0.9402777777777778</v>
      </c>
      <c r="AI49" s="11">
        <v>56.0</v>
      </c>
      <c r="AJ49" s="12">
        <v>0.011805555555555555</v>
      </c>
      <c r="AK49" s="13">
        <v>0.01875</v>
      </c>
      <c r="AL49" s="14">
        <v>54.0</v>
      </c>
      <c r="AM49" s="15">
        <v>0.11041666666666666</v>
      </c>
      <c r="AN49" s="16">
        <v>0.11597222222222223</v>
      </c>
      <c r="AO49" s="11">
        <v>51.0</v>
      </c>
      <c r="AP49" s="12">
        <v>0.17222222222222222</v>
      </c>
      <c r="AQ49" s="13">
        <v>0.18125</v>
      </c>
      <c r="AR49" s="11">
        <v>50.0</v>
      </c>
      <c r="AS49" s="12">
        <v>0.2548611111111111</v>
      </c>
      <c r="AT49" s="13">
        <v>0.2590277777777778</v>
      </c>
      <c r="AU49" s="11">
        <v>50.0</v>
      </c>
      <c r="AV49" s="12">
        <v>0.35347222222222224</v>
      </c>
      <c r="AW49" s="13">
        <v>0.35833333333333334</v>
      </c>
      <c r="AX49" s="11">
        <v>49.0</v>
      </c>
      <c r="AY49" s="12">
        <v>0.4305555555555556</v>
      </c>
      <c r="AZ49" s="13">
        <v>0.4340277777777778</v>
      </c>
      <c r="BA49" s="24">
        <v>48.0</v>
      </c>
      <c r="BB49" s="25">
        <v>44787.482609722225</v>
      </c>
      <c r="BC49" s="12"/>
    </row>
    <row r="50" ht="15.75" customHeight="1">
      <c r="A50" s="7"/>
      <c r="B50" s="8" t="s">
        <v>103</v>
      </c>
      <c r="C50" s="9">
        <v>713.0</v>
      </c>
      <c r="D50" s="10" t="s">
        <v>54</v>
      </c>
      <c r="E50" s="11">
        <v>17.0</v>
      </c>
      <c r="F50" s="12">
        <v>0.25763888888888886</v>
      </c>
      <c r="G50" s="13">
        <v>0.25833333333333336</v>
      </c>
      <c r="H50" s="14">
        <v>19.0</v>
      </c>
      <c r="I50" s="15">
        <v>0.30486111111111114</v>
      </c>
      <c r="J50" s="16">
        <v>0.30486111111111114</v>
      </c>
      <c r="K50" s="11">
        <v>20.0</v>
      </c>
      <c r="L50" s="12">
        <v>0.36319444444444443</v>
      </c>
      <c r="M50" s="13">
        <v>0.36527777777777776</v>
      </c>
      <c r="N50" s="17">
        <v>16.0</v>
      </c>
      <c r="O50" s="12">
        <v>0.43333333333333335</v>
      </c>
      <c r="P50" s="12">
        <v>0.43680555555555556</v>
      </c>
      <c r="Q50" s="11">
        <v>23.0</v>
      </c>
      <c r="R50" s="12">
        <v>0.4979166666666667</v>
      </c>
      <c r="S50" s="13">
        <v>0.5020833333333333</v>
      </c>
      <c r="T50" s="18">
        <v>43.0</v>
      </c>
      <c r="U50" s="12">
        <v>0.5729166666666666</v>
      </c>
      <c r="V50" s="13">
        <v>0.5756944444444444</v>
      </c>
      <c r="W50" s="11">
        <v>50.0</v>
      </c>
      <c r="X50" s="12">
        <v>0.63125</v>
      </c>
      <c r="Y50" s="13">
        <v>0.6465277777777778</v>
      </c>
      <c r="Z50" s="11">
        <v>51.0</v>
      </c>
      <c r="AA50" s="19"/>
      <c r="AB50" s="13">
        <v>0.7451388888888889</v>
      </c>
      <c r="AC50" s="20">
        <v>51.0</v>
      </c>
      <c r="AD50" s="21">
        <v>0.80625</v>
      </c>
      <c r="AE50" s="22">
        <v>0.8104166666666667</v>
      </c>
      <c r="AF50" s="18">
        <v>47.0</v>
      </c>
      <c r="AG50" s="12">
        <v>0.8944444444444445</v>
      </c>
      <c r="AH50" s="23">
        <v>0.9145833333333333</v>
      </c>
      <c r="AI50" s="11">
        <v>44.0</v>
      </c>
      <c r="AJ50" s="12">
        <v>0.9833333333333333</v>
      </c>
      <c r="AK50" s="13">
        <v>0.9875</v>
      </c>
      <c r="AL50" s="14">
        <v>43.0</v>
      </c>
      <c r="AM50" s="15">
        <v>0.07708333333333334</v>
      </c>
      <c r="AN50" s="16">
        <v>0.08055555555555556</v>
      </c>
      <c r="AO50" s="11">
        <v>40.0</v>
      </c>
      <c r="AP50" s="12">
        <v>0.14166666666666666</v>
      </c>
      <c r="AQ50" s="13">
        <v>0.16111111111111112</v>
      </c>
      <c r="AR50" s="11">
        <v>40.0</v>
      </c>
      <c r="AS50" s="12">
        <v>0.2298611111111111</v>
      </c>
      <c r="AT50" s="13">
        <v>0.23333333333333334</v>
      </c>
      <c r="AU50" s="11">
        <v>44.0</v>
      </c>
      <c r="AV50" s="12">
        <v>0.34305555555555556</v>
      </c>
      <c r="AW50" s="13">
        <v>0.34652777777777777</v>
      </c>
      <c r="AX50" s="11">
        <v>47.0</v>
      </c>
      <c r="AY50" s="12">
        <v>0.4284722222222222</v>
      </c>
      <c r="AZ50" s="13">
        <v>0.4284722222222222</v>
      </c>
      <c r="BA50" s="24">
        <v>49.0</v>
      </c>
      <c r="BB50" s="25">
        <v>44787.48570798611</v>
      </c>
      <c r="BC50" s="12"/>
    </row>
    <row r="51" ht="15.75" customHeight="1">
      <c r="A51" s="7"/>
      <c r="B51" s="8" t="s">
        <v>104</v>
      </c>
      <c r="C51" s="9">
        <v>565.0</v>
      </c>
      <c r="D51" s="10" t="s">
        <v>54</v>
      </c>
      <c r="E51" s="32"/>
      <c r="F51" s="19"/>
      <c r="G51" s="33"/>
      <c r="H51" s="14">
        <v>46.0</v>
      </c>
      <c r="I51" s="15">
        <v>0.3138888888888889</v>
      </c>
      <c r="J51" s="16">
        <v>0.3138888888888889</v>
      </c>
      <c r="K51" s="11">
        <v>12.0</v>
      </c>
      <c r="L51" s="18" t="s">
        <v>105</v>
      </c>
      <c r="M51" s="13">
        <v>0.3541666666666667</v>
      </c>
      <c r="N51" s="17">
        <v>11.0</v>
      </c>
      <c r="O51" s="12">
        <v>0.42083333333333334</v>
      </c>
      <c r="P51" s="12">
        <v>0.42291666666666666</v>
      </c>
      <c r="Q51" s="11">
        <v>10.0</v>
      </c>
      <c r="R51" s="12">
        <v>0.475</v>
      </c>
      <c r="S51" s="13">
        <v>0.4777777777777778</v>
      </c>
      <c r="T51" s="18">
        <v>9.0</v>
      </c>
      <c r="U51" s="12">
        <v>0.5305555555555556</v>
      </c>
      <c r="V51" s="13">
        <v>0.5333333333333333</v>
      </c>
      <c r="W51" s="11">
        <v>11.0</v>
      </c>
      <c r="X51" s="12">
        <v>0.5743055555555555</v>
      </c>
      <c r="Y51" s="13">
        <v>0.5868055555555556</v>
      </c>
      <c r="Z51" s="11">
        <v>23.0</v>
      </c>
      <c r="AA51" s="19"/>
      <c r="AB51" s="13">
        <v>0.6965277777777777</v>
      </c>
      <c r="AC51" s="20">
        <v>25.0</v>
      </c>
      <c r="AD51" s="21">
        <v>0.75</v>
      </c>
      <c r="AE51" s="22">
        <v>0.7541666666666667</v>
      </c>
      <c r="AF51" s="18">
        <v>25.0</v>
      </c>
      <c r="AG51" s="12">
        <v>0.83125</v>
      </c>
      <c r="AH51" s="23">
        <v>0.9333333333333333</v>
      </c>
      <c r="AI51" s="11">
        <v>54.0</v>
      </c>
      <c r="AJ51" s="12">
        <v>0.003472222222222222</v>
      </c>
      <c r="AK51" s="35">
        <v>0.007638888888888889</v>
      </c>
      <c r="AL51" s="14">
        <v>52.0</v>
      </c>
      <c r="AM51" s="15">
        <v>0.10416666666666667</v>
      </c>
      <c r="AN51" s="16">
        <v>0.10833333333333334</v>
      </c>
      <c r="AO51" s="11">
        <v>48.0</v>
      </c>
      <c r="AP51" s="12">
        <v>0.16527777777777777</v>
      </c>
      <c r="AQ51" s="13">
        <v>0.18333333333333332</v>
      </c>
      <c r="AR51" s="11">
        <v>49.0</v>
      </c>
      <c r="AS51" s="12">
        <v>0.2534722222222222</v>
      </c>
      <c r="AT51" s="13">
        <v>0.26319444444444445</v>
      </c>
      <c r="AU51" s="11">
        <v>51.0</v>
      </c>
      <c r="AV51" s="12">
        <v>0.35625</v>
      </c>
      <c r="AW51" s="13">
        <v>0.36736111111111114</v>
      </c>
      <c r="AX51" s="11">
        <v>52.0</v>
      </c>
      <c r="AY51" s="12">
        <v>0.44722222222222224</v>
      </c>
      <c r="AZ51" s="13">
        <v>0.4486111111111111</v>
      </c>
      <c r="BA51" s="24">
        <v>50.0</v>
      </c>
      <c r="BB51" s="25">
        <v>44787.495540856486</v>
      </c>
      <c r="BC51" s="12"/>
    </row>
    <row r="52" ht="15.75" customHeight="1">
      <c r="A52" s="7"/>
      <c r="B52" s="8" t="s">
        <v>106</v>
      </c>
      <c r="C52" s="9">
        <v>722.0</v>
      </c>
      <c r="D52" s="10" t="s">
        <v>54</v>
      </c>
      <c r="E52" s="11">
        <v>64.0</v>
      </c>
      <c r="F52" s="12">
        <v>0.26319444444444445</v>
      </c>
      <c r="G52" s="13">
        <v>0.2638888888888889</v>
      </c>
      <c r="H52" s="14">
        <v>59.0</v>
      </c>
      <c r="I52" s="15">
        <v>0.3159722222222222</v>
      </c>
      <c r="J52" s="16">
        <v>0.3159722222222222</v>
      </c>
      <c r="K52" s="11">
        <v>71.0</v>
      </c>
      <c r="L52" s="12">
        <v>0.3861111111111111</v>
      </c>
      <c r="M52" s="13">
        <v>0.3923611111111111</v>
      </c>
      <c r="N52" s="36"/>
      <c r="O52" s="19"/>
      <c r="P52" s="19"/>
      <c r="Q52" s="11">
        <v>78.0</v>
      </c>
      <c r="R52" s="12">
        <v>0.5451388888888888</v>
      </c>
      <c r="S52" s="13">
        <v>0.5541666666666667</v>
      </c>
      <c r="T52" s="18">
        <v>77.0</v>
      </c>
      <c r="U52" s="12">
        <v>0.6131944444444445</v>
      </c>
      <c r="V52" s="13">
        <v>0.6180555555555556</v>
      </c>
      <c r="W52" s="11">
        <v>73.0</v>
      </c>
      <c r="X52" s="12">
        <v>0.6638888888888889</v>
      </c>
      <c r="Y52" s="13">
        <v>0.6743055555555556</v>
      </c>
      <c r="Z52" s="11">
        <v>76.0</v>
      </c>
      <c r="AA52" s="19"/>
      <c r="AB52" s="13">
        <v>0.78125</v>
      </c>
      <c r="AC52" s="20">
        <v>71.0</v>
      </c>
      <c r="AD52" s="21">
        <v>0.8388888888888889</v>
      </c>
      <c r="AE52" s="22">
        <v>0.84375</v>
      </c>
      <c r="AF52" s="18">
        <v>66.0</v>
      </c>
      <c r="AG52" s="12">
        <v>0.9354166666666667</v>
      </c>
      <c r="AH52" s="23">
        <v>0.9472222222222222</v>
      </c>
      <c r="AI52" s="11">
        <v>60.0</v>
      </c>
      <c r="AJ52" s="12">
        <v>0.014583333333333334</v>
      </c>
      <c r="AK52" s="13">
        <v>0.020833333333333332</v>
      </c>
      <c r="AL52" s="14">
        <v>58.0</v>
      </c>
      <c r="AM52" s="15">
        <v>0.11388888888888889</v>
      </c>
      <c r="AN52" s="16">
        <v>0.11944444444444445</v>
      </c>
      <c r="AO52" s="11">
        <v>52.0</v>
      </c>
      <c r="AP52" s="12">
        <v>0.17291666666666666</v>
      </c>
      <c r="AQ52" s="13">
        <v>0.18263888888888888</v>
      </c>
      <c r="AR52" s="11">
        <v>48.0</v>
      </c>
      <c r="AS52" s="12">
        <v>0.25069444444444444</v>
      </c>
      <c r="AT52" s="13">
        <v>0.2590277777777778</v>
      </c>
      <c r="AU52" s="11">
        <v>52.0</v>
      </c>
      <c r="AV52" s="12">
        <v>0.3576388888888889</v>
      </c>
      <c r="AW52" s="13">
        <v>0.36666666666666664</v>
      </c>
      <c r="AX52" s="11">
        <v>51.0</v>
      </c>
      <c r="AY52" s="12">
        <v>0.44375</v>
      </c>
      <c r="AZ52" s="13">
        <v>0.4479166666666667</v>
      </c>
      <c r="BA52" s="24">
        <v>51.0</v>
      </c>
      <c r="BB52" s="25">
        <v>44787.496171412036</v>
      </c>
      <c r="BC52" s="12"/>
    </row>
    <row r="53" ht="15.75" customHeight="1">
      <c r="A53" s="7"/>
      <c r="B53" s="8" t="s">
        <v>107</v>
      </c>
      <c r="C53" s="9">
        <v>583.0</v>
      </c>
      <c r="D53" s="10" t="s">
        <v>54</v>
      </c>
      <c r="E53" s="11">
        <v>98.0</v>
      </c>
      <c r="F53" s="12">
        <v>0.26805555555555555</v>
      </c>
      <c r="G53" s="13">
        <v>0.26875</v>
      </c>
      <c r="H53" s="14">
        <v>93.0</v>
      </c>
      <c r="I53" s="15">
        <v>0.32430555555555557</v>
      </c>
      <c r="J53" s="16">
        <v>0.32430555555555557</v>
      </c>
      <c r="K53" s="11">
        <v>77.0</v>
      </c>
      <c r="L53" s="12">
        <v>0.38819444444444445</v>
      </c>
      <c r="M53" s="13">
        <v>0.3902777777777778</v>
      </c>
      <c r="N53" s="17">
        <v>67.0</v>
      </c>
      <c r="O53" s="12">
        <v>0.4708333333333333</v>
      </c>
      <c r="P53" s="12">
        <v>0.4722222222222222</v>
      </c>
      <c r="Q53" s="11">
        <v>64.0</v>
      </c>
      <c r="R53" s="12">
        <v>0.5381944444444444</v>
      </c>
      <c r="S53" s="13">
        <v>0.5395833333333333</v>
      </c>
      <c r="T53" s="18">
        <v>63.0</v>
      </c>
      <c r="U53" s="12">
        <v>0.60625</v>
      </c>
      <c r="V53" s="13">
        <v>0.6083333333333333</v>
      </c>
      <c r="W53" s="11">
        <v>65.0</v>
      </c>
      <c r="X53" s="12">
        <v>0.65625</v>
      </c>
      <c r="Y53" s="13">
        <v>0.6604166666666667</v>
      </c>
      <c r="Z53" s="11">
        <v>62.0</v>
      </c>
      <c r="AA53" s="19"/>
      <c r="AB53" s="13">
        <v>0.7618055555555555</v>
      </c>
      <c r="AC53" s="20">
        <v>63.0</v>
      </c>
      <c r="AD53" s="21">
        <v>0.8222222222222222</v>
      </c>
      <c r="AE53" s="22">
        <v>0.8263888888888888</v>
      </c>
      <c r="AF53" s="18">
        <v>57.0</v>
      </c>
      <c r="AG53" s="12">
        <v>0.9152777777777777</v>
      </c>
      <c r="AH53" s="23">
        <v>0.9270833333333334</v>
      </c>
      <c r="AI53" s="11">
        <v>50.0</v>
      </c>
      <c r="AJ53" s="12">
        <v>0.9958333333333333</v>
      </c>
      <c r="AK53" s="13">
        <v>0.9993055555555556</v>
      </c>
      <c r="AL53" s="14">
        <v>47.0</v>
      </c>
      <c r="AM53" s="15">
        <v>0.09791666666666667</v>
      </c>
      <c r="AN53" s="16">
        <v>0.09930555555555555</v>
      </c>
      <c r="AO53" s="11">
        <v>46.0</v>
      </c>
      <c r="AP53" s="12">
        <v>0.16319444444444445</v>
      </c>
      <c r="AQ53" s="13">
        <v>0.16597222222222222</v>
      </c>
      <c r="AR53" s="11">
        <v>42.0</v>
      </c>
      <c r="AS53" s="12">
        <v>0.2326388888888889</v>
      </c>
      <c r="AT53" s="13">
        <v>0.23472222222222222</v>
      </c>
      <c r="AU53" s="11">
        <v>46.0</v>
      </c>
      <c r="AV53" s="12">
        <v>0.34444444444444444</v>
      </c>
      <c r="AW53" s="13">
        <v>0.3527777777777778</v>
      </c>
      <c r="AX53" s="11">
        <v>50.0</v>
      </c>
      <c r="AY53" s="12">
        <v>0.4423611111111111</v>
      </c>
      <c r="AZ53" s="13">
        <v>0.44930555555555557</v>
      </c>
      <c r="BA53" s="24">
        <v>52.0</v>
      </c>
      <c r="BB53" s="25">
        <v>44787.50399780093</v>
      </c>
      <c r="BC53" s="12"/>
    </row>
    <row r="54" ht="15.75" customHeight="1">
      <c r="A54" s="7"/>
      <c r="B54" s="8" t="s">
        <v>108</v>
      </c>
      <c r="C54" s="9">
        <v>665.0</v>
      </c>
      <c r="D54" s="10" t="s">
        <v>54</v>
      </c>
      <c r="E54" s="11">
        <v>159.0</v>
      </c>
      <c r="F54" s="12">
        <v>0.2743055555555556</v>
      </c>
      <c r="G54" s="13">
        <v>0.275</v>
      </c>
      <c r="H54" s="27"/>
      <c r="I54" s="28"/>
      <c r="J54" s="29"/>
      <c r="K54" s="11">
        <v>169.0</v>
      </c>
      <c r="L54" s="12">
        <v>0.4222222222222222</v>
      </c>
      <c r="M54" s="13">
        <v>0.42986111111111114</v>
      </c>
      <c r="N54" s="17">
        <v>161.0</v>
      </c>
      <c r="O54" s="12">
        <v>0.5270833333333333</v>
      </c>
      <c r="P54" s="12">
        <v>0.53125</v>
      </c>
      <c r="Q54" s="11">
        <v>162.0</v>
      </c>
      <c r="R54" s="12">
        <v>0.60625</v>
      </c>
      <c r="S54" s="13">
        <v>0.6097222222222223</v>
      </c>
      <c r="T54" s="18">
        <v>151.0</v>
      </c>
      <c r="U54" s="12">
        <v>0.68125</v>
      </c>
      <c r="V54" s="13">
        <v>0.6847222222222222</v>
      </c>
      <c r="W54" s="11">
        <v>151.0</v>
      </c>
      <c r="X54" s="12">
        <v>0.7395833333333334</v>
      </c>
      <c r="Y54" s="13">
        <v>0.75625</v>
      </c>
      <c r="Z54" s="11">
        <v>141.0</v>
      </c>
      <c r="AA54" s="19"/>
      <c r="AB54" s="13">
        <v>0.8673611111111111</v>
      </c>
      <c r="AC54" s="20">
        <v>145.0</v>
      </c>
      <c r="AD54" s="21">
        <v>0.9444444444444444</v>
      </c>
      <c r="AE54" s="22">
        <v>0.95</v>
      </c>
      <c r="AF54" s="18">
        <v>141.0</v>
      </c>
      <c r="AG54" s="12">
        <v>0.06875</v>
      </c>
      <c r="AH54" s="23">
        <v>0.09513888888888888</v>
      </c>
      <c r="AI54" s="11">
        <v>129.0</v>
      </c>
      <c r="AJ54" s="12">
        <v>0.15833333333333333</v>
      </c>
      <c r="AK54" s="13">
        <v>0.16041666666666668</v>
      </c>
      <c r="AL54" s="14">
        <v>118.0</v>
      </c>
      <c r="AM54" s="15">
        <v>0.2520833333333333</v>
      </c>
      <c r="AN54" s="16">
        <v>0.2534722222222222</v>
      </c>
      <c r="AO54" s="11">
        <v>109.0</v>
      </c>
      <c r="AP54" s="12">
        <v>0.3076388888888889</v>
      </c>
      <c r="AQ54" s="13">
        <v>0.31527777777777777</v>
      </c>
      <c r="AR54" s="11">
        <v>98.0</v>
      </c>
      <c r="AS54" s="12">
        <v>0.36666666666666664</v>
      </c>
      <c r="AT54" s="13">
        <v>0.37083333333333335</v>
      </c>
      <c r="AU54" s="11">
        <v>70.0</v>
      </c>
      <c r="AV54" s="12">
        <v>0.4395833333333333</v>
      </c>
      <c r="AW54" s="13">
        <v>0.44166666666666665</v>
      </c>
      <c r="AX54" s="11">
        <v>56.0</v>
      </c>
      <c r="AY54" s="12">
        <v>0.4895833333333333</v>
      </c>
      <c r="AZ54" s="13">
        <v>0.49027777777777776</v>
      </c>
      <c r="BA54" s="24">
        <v>53.0</v>
      </c>
      <c r="BB54" s="25">
        <v>44787.520033796296</v>
      </c>
      <c r="BC54" s="12"/>
    </row>
    <row r="55" ht="15.75" customHeight="1">
      <c r="A55" s="7"/>
      <c r="B55" s="8" t="s">
        <v>109</v>
      </c>
      <c r="C55" s="9">
        <v>703.0</v>
      </c>
      <c r="D55" s="10" t="s">
        <v>54</v>
      </c>
      <c r="E55" s="11">
        <v>18.0</v>
      </c>
      <c r="F55" s="12">
        <v>0.25763888888888886</v>
      </c>
      <c r="G55" s="13">
        <v>0.25833333333333336</v>
      </c>
      <c r="H55" s="14">
        <v>26.0</v>
      </c>
      <c r="I55" s="15">
        <v>0.30694444444444446</v>
      </c>
      <c r="J55" s="16">
        <v>0.30694444444444446</v>
      </c>
      <c r="K55" s="11">
        <v>29.0</v>
      </c>
      <c r="L55" s="12">
        <v>0.36666666666666664</v>
      </c>
      <c r="M55" s="13">
        <v>0.3729166666666667</v>
      </c>
      <c r="N55" s="17">
        <v>26.0</v>
      </c>
      <c r="O55" s="12">
        <v>0.44166666666666665</v>
      </c>
      <c r="P55" s="12">
        <v>0.44305555555555554</v>
      </c>
      <c r="Q55" s="11">
        <v>35.0</v>
      </c>
      <c r="R55" s="12">
        <v>0.5069444444444444</v>
      </c>
      <c r="S55" s="13">
        <v>0.5083333333333333</v>
      </c>
      <c r="T55" s="18">
        <v>36.0</v>
      </c>
      <c r="U55" s="12">
        <v>0.5680555555555555</v>
      </c>
      <c r="V55" s="13">
        <v>0.5694444444444444</v>
      </c>
      <c r="W55" s="11">
        <v>41.0</v>
      </c>
      <c r="X55" s="12">
        <v>0.6138888888888889</v>
      </c>
      <c r="Y55" s="13">
        <v>0.6173611111111111</v>
      </c>
      <c r="Z55" s="11">
        <v>37.0</v>
      </c>
      <c r="AA55" s="19"/>
      <c r="AB55" s="13">
        <v>0.7208333333333333</v>
      </c>
      <c r="AC55" s="20">
        <v>39.0</v>
      </c>
      <c r="AD55" s="21">
        <v>0.7819444444444444</v>
      </c>
      <c r="AE55" s="22">
        <v>0.7868055555555555</v>
      </c>
      <c r="AF55" s="18">
        <v>49.0</v>
      </c>
      <c r="AG55" s="12">
        <v>0.8993055555555556</v>
      </c>
      <c r="AH55" s="23">
        <v>0.9430555555555555</v>
      </c>
      <c r="AI55" s="11">
        <v>64.0</v>
      </c>
      <c r="AJ55" s="12">
        <v>0.021527777777777778</v>
      </c>
      <c r="AK55" s="13">
        <v>0.02638888888888889</v>
      </c>
      <c r="AL55" s="37">
        <v>74.0</v>
      </c>
      <c r="AM55" s="15">
        <v>0.14722222222222223</v>
      </c>
      <c r="AN55" s="16">
        <v>0.15486111111111112</v>
      </c>
      <c r="AO55" s="11">
        <v>64.0</v>
      </c>
      <c r="AP55" s="12">
        <v>0.21458333333333332</v>
      </c>
      <c r="AQ55" s="13">
        <v>0.22152777777777777</v>
      </c>
      <c r="AR55" s="11">
        <v>63.0</v>
      </c>
      <c r="AS55" s="12">
        <v>0.2965277777777778</v>
      </c>
      <c r="AT55" s="13">
        <v>0.3034722222222222</v>
      </c>
      <c r="AU55" s="11">
        <v>58.0</v>
      </c>
      <c r="AV55" s="12">
        <v>0.40069444444444446</v>
      </c>
      <c r="AW55" s="13">
        <v>0.4048611111111111</v>
      </c>
      <c r="AX55" s="11">
        <v>53.0</v>
      </c>
      <c r="AY55" s="12">
        <v>0.475</v>
      </c>
      <c r="AZ55" s="13">
        <v>0.47638888888888886</v>
      </c>
      <c r="BA55" s="24">
        <v>54.0</v>
      </c>
      <c r="BB55" s="25">
        <v>44787.52264710648</v>
      </c>
      <c r="BC55" s="12"/>
    </row>
    <row r="56" ht="15.75" customHeight="1">
      <c r="A56" s="7"/>
      <c r="B56" s="8" t="s">
        <v>110</v>
      </c>
      <c r="C56" s="9">
        <v>719.0</v>
      </c>
      <c r="D56" s="10" t="s">
        <v>54</v>
      </c>
      <c r="E56" s="11">
        <v>86.0</v>
      </c>
      <c r="F56" s="12">
        <v>0.26666666666666666</v>
      </c>
      <c r="G56" s="13">
        <v>0.2673611111111111</v>
      </c>
      <c r="H56" s="14">
        <v>105.0</v>
      </c>
      <c r="I56" s="15">
        <v>0.32569444444444445</v>
      </c>
      <c r="J56" s="16">
        <v>0.32569444444444445</v>
      </c>
      <c r="K56" s="11">
        <v>99.0</v>
      </c>
      <c r="L56" s="12">
        <v>0.39652777777777776</v>
      </c>
      <c r="M56" s="13">
        <v>0.4013888888888889</v>
      </c>
      <c r="N56" s="17">
        <v>100.0</v>
      </c>
      <c r="O56" s="12">
        <v>0.4888888888888889</v>
      </c>
      <c r="P56" s="12">
        <v>0.4930555555555556</v>
      </c>
      <c r="Q56" s="11">
        <v>98.0</v>
      </c>
      <c r="R56" s="12">
        <v>0.5611111111111111</v>
      </c>
      <c r="S56" s="13">
        <v>0.5645833333333333</v>
      </c>
      <c r="T56" s="18">
        <v>93.0</v>
      </c>
      <c r="U56" s="12">
        <v>0.6284722222222222</v>
      </c>
      <c r="V56" s="13">
        <v>0.6333333333333333</v>
      </c>
      <c r="W56" s="11">
        <v>94.0</v>
      </c>
      <c r="X56" s="12">
        <v>0.6805555555555556</v>
      </c>
      <c r="Y56" s="13">
        <v>0.6979166666666666</v>
      </c>
      <c r="Z56" s="11">
        <v>87.0</v>
      </c>
      <c r="AA56" s="19"/>
      <c r="AB56" s="13">
        <v>0.7930555555555555</v>
      </c>
      <c r="AC56" s="20">
        <v>78.0</v>
      </c>
      <c r="AD56" s="21">
        <v>0.8520833333333333</v>
      </c>
      <c r="AE56" s="22">
        <v>0.8534722222222222</v>
      </c>
      <c r="AF56" s="18">
        <v>82.0</v>
      </c>
      <c r="AG56" s="12">
        <v>0.9527777777777777</v>
      </c>
      <c r="AH56" s="23">
        <v>0.96875</v>
      </c>
      <c r="AI56" s="11">
        <v>77.0</v>
      </c>
      <c r="AJ56" s="12">
        <v>0.03958333333333333</v>
      </c>
      <c r="AK56" s="13">
        <v>0.043055555555555555</v>
      </c>
      <c r="AL56" s="14">
        <v>70.0</v>
      </c>
      <c r="AM56" s="15">
        <v>0.14166666666666666</v>
      </c>
      <c r="AN56" s="16">
        <v>0.14652777777777778</v>
      </c>
      <c r="AO56" s="11">
        <v>63.0</v>
      </c>
      <c r="AP56" s="12">
        <v>0.2125</v>
      </c>
      <c r="AQ56" s="13">
        <v>0.22430555555555556</v>
      </c>
      <c r="AR56" s="11">
        <v>61.0</v>
      </c>
      <c r="AS56" s="12">
        <v>0.29375</v>
      </c>
      <c r="AT56" s="13">
        <v>0.2986111111111111</v>
      </c>
      <c r="AU56" s="11">
        <v>56.0</v>
      </c>
      <c r="AV56" s="12">
        <v>0.39861111111111114</v>
      </c>
      <c r="AW56" s="13">
        <v>0.40347222222222223</v>
      </c>
      <c r="AX56" s="11">
        <v>54.0</v>
      </c>
      <c r="AY56" s="12">
        <v>0.4791666666666667</v>
      </c>
      <c r="AZ56" s="13">
        <v>0.48055555555555557</v>
      </c>
      <c r="BA56" s="24">
        <v>55.0</v>
      </c>
      <c r="BB56" s="25">
        <v>44787.534158449074</v>
      </c>
      <c r="BC56" s="12"/>
    </row>
    <row r="57" ht="15.75" customHeight="1">
      <c r="A57" s="7"/>
      <c r="B57" s="8" t="s">
        <v>111</v>
      </c>
      <c r="C57" s="9">
        <v>549.0</v>
      </c>
      <c r="D57" s="10" t="s">
        <v>54</v>
      </c>
      <c r="E57" s="11">
        <v>106.0</v>
      </c>
      <c r="F57" s="12">
        <v>0.26944444444444443</v>
      </c>
      <c r="G57" s="13">
        <v>0.2701388888888889</v>
      </c>
      <c r="H57" s="27"/>
      <c r="I57" s="28"/>
      <c r="J57" s="29"/>
      <c r="K57" s="11">
        <v>104.0</v>
      </c>
      <c r="L57" s="12">
        <v>0.3972222222222222</v>
      </c>
      <c r="M57" s="13">
        <v>0.40208333333333335</v>
      </c>
      <c r="N57" s="17">
        <v>96.0</v>
      </c>
      <c r="O57" s="12">
        <v>0.48541666666666666</v>
      </c>
      <c r="P57" s="12">
        <v>0.4888888888888889</v>
      </c>
      <c r="Q57" s="11">
        <v>87.0</v>
      </c>
      <c r="R57" s="12">
        <v>0.5548611111111111</v>
      </c>
      <c r="S57" s="13">
        <v>0.5569444444444445</v>
      </c>
      <c r="T57" s="18">
        <v>84.0</v>
      </c>
      <c r="U57" s="12">
        <v>0.6243055555555556</v>
      </c>
      <c r="V57" s="13">
        <v>0.6270833333333333</v>
      </c>
      <c r="W57" s="11">
        <v>90.0</v>
      </c>
      <c r="X57" s="12">
        <v>0.6798611111111111</v>
      </c>
      <c r="Y57" s="13">
        <v>0.6868055555555556</v>
      </c>
      <c r="Z57" s="11">
        <v>77.0</v>
      </c>
      <c r="AA57" s="19"/>
      <c r="AB57" s="13">
        <v>0.7819444444444444</v>
      </c>
      <c r="AC57" s="20">
        <v>77.0</v>
      </c>
      <c r="AD57" s="21">
        <v>0.8513888888888889</v>
      </c>
      <c r="AE57" s="22">
        <v>0.8451388888888889</v>
      </c>
      <c r="AF57" s="18">
        <v>70.0</v>
      </c>
      <c r="AG57" s="12">
        <v>0.9416666666666667</v>
      </c>
      <c r="AH57" s="23">
        <v>0.9548611111111112</v>
      </c>
      <c r="AI57" s="11">
        <v>65.0</v>
      </c>
      <c r="AJ57" s="12">
        <v>0.021527777777777778</v>
      </c>
      <c r="AK57" s="13">
        <v>0.024305555555555556</v>
      </c>
      <c r="AL57" s="14">
        <v>59.0</v>
      </c>
      <c r="AM57" s="15">
        <v>0.12152777777777778</v>
      </c>
      <c r="AN57" s="16">
        <v>0.12569444444444444</v>
      </c>
      <c r="AO57" s="11">
        <v>56.0</v>
      </c>
      <c r="AP57" s="12">
        <v>0.19166666666666668</v>
      </c>
      <c r="AQ57" s="13">
        <v>0.20208333333333334</v>
      </c>
      <c r="AR57" s="11">
        <v>54.0</v>
      </c>
      <c r="AS57" s="12">
        <v>0.2708333333333333</v>
      </c>
      <c r="AT57" s="13">
        <v>0.2763888888888889</v>
      </c>
      <c r="AU57" s="11">
        <v>53.0</v>
      </c>
      <c r="AV57" s="12">
        <v>0.3951388888888889</v>
      </c>
      <c r="AW57" s="13">
        <v>0.4</v>
      </c>
      <c r="AX57" s="11">
        <v>55.0</v>
      </c>
      <c r="AY57" s="12">
        <v>0.48055555555555557</v>
      </c>
      <c r="AZ57" s="13">
        <v>0.48194444444444445</v>
      </c>
      <c r="BA57" s="24">
        <v>56.0</v>
      </c>
      <c r="BB57" s="25">
        <v>44787.538908912036</v>
      </c>
      <c r="BC57" s="12"/>
    </row>
    <row r="58" ht="15.75" customHeight="1">
      <c r="A58" s="7"/>
      <c r="B58" s="8" t="s">
        <v>112</v>
      </c>
      <c r="C58" s="9">
        <v>647.0</v>
      </c>
      <c r="D58" s="10" t="s">
        <v>54</v>
      </c>
      <c r="E58" s="11">
        <v>112.0</v>
      </c>
      <c r="F58" s="12">
        <v>0.26944444444444443</v>
      </c>
      <c r="G58" s="13">
        <v>0.2701388888888889</v>
      </c>
      <c r="H58" s="14">
        <v>107.0</v>
      </c>
      <c r="I58" s="15">
        <v>0.32569444444444445</v>
      </c>
      <c r="J58" s="16">
        <v>0.32569444444444445</v>
      </c>
      <c r="K58" s="11">
        <v>93.0</v>
      </c>
      <c r="L58" s="12">
        <v>0.39375</v>
      </c>
      <c r="M58" s="13">
        <v>0.39861111111111114</v>
      </c>
      <c r="N58" s="17">
        <v>89.0</v>
      </c>
      <c r="O58" s="12">
        <v>0.4840277777777778</v>
      </c>
      <c r="P58" s="12">
        <v>0.4875</v>
      </c>
      <c r="Q58" s="11">
        <v>93.0</v>
      </c>
      <c r="R58" s="12">
        <v>0.5569444444444445</v>
      </c>
      <c r="S58" s="13">
        <v>0.5597222222222222</v>
      </c>
      <c r="T58" s="18">
        <v>89.0</v>
      </c>
      <c r="U58" s="12">
        <v>0.625</v>
      </c>
      <c r="V58" s="13">
        <v>0.6291666666666667</v>
      </c>
      <c r="W58" s="11">
        <v>83.0</v>
      </c>
      <c r="X58" s="12">
        <v>0.6743055555555556</v>
      </c>
      <c r="Y58" s="13">
        <v>0.6895833333333333</v>
      </c>
      <c r="Z58" s="11">
        <v>92.0</v>
      </c>
      <c r="AA58" s="19"/>
      <c r="AB58" s="13">
        <v>0.7972222222222223</v>
      </c>
      <c r="AC58" s="20">
        <v>90.0</v>
      </c>
      <c r="AD58" s="21">
        <v>0.8597222222222223</v>
      </c>
      <c r="AE58" s="22">
        <v>0.8645833333333334</v>
      </c>
      <c r="AF58" s="18">
        <v>90.0</v>
      </c>
      <c r="AG58" s="12">
        <v>0.9736111111111111</v>
      </c>
      <c r="AH58" s="23">
        <v>0.003472222222222222</v>
      </c>
      <c r="AI58" s="11">
        <v>91.0</v>
      </c>
      <c r="AJ58" s="12">
        <v>0.07847222222222222</v>
      </c>
      <c r="AK58" s="13">
        <v>0.08333333333333333</v>
      </c>
      <c r="AL58" s="14">
        <v>88.0</v>
      </c>
      <c r="AM58" s="15">
        <v>0.1875</v>
      </c>
      <c r="AN58" s="16">
        <v>0.19930555555555557</v>
      </c>
      <c r="AO58" s="11">
        <v>78.0</v>
      </c>
      <c r="AP58" s="12">
        <v>0.2569444444444444</v>
      </c>
      <c r="AQ58" s="13">
        <v>0.2743055555555556</v>
      </c>
      <c r="AR58" s="11">
        <v>80.0</v>
      </c>
      <c r="AS58" s="12">
        <v>0.3402777777777778</v>
      </c>
      <c r="AT58" s="13">
        <v>0.34444444444444444</v>
      </c>
      <c r="AU58" s="11">
        <v>66.0</v>
      </c>
      <c r="AV58" s="12">
        <v>0.4284722222222222</v>
      </c>
      <c r="AW58" s="13">
        <v>0.42986111111111114</v>
      </c>
      <c r="AX58" s="11">
        <v>59.0</v>
      </c>
      <c r="AY58" s="12">
        <v>0.4930555555555556</v>
      </c>
      <c r="AZ58" s="13">
        <v>0.4951388888888889</v>
      </c>
      <c r="BA58" s="24">
        <v>57.0</v>
      </c>
      <c r="BB58" s="25">
        <v>44787.54023391204</v>
      </c>
      <c r="BC58" s="12"/>
    </row>
    <row r="59" ht="15.75" customHeight="1">
      <c r="A59" s="7"/>
      <c r="B59" s="8" t="s">
        <v>113</v>
      </c>
      <c r="C59" s="9">
        <v>547.0</v>
      </c>
      <c r="D59" s="10" t="s">
        <v>66</v>
      </c>
      <c r="E59" s="11">
        <v>107.0</v>
      </c>
      <c r="F59" s="12">
        <v>0.26944444444444443</v>
      </c>
      <c r="G59" s="13">
        <v>0.2701388888888889</v>
      </c>
      <c r="H59" s="14">
        <v>87.0</v>
      </c>
      <c r="I59" s="15">
        <v>0.32430555555555557</v>
      </c>
      <c r="J59" s="16">
        <v>0.32430555555555557</v>
      </c>
      <c r="K59" s="11">
        <v>102.0</v>
      </c>
      <c r="L59" s="12">
        <v>0.39652777777777776</v>
      </c>
      <c r="M59" s="13">
        <v>0.40208333333333335</v>
      </c>
      <c r="N59" s="17">
        <v>97.0</v>
      </c>
      <c r="O59" s="12">
        <v>0.48541666666666666</v>
      </c>
      <c r="P59" s="12">
        <v>0.4888888888888889</v>
      </c>
      <c r="Q59" s="11">
        <v>86.0</v>
      </c>
      <c r="R59" s="12">
        <v>0.5548611111111111</v>
      </c>
      <c r="S59" s="13">
        <v>0.5569444444444445</v>
      </c>
      <c r="T59" s="18">
        <v>85.0</v>
      </c>
      <c r="U59" s="12">
        <v>0.625</v>
      </c>
      <c r="V59" s="13">
        <v>0.6270833333333333</v>
      </c>
      <c r="W59" s="11">
        <v>91.0</v>
      </c>
      <c r="X59" s="12">
        <v>0.6798611111111111</v>
      </c>
      <c r="Y59" s="13">
        <v>0.6868055555555556</v>
      </c>
      <c r="Z59" s="11">
        <v>78.0</v>
      </c>
      <c r="AA59" s="19"/>
      <c r="AB59" s="13">
        <v>0.7819444444444444</v>
      </c>
      <c r="AC59" s="20">
        <v>76.0</v>
      </c>
      <c r="AD59" s="21">
        <v>0.8402777777777778</v>
      </c>
      <c r="AE59" s="22">
        <v>0.8451388888888889</v>
      </c>
      <c r="AF59" s="18">
        <v>72.0</v>
      </c>
      <c r="AG59" s="12">
        <v>0.9458333333333333</v>
      </c>
      <c r="AH59" s="23">
        <v>0.9527777777777777</v>
      </c>
      <c r="AI59" s="11">
        <v>67.0</v>
      </c>
      <c r="AJ59" s="12">
        <v>0.024305555555555556</v>
      </c>
      <c r="AK59" s="13">
        <v>0.027083333333333334</v>
      </c>
      <c r="AL59" s="14">
        <v>61.0</v>
      </c>
      <c r="AM59" s="15">
        <v>0.13194444444444445</v>
      </c>
      <c r="AN59" s="16">
        <v>0.13541666666666666</v>
      </c>
      <c r="AO59" s="11">
        <v>60.0</v>
      </c>
      <c r="AP59" s="12">
        <v>0.20208333333333334</v>
      </c>
      <c r="AQ59" s="13">
        <v>0.20833333333333334</v>
      </c>
      <c r="AR59" s="11">
        <v>57.0</v>
      </c>
      <c r="AS59" s="12">
        <v>0.2791666666666667</v>
      </c>
      <c r="AT59" s="13">
        <v>0.28194444444444444</v>
      </c>
      <c r="AU59" s="11">
        <v>54.0</v>
      </c>
      <c r="AV59" s="12">
        <v>0.39652777777777776</v>
      </c>
      <c r="AW59" s="13">
        <v>0.4</v>
      </c>
      <c r="AX59" s="11">
        <v>57.0</v>
      </c>
      <c r="AY59" s="12">
        <v>0.4909722222222222</v>
      </c>
      <c r="AZ59" s="13">
        <v>0.49236111111111114</v>
      </c>
      <c r="BA59" s="24">
        <v>58.0</v>
      </c>
      <c r="BB59" s="25">
        <v>44787.540697916666</v>
      </c>
      <c r="BC59" s="12"/>
    </row>
    <row r="60" ht="15.75" customHeight="1">
      <c r="A60" s="7"/>
      <c r="B60" s="8" t="s">
        <v>114</v>
      </c>
      <c r="C60" s="9">
        <v>536.0</v>
      </c>
      <c r="D60" s="10" t="s">
        <v>54</v>
      </c>
      <c r="E60" s="11">
        <v>63.0</v>
      </c>
      <c r="F60" s="12">
        <v>0.26319444444444445</v>
      </c>
      <c r="G60" s="13">
        <v>0.2638888888888889</v>
      </c>
      <c r="H60" s="14">
        <v>52.0</v>
      </c>
      <c r="I60" s="15">
        <v>0.3145833333333333</v>
      </c>
      <c r="J60" s="16">
        <v>0.3145833333333333</v>
      </c>
      <c r="K60" s="11">
        <v>36.0</v>
      </c>
      <c r="L60" s="12">
        <v>0.37083333333333335</v>
      </c>
      <c r="M60" s="13">
        <v>0.3763888888888889</v>
      </c>
      <c r="N60" s="17">
        <v>35.0</v>
      </c>
      <c r="O60" s="12">
        <v>0.44583333333333336</v>
      </c>
      <c r="P60" s="12">
        <v>0.4479166666666667</v>
      </c>
      <c r="Q60" s="11">
        <v>30.0</v>
      </c>
      <c r="R60" s="12">
        <v>0.5034722222222222</v>
      </c>
      <c r="S60" s="13">
        <v>0.50625</v>
      </c>
      <c r="T60" s="18">
        <v>26.0</v>
      </c>
      <c r="U60" s="12">
        <v>0.5604166666666667</v>
      </c>
      <c r="V60" s="13">
        <v>0.5625</v>
      </c>
      <c r="W60" s="11">
        <v>24.0</v>
      </c>
      <c r="X60" s="12">
        <v>0.6</v>
      </c>
      <c r="Y60" s="13">
        <v>0.6145833333333334</v>
      </c>
      <c r="Z60" s="11">
        <v>32.0</v>
      </c>
      <c r="AA60" s="19"/>
      <c r="AB60" s="13">
        <v>0.7125</v>
      </c>
      <c r="AC60" s="20">
        <v>32.0</v>
      </c>
      <c r="AD60" s="21">
        <v>0.7694444444444445</v>
      </c>
      <c r="AE60" s="22">
        <v>0.7736111111111111</v>
      </c>
      <c r="AF60" s="18">
        <v>44.0</v>
      </c>
      <c r="AG60" s="12">
        <v>0.8868055555555555</v>
      </c>
      <c r="AH60" s="23">
        <v>0.9138888888888889</v>
      </c>
      <c r="AI60" s="11">
        <v>45.0</v>
      </c>
      <c r="AJ60" s="12">
        <v>0.9854166666666667</v>
      </c>
      <c r="AK60" s="13">
        <v>0.9881944444444445</v>
      </c>
      <c r="AL60" s="14">
        <v>49.0</v>
      </c>
      <c r="AM60" s="15">
        <v>0.09861111111111111</v>
      </c>
      <c r="AN60" s="16">
        <v>0.10694444444444444</v>
      </c>
      <c r="AO60" s="11">
        <v>45.0</v>
      </c>
      <c r="AP60" s="12">
        <v>0.15694444444444444</v>
      </c>
      <c r="AQ60" s="13">
        <v>0.17916666666666667</v>
      </c>
      <c r="AR60" s="11">
        <v>53.0</v>
      </c>
      <c r="AS60" s="12">
        <v>0.2652777777777778</v>
      </c>
      <c r="AT60" s="13">
        <v>0.27708333333333335</v>
      </c>
      <c r="AU60" s="11">
        <v>57.0</v>
      </c>
      <c r="AV60" s="12">
        <v>0.40069444444444446</v>
      </c>
      <c r="AW60" s="13">
        <v>0.41805555555555557</v>
      </c>
      <c r="AX60" s="11">
        <v>60.0</v>
      </c>
      <c r="AY60" s="12">
        <v>0.4930555555555556</v>
      </c>
      <c r="AZ60" s="13">
        <v>0.4951388888888889</v>
      </c>
      <c r="BA60" s="24">
        <v>59.0</v>
      </c>
      <c r="BB60" s="25">
        <v>44787.54309236111</v>
      </c>
      <c r="BC60" s="12"/>
    </row>
    <row r="61" ht="15.75" customHeight="1">
      <c r="A61" s="7"/>
      <c r="B61" s="8" t="s">
        <v>115</v>
      </c>
      <c r="C61" s="9">
        <v>727.0</v>
      </c>
      <c r="D61" s="10" t="s">
        <v>66</v>
      </c>
      <c r="E61" s="11">
        <v>77.0</v>
      </c>
      <c r="F61" s="12">
        <v>0.2659722222222222</v>
      </c>
      <c r="G61" s="13">
        <v>0.26666666666666666</v>
      </c>
      <c r="H61" s="27"/>
      <c r="I61" s="28"/>
      <c r="J61" s="29"/>
      <c r="K61" s="11">
        <v>83.0</v>
      </c>
      <c r="L61" s="12">
        <v>0.38819444444444445</v>
      </c>
      <c r="M61" s="13">
        <v>0.39652777777777776</v>
      </c>
      <c r="N61" s="17">
        <v>82.0</v>
      </c>
      <c r="O61" s="12">
        <v>0.47847222222222224</v>
      </c>
      <c r="P61" s="12">
        <v>0.48055555555555557</v>
      </c>
      <c r="Q61" s="11">
        <v>75.0</v>
      </c>
      <c r="R61" s="12">
        <v>0.5451388888888888</v>
      </c>
      <c r="S61" s="13">
        <v>0.5541666666666667</v>
      </c>
      <c r="T61" s="18">
        <v>79.0</v>
      </c>
      <c r="U61" s="12">
        <v>0.6166666666666667</v>
      </c>
      <c r="V61" s="13">
        <v>0.6194444444444445</v>
      </c>
      <c r="W61" s="11">
        <v>76.0</v>
      </c>
      <c r="X61" s="12">
        <v>0.6673611111111111</v>
      </c>
      <c r="Y61" s="13">
        <v>0.6722222222222223</v>
      </c>
      <c r="Z61" s="11">
        <v>68.0</v>
      </c>
      <c r="AA61" s="19"/>
      <c r="AB61" s="13">
        <v>0.7777777777777778</v>
      </c>
      <c r="AC61" s="20">
        <v>74.0</v>
      </c>
      <c r="AD61" s="21">
        <v>0.8402777777777778</v>
      </c>
      <c r="AE61" s="22">
        <v>0.8430555555555556</v>
      </c>
      <c r="AF61" s="18">
        <v>71.0</v>
      </c>
      <c r="AG61" s="12">
        <v>0.9458333333333333</v>
      </c>
      <c r="AH61" s="23">
        <v>0.9583333333333334</v>
      </c>
      <c r="AI61" s="11">
        <v>73.0</v>
      </c>
      <c r="AJ61" s="12">
        <v>0.030555555555555555</v>
      </c>
      <c r="AK61" s="13">
        <v>0.0375</v>
      </c>
      <c r="AL61" s="14">
        <v>71.0</v>
      </c>
      <c r="AM61" s="15">
        <v>0.14444444444444443</v>
      </c>
      <c r="AN61" s="16">
        <v>0.14930555555555555</v>
      </c>
      <c r="AO61" s="11">
        <v>67.0</v>
      </c>
      <c r="AP61" s="12">
        <v>0.21805555555555556</v>
      </c>
      <c r="AQ61" s="13">
        <v>0.2388888888888889</v>
      </c>
      <c r="AR61" s="11">
        <v>65.0</v>
      </c>
      <c r="AS61" s="12">
        <v>0.30972222222222223</v>
      </c>
      <c r="AT61" s="13">
        <v>0.3215277777777778</v>
      </c>
      <c r="AU61" s="11">
        <v>64.0</v>
      </c>
      <c r="AV61" s="12">
        <v>0.4201388888888889</v>
      </c>
      <c r="AW61" s="13">
        <v>0.42569444444444443</v>
      </c>
      <c r="AX61" s="11">
        <v>61.0</v>
      </c>
      <c r="AY61" s="12">
        <v>0.49583333333333335</v>
      </c>
      <c r="AZ61" s="13">
        <v>0.49722222222222223</v>
      </c>
      <c r="BA61" s="24">
        <v>60.0</v>
      </c>
      <c r="BB61" s="25">
        <v>44787.55220150463</v>
      </c>
      <c r="BC61" s="12"/>
    </row>
    <row r="62" ht="15.75" customHeight="1">
      <c r="A62" s="7"/>
      <c r="B62" s="8" t="s">
        <v>116</v>
      </c>
      <c r="C62" s="9">
        <v>651.0</v>
      </c>
      <c r="D62" s="10" t="s">
        <v>54</v>
      </c>
      <c r="E62" s="11">
        <v>123.0</v>
      </c>
      <c r="F62" s="12">
        <v>0.2701388888888889</v>
      </c>
      <c r="G62" s="13">
        <v>0.2708333333333333</v>
      </c>
      <c r="H62" s="14">
        <v>70.0</v>
      </c>
      <c r="I62" s="15">
        <v>0.32083333333333336</v>
      </c>
      <c r="J62" s="16">
        <v>0.32083333333333336</v>
      </c>
      <c r="K62" s="11">
        <v>67.0</v>
      </c>
      <c r="L62" s="12">
        <v>0.3854166666666667</v>
      </c>
      <c r="M62" s="13">
        <v>0.39305555555555555</v>
      </c>
      <c r="N62" s="17">
        <v>73.0</v>
      </c>
      <c r="O62" s="12">
        <v>0.4736111111111111</v>
      </c>
      <c r="P62" s="12">
        <v>0.475</v>
      </c>
      <c r="Q62" s="11">
        <v>74.0</v>
      </c>
      <c r="R62" s="12">
        <v>0.5451388888888888</v>
      </c>
      <c r="S62" s="13">
        <v>0.5472222222222223</v>
      </c>
      <c r="T62" s="18">
        <v>75.0</v>
      </c>
      <c r="U62" s="12">
        <v>0.6125</v>
      </c>
      <c r="V62" s="13">
        <v>0.6131944444444445</v>
      </c>
      <c r="W62" s="11">
        <v>66.0</v>
      </c>
      <c r="X62" s="12">
        <v>0.65625</v>
      </c>
      <c r="Y62" s="13">
        <v>0.6722222222222223</v>
      </c>
      <c r="Z62" s="11">
        <v>66.0</v>
      </c>
      <c r="AA62" s="19"/>
      <c r="AB62" s="13">
        <v>0.7715277777777778</v>
      </c>
      <c r="AC62" s="20">
        <v>67.0</v>
      </c>
      <c r="AD62" s="21">
        <v>0.8375</v>
      </c>
      <c r="AE62" s="22">
        <v>0.8395833333333333</v>
      </c>
      <c r="AF62" s="18">
        <v>67.0</v>
      </c>
      <c r="AG62" s="12">
        <v>0.9375</v>
      </c>
      <c r="AH62" s="23">
        <v>0.9479166666666666</v>
      </c>
      <c r="AI62" s="11">
        <v>70.0</v>
      </c>
      <c r="AJ62" s="12">
        <v>0.02847222222222222</v>
      </c>
      <c r="AK62" s="13">
        <v>0.03194444444444444</v>
      </c>
      <c r="AL62" s="14">
        <v>65.0</v>
      </c>
      <c r="AM62" s="15">
        <v>0.13333333333333333</v>
      </c>
      <c r="AN62" s="16">
        <v>0.13472222222222222</v>
      </c>
      <c r="AO62" s="11">
        <v>59.0</v>
      </c>
      <c r="AP62" s="12">
        <v>0.2013888888888889</v>
      </c>
      <c r="AQ62" s="13">
        <v>0.2152777777777778</v>
      </c>
      <c r="AR62" s="11">
        <v>60.0</v>
      </c>
      <c r="AS62" s="12">
        <v>0.29375</v>
      </c>
      <c r="AT62" s="13">
        <v>0.2951388888888889</v>
      </c>
      <c r="AU62" s="11">
        <v>55.0</v>
      </c>
      <c r="AV62" s="12">
        <v>0.39791666666666664</v>
      </c>
      <c r="AW62" s="13">
        <v>0.40625</v>
      </c>
      <c r="AX62" s="11">
        <v>58.0</v>
      </c>
      <c r="AY62" s="12">
        <v>0.4930555555555556</v>
      </c>
      <c r="AZ62" s="13">
        <v>0.4951388888888889</v>
      </c>
      <c r="BA62" s="24">
        <v>61.0</v>
      </c>
      <c r="BB62" s="25">
        <v>44787.5554275463</v>
      </c>
      <c r="BC62" s="12"/>
    </row>
    <row r="63" ht="15.75" customHeight="1">
      <c r="A63" s="7"/>
      <c r="B63" s="8" t="s">
        <v>117</v>
      </c>
      <c r="C63" s="9">
        <v>575.0</v>
      </c>
      <c r="D63" s="10" t="s">
        <v>54</v>
      </c>
      <c r="E63" s="11">
        <v>91.0</v>
      </c>
      <c r="F63" s="12">
        <v>0.2673611111111111</v>
      </c>
      <c r="G63" s="13">
        <v>0.26805555555555555</v>
      </c>
      <c r="H63" s="14">
        <v>119.0</v>
      </c>
      <c r="I63" s="15">
        <v>0.3298611111111111</v>
      </c>
      <c r="J63" s="16">
        <v>0.3298611111111111</v>
      </c>
      <c r="K63" s="11">
        <v>100.0</v>
      </c>
      <c r="L63" s="12">
        <v>0.39652777777777776</v>
      </c>
      <c r="M63" s="13">
        <v>0.4</v>
      </c>
      <c r="N63" s="17">
        <v>92.0</v>
      </c>
      <c r="O63" s="12">
        <v>0.4840277777777778</v>
      </c>
      <c r="P63" s="12">
        <v>0.48819444444444443</v>
      </c>
      <c r="Q63" s="11">
        <v>94.0</v>
      </c>
      <c r="R63" s="12">
        <v>0.5569444444444445</v>
      </c>
      <c r="S63" s="13">
        <v>0.5590277777777778</v>
      </c>
      <c r="T63" s="18">
        <v>96.0</v>
      </c>
      <c r="U63" s="12">
        <v>0.6298611111111111</v>
      </c>
      <c r="V63" s="13">
        <v>0.6333333333333333</v>
      </c>
      <c r="W63" s="11">
        <v>95.0</v>
      </c>
      <c r="X63" s="12">
        <v>0.68125</v>
      </c>
      <c r="Y63" s="13">
        <v>0.6875</v>
      </c>
      <c r="Z63" s="11">
        <v>82.0</v>
      </c>
      <c r="AA63" s="19"/>
      <c r="AB63" s="13">
        <v>0.7902777777777777</v>
      </c>
      <c r="AC63" s="20">
        <v>83.0</v>
      </c>
      <c r="AD63" s="21">
        <v>0.8548611111111111</v>
      </c>
      <c r="AE63" s="22">
        <v>0.8576388888888888</v>
      </c>
      <c r="AF63" s="18">
        <v>81.0</v>
      </c>
      <c r="AG63" s="12">
        <v>0.9527777777777777</v>
      </c>
      <c r="AH63" s="23">
        <v>0.9618055555555556</v>
      </c>
      <c r="AI63" s="11">
        <v>72.0</v>
      </c>
      <c r="AJ63" s="12">
        <v>0.030555555555555555</v>
      </c>
      <c r="AK63" s="13">
        <v>0.034722222222222224</v>
      </c>
      <c r="AL63" s="14">
        <v>63.0</v>
      </c>
      <c r="AM63" s="15">
        <v>0.1326388888888889</v>
      </c>
      <c r="AN63" s="16">
        <v>0.1375</v>
      </c>
      <c r="AO63" s="11">
        <v>58.0</v>
      </c>
      <c r="AP63" s="12">
        <v>0.2013888888888889</v>
      </c>
      <c r="AQ63" s="13">
        <v>0.2125</v>
      </c>
      <c r="AR63" s="11">
        <v>58.0</v>
      </c>
      <c r="AS63" s="12">
        <v>0.28541666666666665</v>
      </c>
      <c r="AT63" s="13">
        <v>0.29097222222222224</v>
      </c>
      <c r="AU63" s="11">
        <v>61.0</v>
      </c>
      <c r="AV63" s="12">
        <v>0.40625</v>
      </c>
      <c r="AW63" s="13">
        <v>0.4166666666666667</v>
      </c>
      <c r="AX63" s="11">
        <v>64.0</v>
      </c>
      <c r="AY63" s="12">
        <v>0.5020833333333333</v>
      </c>
      <c r="AZ63" s="13">
        <v>0.5048611111111111</v>
      </c>
      <c r="BA63" s="24">
        <v>62.0</v>
      </c>
      <c r="BB63" s="25">
        <v>44787.565461226855</v>
      </c>
      <c r="BC63" s="12"/>
    </row>
    <row r="64" ht="15.75" customHeight="1">
      <c r="A64" s="7"/>
      <c r="B64" s="8" t="s">
        <v>118</v>
      </c>
      <c r="C64" s="9">
        <v>519.0</v>
      </c>
      <c r="D64" s="10" t="s">
        <v>54</v>
      </c>
      <c r="E64" s="11">
        <v>133.0</v>
      </c>
      <c r="F64" s="12">
        <v>0.27152777777777776</v>
      </c>
      <c r="G64" s="13">
        <v>0.2722222222222222</v>
      </c>
      <c r="H64" s="14">
        <v>125.0</v>
      </c>
      <c r="I64" s="15">
        <v>0.33194444444444443</v>
      </c>
      <c r="J64" s="16">
        <v>0.33194444444444443</v>
      </c>
      <c r="K64" s="11">
        <v>96.0</v>
      </c>
      <c r="L64" s="12">
        <v>0.3958333333333333</v>
      </c>
      <c r="M64" s="13">
        <v>0.4013888888888889</v>
      </c>
      <c r="N64" s="17">
        <v>105.0</v>
      </c>
      <c r="O64" s="12">
        <v>0.49166666666666664</v>
      </c>
      <c r="P64" s="12">
        <v>0.49444444444444446</v>
      </c>
      <c r="Q64" s="11">
        <v>100.0</v>
      </c>
      <c r="R64" s="12">
        <v>0.5625</v>
      </c>
      <c r="S64" s="13">
        <v>0.5645833333333333</v>
      </c>
      <c r="T64" s="18">
        <v>97.0</v>
      </c>
      <c r="U64" s="12">
        <v>0.6305555555555555</v>
      </c>
      <c r="V64" s="13">
        <v>0.6326388888888889</v>
      </c>
      <c r="W64" s="11">
        <v>89.0</v>
      </c>
      <c r="X64" s="12">
        <v>0.6798611111111111</v>
      </c>
      <c r="Y64" s="13">
        <v>0.6944444444444444</v>
      </c>
      <c r="Z64" s="11">
        <v>90.0</v>
      </c>
      <c r="AA64" s="19"/>
      <c r="AB64" s="13">
        <v>0.7972222222222223</v>
      </c>
      <c r="AC64" s="20">
        <v>82.0</v>
      </c>
      <c r="AD64" s="21">
        <v>0.8534722222222222</v>
      </c>
      <c r="AE64" s="22">
        <v>0.8555555555555555</v>
      </c>
      <c r="AF64" s="18">
        <v>77.0</v>
      </c>
      <c r="AG64" s="12">
        <v>0.9486111111111111</v>
      </c>
      <c r="AH64" s="23">
        <v>0.9673611111111111</v>
      </c>
      <c r="AI64" s="11">
        <v>82.0</v>
      </c>
      <c r="AJ64" s="12">
        <v>0.04722222222222222</v>
      </c>
      <c r="AK64" s="13">
        <v>0.05138888888888889</v>
      </c>
      <c r="AL64" s="14">
        <v>78.0</v>
      </c>
      <c r="AM64" s="15">
        <v>0.15486111111111112</v>
      </c>
      <c r="AN64" s="16">
        <v>0.16319444444444445</v>
      </c>
      <c r="AO64" s="11">
        <v>73.0</v>
      </c>
      <c r="AP64" s="12">
        <v>0.23819444444444443</v>
      </c>
      <c r="AQ64" s="13">
        <v>0.26875</v>
      </c>
      <c r="AR64" s="11">
        <v>72.0</v>
      </c>
      <c r="AS64" s="12">
        <v>0.3277777777777778</v>
      </c>
      <c r="AT64" s="13">
        <v>0.3326388888888889</v>
      </c>
      <c r="AU64" s="11">
        <v>69.0</v>
      </c>
      <c r="AV64" s="12">
        <v>0.4395833333333333</v>
      </c>
      <c r="AW64" s="13">
        <v>0.4444444444444444</v>
      </c>
      <c r="AX64" s="11">
        <v>70.0</v>
      </c>
      <c r="AY64" s="12">
        <v>0.5215277777777778</v>
      </c>
      <c r="AZ64" s="13">
        <v>0.5215277777777778</v>
      </c>
      <c r="BA64" s="24">
        <v>63.0</v>
      </c>
      <c r="BB64" s="25">
        <v>44787.568083564816</v>
      </c>
      <c r="BC64" s="12"/>
    </row>
    <row r="65" ht="15.75" customHeight="1">
      <c r="A65" s="7"/>
      <c r="B65" s="8" t="s">
        <v>119</v>
      </c>
      <c r="C65" s="9">
        <v>617.0</v>
      </c>
      <c r="D65" s="10" t="s">
        <v>54</v>
      </c>
      <c r="E65" s="11">
        <v>82.0</v>
      </c>
      <c r="F65" s="12">
        <v>0.2659722222222222</v>
      </c>
      <c r="G65" s="13">
        <v>0.26666666666666666</v>
      </c>
      <c r="H65" s="14">
        <v>81.0</v>
      </c>
      <c r="I65" s="15">
        <v>0.3215277777777778</v>
      </c>
      <c r="J65" s="16">
        <v>0.3215277777777778</v>
      </c>
      <c r="K65" s="11">
        <v>69.0</v>
      </c>
      <c r="L65" s="12">
        <v>0.3861111111111111</v>
      </c>
      <c r="M65" s="13">
        <v>0.38819444444444445</v>
      </c>
      <c r="N65" s="17">
        <v>58.0</v>
      </c>
      <c r="O65" s="12">
        <v>0.4625</v>
      </c>
      <c r="P65" s="12">
        <v>0.4652777777777778</v>
      </c>
      <c r="Q65" s="11">
        <v>56.0</v>
      </c>
      <c r="R65" s="12">
        <v>0.5277777777777778</v>
      </c>
      <c r="S65" s="13">
        <v>0.5305555555555556</v>
      </c>
      <c r="T65" s="18">
        <v>52.0</v>
      </c>
      <c r="U65" s="12">
        <v>0.5881944444444445</v>
      </c>
      <c r="V65" s="13">
        <v>0.5895833333333333</v>
      </c>
      <c r="W65" s="11">
        <v>51.0</v>
      </c>
      <c r="X65" s="12">
        <v>0.63125</v>
      </c>
      <c r="Y65" s="13">
        <v>0.6375</v>
      </c>
      <c r="Z65" s="11">
        <v>49.0</v>
      </c>
      <c r="AA65" s="19"/>
      <c r="AB65" s="13">
        <v>0.7423611111111111</v>
      </c>
      <c r="AC65" s="20">
        <v>52.0</v>
      </c>
      <c r="AD65" s="21">
        <v>0.80625</v>
      </c>
      <c r="AE65" s="22">
        <v>0.8125</v>
      </c>
      <c r="AF65" s="18">
        <v>52.0</v>
      </c>
      <c r="AG65" s="12">
        <v>0.9076388888888889</v>
      </c>
      <c r="AH65" s="23">
        <v>0.9194444444444444</v>
      </c>
      <c r="AI65" s="11">
        <v>48.0</v>
      </c>
      <c r="AJ65" s="12">
        <v>0.9930555555555556</v>
      </c>
      <c r="AK65" s="13">
        <v>1.0</v>
      </c>
      <c r="AL65" s="14">
        <v>50.0</v>
      </c>
      <c r="AM65" s="15">
        <v>0.10277777777777777</v>
      </c>
      <c r="AN65" s="16">
        <v>0.10833333333333334</v>
      </c>
      <c r="AO65" s="11">
        <v>55.0</v>
      </c>
      <c r="AP65" s="12">
        <v>0.18472222222222223</v>
      </c>
      <c r="AQ65" s="13">
        <v>0.18819444444444444</v>
      </c>
      <c r="AR65" s="11">
        <v>56.0</v>
      </c>
      <c r="AS65" s="12">
        <v>0.2763888888888889</v>
      </c>
      <c r="AT65" s="13">
        <v>0.28541666666666665</v>
      </c>
      <c r="AU65" s="11">
        <v>59.0</v>
      </c>
      <c r="AV65" s="12">
        <v>0.4013888888888889</v>
      </c>
      <c r="AW65" s="13">
        <v>0.4097222222222222</v>
      </c>
      <c r="AX65" s="11">
        <v>63.0</v>
      </c>
      <c r="AY65" s="12">
        <v>0.5020833333333333</v>
      </c>
      <c r="AZ65" s="13">
        <v>0.5048611111111111</v>
      </c>
      <c r="BA65" s="24">
        <v>64.0</v>
      </c>
      <c r="BB65" s="25">
        <v>44787.568175231485</v>
      </c>
      <c r="BC65" s="12"/>
    </row>
    <row r="66" ht="15.75" customHeight="1">
      <c r="A66" s="7"/>
      <c r="B66" s="8" t="s">
        <v>120</v>
      </c>
      <c r="C66" s="9">
        <v>638.0</v>
      </c>
      <c r="D66" s="10" t="s">
        <v>54</v>
      </c>
      <c r="E66" s="11">
        <v>161.0</v>
      </c>
      <c r="F66" s="12">
        <v>0.2743055555555556</v>
      </c>
      <c r="G66" s="13">
        <v>0.275</v>
      </c>
      <c r="H66" s="27"/>
      <c r="I66" s="28"/>
      <c r="J66" s="29"/>
      <c r="K66" s="11">
        <v>140.0</v>
      </c>
      <c r="L66" s="12">
        <v>0.4097222222222222</v>
      </c>
      <c r="M66" s="13">
        <v>0.4131944444444444</v>
      </c>
      <c r="N66" s="17">
        <v>113.0</v>
      </c>
      <c r="O66" s="12">
        <v>0.4986111111111111</v>
      </c>
      <c r="P66" s="12">
        <v>0.5006944444444444</v>
      </c>
      <c r="Q66" s="11">
        <v>106.0</v>
      </c>
      <c r="R66" s="12">
        <v>0.56875</v>
      </c>
      <c r="S66" s="13">
        <v>0.5715277777777777</v>
      </c>
      <c r="T66" s="18">
        <v>101.0</v>
      </c>
      <c r="U66" s="12">
        <v>0.6368055555555555</v>
      </c>
      <c r="V66" s="13">
        <v>0.6395833333333333</v>
      </c>
      <c r="W66" s="11">
        <v>97.0</v>
      </c>
      <c r="X66" s="12">
        <v>0.6854166666666667</v>
      </c>
      <c r="Y66" s="13">
        <v>0.6895833333333333</v>
      </c>
      <c r="Z66" s="11">
        <v>86.0</v>
      </c>
      <c r="AA66" s="19"/>
      <c r="AB66" s="13">
        <v>0.7930555555555555</v>
      </c>
      <c r="AC66" s="20">
        <v>87.0</v>
      </c>
      <c r="AD66" s="21">
        <v>0.8569444444444444</v>
      </c>
      <c r="AE66" s="22">
        <v>0.8604166666666667</v>
      </c>
      <c r="AF66" s="18">
        <v>83.0</v>
      </c>
      <c r="AG66" s="12">
        <v>0.9569444444444445</v>
      </c>
      <c r="AH66" s="23">
        <v>0.96875</v>
      </c>
      <c r="AI66" s="11">
        <v>81.0</v>
      </c>
      <c r="AJ66" s="12">
        <v>0.04513888888888889</v>
      </c>
      <c r="AK66" s="13">
        <v>0.04722222222222222</v>
      </c>
      <c r="AL66" s="14">
        <v>73.0</v>
      </c>
      <c r="AM66" s="15">
        <v>0.14652777777777778</v>
      </c>
      <c r="AN66" s="16">
        <v>0.1486111111111111</v>
      </c>
      <c r="AO66" s="11">
        <v>65.0</v>
      </c>
      <c r="AP66" s="12">
        <v>0.21458333333333332</v>
      </c>
      <c r="AQ66" s="13">
        <v>0.2222222222222222</v>
      </c>
      <c r="AR66" s="11">
        <v>62.0</v>
      </c>
      <c r="AS66" s="12">
        <v>0.29444444444444445</v>
      </c>
      <c r="AT66" s="13">
        <v>0.2965277777777778</v>
      </c>
      <c r="AU66" s="11">
        <v>62.0</v>
      </c>
      <c r="AV66" s="12">
        <v>0.4076388888888889</v>
      </c>
      <c r="AW66" s="13">
        <v>0.40902777777777777</v>
      </c>
      <c r="AX66" s="11">
        <v>62.0</v>
      </c>
      <c r="AY66" s="12">
        <v>0.5020833333333333</v>
      </c>
      <c r="AZ66" s="13">
        <v>0.5034722222222222</v>
      </c>
      <c r="BA66" s="24">
        <v>65.0</v>
      </c>
      <c r="BB66" s="25">
        <v>44787.56864328704</v>
      </c>
      <c r="BC66" s="12"/>
    </row>
    <row r="67" ht="15.75" customHeight="1">
      <c r="A67" s="7"/>
      <c r="B67" s="8" t="s">
        <v>121</v>
      </c>
      <c r="C67" s="9">
        <v>687.0</v>
      </c>
      <c r="D67" s="10" t="s">
        <v>54</v>
      </c>
      <c r="E67" s="11">
        <v>65.0</v>
      </c>
      <c r="F67" s="12">
        <v>0.26319444444444445</v>
      </c>
      <c r="G67" s="13">
        <v>0.2638888888888889</v>
      </c>
      <c r="H67" s="14">
        <v>56.0</v>
      </c>
      <c r="I67" s="15">
        <v>0.3145833333333333</v>
      </c>
      <c r="J67" s="16">
        <v>0.3145833333333333</v>
      </c>
      <c r="K67" s="11">
        <v>43.0</v>
      </c>
      <c r="L67" s="12">
        <v>0.3729166666666667</v>
      </c>
      <c r="M67" s="13">
        <v>0.3784722222222222</v>
      </c>
      <c r="N67" s="17">
        <v>42.0</v>
      </c>
      <c r="O67" s="12">
        <v>0.45</v>
      </c>
      <c r="P67" s="12">
        <v>0.4527777777777778</v>
      </c>
      <c r="Q67" s="11">
        <v>39.0</v>
      </c>
      <c r="R67" s="12">
        <v>0.5097222222222222</v>
      </c>
      <c r="S67" s="38" t="s">
        <v>122</v>
      </c>
      <c r="T67" s="18">
        <v>39.0</v>
      </c>
      <c r="U67" s="12">
        <v>0.5701388888888889</v>
      </c>
      <c r="V67" s="13">
        <v>0.5708333333333333</v>
      </c>
      <c r="W67" s="11">
        <v>36.0</v>
      </c>
      <c r="X67" s="12">
        <v>0.6111111111111112</v>
      </c>
      <c r="Y67" s="13">
        <v>0.625</v>
      </c>
      <c r="Z67" s="11">
        <v>38.0</v>
      </c>
      <c r="AA67" s="19"/>
      <c r="AB67" s="13">
        <v>0.7215277777777778</v>
      </c>
      <c r="AC67" s="20">
        <v>40.0</v>
      </c>
      <c r="AD67" s="21">
        <v>0.7819444444444444</v>
      </c>
      <c r="AE67" s="22">
        <v>0.7868055555555555</v>
      </c>
      <c r="AF67" s="18">
        <v>42.0</v>
      </c>
      <c r="AG67" s="12">
        <v>0.8784722222222222</v>
      </c>
      <c r="AH67" s="23">
        <v>0.8972222222222223</v>
      </c>
      <c r="AI67" s="11">
        <v>40.0</v>
      </c>
      <c r="AJ67" s="12">
        <v>0.9701388888888889</v>
      </c>
      <c r="AK67" s="13">
        <v>0.9763888888888889</v>
      </c>
      <c r="AL67" s="14">
        <v>45.0</v>
      </c>
      <c r="AM67" s="15">
        <v>0.08611111111111111</v>
      </c>
      <c r="AN67" s="16">
        <v>0.09027777777777778</v>
      </c>
      <c r="AO67" s="11">
        <v>49.0</v>
      </c>
      <c r="AP67" s="12">
        <v>0.16597222222222222</v>
      </c>
      <c r="AQ67" s="13">
        <v>0.18958333333333333</v>
      </c>
      <c r="AR67" s="11">
        <v>55.0</v>
      </c>
      <c r="AS67" s="12">
        <v>0.2743055555555556</v>
      </c>
      <c r="AT67" s="13">
        <v>0.28402777777777777</v>
      </c>
      <c r="AU67" s="11">
        <v>60.0</v>
      </c>
      <c r="AV67" s="12">
        <v>0.4041666666666667</v>
      </c>
      <c r="AW67" s="13">
        <v>0.4083333333333333</v>
      </c>
      <c r="AX67" s="11">
        <v>65.0</v>
      </c>
      <c r="AY67" s="12">
        <v>0.5083333333333333</v>
      </c>
      <c r="AZ67" s="13">
        <v>0.5111111111111111</v>
      </c>
      <c r="BA67" s="24">
        <v>66.0</v>
      </c>
      <c r="BB67" s="25">
        <v>44787.57106030093</v>
      </c>
      <c r="BC67" s="12"/>
    </row>
    <row r="68" ht="15.75" customHeight="1">
      <c r="A68" s="7"/>
      <c r="B68" s="8" t="s">
        <v>123</v>
      </c>
      <c r="C68" s="9">
        <v>653.0</v>
      </c>
      <c r="D68" s="10" t="s">
        <v>54</v>
      </c>
      <c r="E68" s="11">
        <v>41.0</v>
      </c>
      <c r="F68" s="12">
        <v>0.2604166666666667</v>
      </c>
      <c r="G68" s="13">
        <v>0.26180555555555557</v>
      </c>
      <c r="H68" s="14">
        <v>45.0</v>
      </c>
      <c r="I68" s="15">
        <v>0.3138888888888889</v>
      </c>
      <c r="J68" s="16">
        <v>0.3138888888888889</v>
      </c>
      <c r="K68" s="11">
        <v>47.0</v>
      </c>
      <c r="L68" s="12">
        <v>0.375</v>
      </c>
      <c r="M68" s="13">
        <v>0.38125</v>
      </c>
      <c r="N68" s="17">
        <v>54.0</v>
      </c>
      <c r="O68" s="12">
        <v>0.46111111111111114</v>
      </c>
      <c r="P68" s="12">
        <v>0.4652777777777778</v>
      </c>
      <c r="Q68" s="11">
        <v>60.0</v>
      </c>
      <c r="R68" s="12">
        <v>0.53125</v>
      </c>
      <c r="S68" s="13">
        <v>0.5368055555555555</v>
      </c>
      <c r="T68" s="18">
        <v>61.0</v>
      </c>
      <c r="U68" s="12">
        <v>0.5986111111111111</v>
      </c>
      <c r="V68" s="13">
        <v>0.6020833333333333</v>
      </c>
      <c r="W68" s="11">
        <v>62.0</v>
      </c>
      <c r="X68" s="12">
        <v>0.6458333333333334</v>
      </c>
      <c r="Y68" s="13">
        <v>0.6597222222222222</v>
      </c>
      <c r="Z68" s="11">
        <v>63.0</v>
      </c>
      <c r="AA68" s="19"/>
      <c r="AB68" s="13">
        <v>0.7645833333333333</v>
      </c>
      <c r="AC68" s="20">
        <v>64.0</v>
      </c>
      <c r="AD68" s="21">
        <v>0.8277777777777777</v>
      </c>
      <c r="AE68" s="22">
        <v>0.8326388888888889</v>
      </c>
      <c r="AF68" s="18">
        <v>64.0</v>
      </c>
      <c r="AG68" s="12">
        <v>0.93125</v>
      </c>
      <c r="AH68" s="23">
        <v>0.9465277777777777</v>
      </c>
      <c r="AI68" s="11">
        <v>69.0</v>
      </c>
      <c r="AJ68" s="12">
        <v>0.024305555555555556</v>
      </c>
      <c r="AK68" s="13">
        <v>0.03194444444444444</v>
      </c>
      <c r="AL68" s="14">
        <v>69.0</v>
      </c>
      <c r="AM68" s="15">
        <v>0.14097222222222222</v>
      </c>
      <c r="AN68" s="16">
        <v>0.1527777777777778</v>
      </c>
      <c r="AO68" s="11">
        <v>66.0</v>
      </c>
      <c r="AP68" s="12">
        <v>0.21666666666666667</v>
      </c>
      <c r="AQ68" s="13">
        <v>0.22916666666666666</v>
      </c>
      <c r="AR68" s="11">
        <v>66.0</v>
      </c>
      <c r="AS68" s="12">
        <v>0.3138888888888889</v>
      </c>
      <c r="AT68" s="13">
        <v>0.32013888888888886</v>
      </c>
      <c r="AU68" s="11">
        <v>65.0</v>
      </c>
      <c r="AV68" s="12">
        <v>0.42430555555555555</v>
      </c>
      <c r="AW68" s="13">
        <v>0.4305555555555556</v>
      </c>
      <c r="AX68" s="11">
        <v>66.0</v>
      </c>
      <c r="AY68" s="12">
        <v>0.5152777777777777</v>
      </c>
      <c r="AZ68" s="13">
        <v>0.5180555555555556</v>
      </c>
      <c r="BA68" s="24">
        <v>67.0</v>
      </c>
      <c r="BB68" s="25">
        <v>44787.57403877315</v>
      </c>
      <c r="BC68" s="12"/>
    </row>
    <row r="69" ht="15.75" customHeight="1">
      <c r="A69" s="7"/>
      <c r="B69" s="8" t="s">
        <v>124</v>
      </c>
      <c r="C69" s="9">
        <v>730.0</v>
      </c>
      <c r="D69" s="10" t="s">
        <v>54</v>
      </c>
      <c r="E69" s="11">
        <v>59.0</v>
      </c>
      <c r="F69" s="12">
        <v>0.26319444444444445</v>
      </c>
      <c r="G69" s="13">
        <v>0.2638888888888889</v>
      </c>
      <c r="H69" s="14">
        <v>66.0</v>
      </c>
      <c r="I69" s="15">
        <v>0.31875</v>
      </c>
      <c r="J69" s="16">
        <v>0.31875</v>
      </c>
      <c r="K69" s="11">
        <v>70.0</v>
      </c>
      <c r="L69" s="12">
        <v>0.3861111111111111</v>
      </c>
      <c r="M69" s="13">
        <v>0.3902777777777778</v>
      </c>
      <c r="N69" s="17">
        <v>74.0</v>
      </c>
      <c r="O69" s="12">
        <v>0.47430555555555554</v>
      </c>
      <c r="P69" s="12">
        <v>0.4777777777777778</v>
      </c>
      <c r="Q69" s="11">
        <v>84.0</v>
      </c>
      <c r="R69" s="12">
        <v>0.5520833333333334</v>
      </c>
      <c r="S69" s="13">
        <v>0.5548611111111111</v>
      </c>
      <c r="T69" s="18">
        <v>91.0</v>
      </c>
      <c r="U69" s="12">
        <v>0.6277777777777778</v>
      </c>
      <c r="V69" s="13">
        <v>0.6284722222222222</v>
      </c>
      <c r="W69" s="11">
        <v>100.0</v>
      </c>
      <c r="X69" s="12">
        <v>0.6909722222222222</v>
      </c>
      <c r="Y69" s="13">
        <v>0.7076388888888889</v>
      </c>
      <c r="Z69" s="11">
        <v>102.0</v>
      </c>
      <c r="AA69" s="19"/>
      <c r="AB69" s="13">
        <v>0.8159722222222222</v>
      </c>
      <c r="AC69" s="20">
        <v>98.0</v>
      </c>
      <c r="AD69" s="21">
        <v>0.8819444444444444</v>
      </c>
      <c r="AE69" s="22">
        <v>0.8826388888888889</v>
      </c>
      <c r="AF69" s="18">
        <v>95.0</v>
      </c>
      <c r="AG69" s="12">
        <v>0.9847222222222223</v>
      </c>
      <c r="AH69" s="23">
        <v>0.9979166666666667</v>
      </c>
      <c r="AI69" s="11">
        <v>85.0</v>
      </c>
      <c r="AJ69" s="12">
        <v>0.06458333333333334</v>
      </c>
      <c r="AK69" s="13">
        <v>0.06944444444444445</v>
      </c>
      <c r="AL69" s="14">
        <v>84.0</v>
      </c>
      <c r="AM69" s="15">
        <v>0.17708333333333334</v>
      </c>
      <c r="AN69" s="16">
        <v>0.18125</v>
      </c>
      <c r="AO69" s="11">
        <v>82.0</v>
      </c>
      <c r="AP69" s="12">
        <v>0.2638888888888889</v>
      </c>
      <c r="AQ69" s="13">
        <v>0.28680555555555554</v>
      </c>
      <c r="AR69" s="11">
        <v>86.0</v>
      </c>
      <c r="AS69" s="12">
        <v>0.3506944444444444</v>
      </c>
      <c r="AT69" s="13">
        <v>0.3527777777777778</v>
      </c>
      <c r="AU69" s="11">
        <v>74.0</v>
      </c>
      <c r="AV69" s="12">
        <v>0.44583333333333336</v>
      </c>
      <c r="AW69" s="13">
        <v>0.4486111111111111</v>
      </c>
      <c r="AX69" s="11">
        <v>67.0</v>
      </c>
      <c r="AY69" s="12">
        <v>0.5180555555555556</v>
      </c>
      <c r="AZ69" s="13">
        <v>0.5194444444444445</v>
      </c>
      <c r="BA69" s="24">
        <v>68.0</v>
      </c>
      <c r="BB69" s="25">
        <v>44787.580430208334</v>
      </c>
      <c r="BC69" s="12"/>
    </row>
    <row r="70" ht="15.75" customHeight="1">
      <c r="A70" s="7"/>
      <c r="B70" s="8" t="s">
        <v>125</v>
      </c>
      <c r="C70" s="9">
        <v>626.0</v>
      </c>
      <c r="D70" s="10" t="s">
        <v>54</v>
      </c>
      <c r="E70" s="11">
        <v>139.0</v>
      </c>
      <c r="F70" s="12">
        <v>0.27152777777777776</v>
      </c>
      <c r="G70" s="13">
        <v>0.2722222222222222</v>
      </c>
      <c r="H70" s="14">
        <v>129.0</v>
      </c>
      <c r="I70" s="15">
        <v>0.3326388888888889</v>
      </c>
      <c r="J70" s="16">
        <v>0.3326388888888889</v>
      </c>
      <c r="K70" s="11">
        <v>151.0</v>
      </c>
      <c r="L70" s="12">
        <v>0.4131944444444444</v>
      </c>
      <c r="M70" s="13">
        <v>0.41805555555555557</v>
      </c>
      <c r="N70" s="17">
        <v>137.0</v>
      </c>
      <c r="O70" s="12">
        <v>0.5055555555555555</v>
      </c>
      <c r="P70" s="12">
        <v>0.5076388888888889</v>
      </c>
      <c r="Q70" s="11">
        <v>127.0</v>
      </c>
      <c r="R70" s="12">
        <v>0.5798611111111112</v>
      </c>
      <c r="S70" s="13">
        <v>0.5833333333333334</v>
      </c>
      <c r="T70" s="18">
        <v>110.0</v>
      </c>
      <c r="U70" s="12">
        <v>0.6479166666666667</v>
      </c>
      <c r="V70" s="13">
        <v>0.6506944444444445</v>
      </c>
      <c r="W70" s="11">
        <v>106.0</v>
      </c>
      <c r="X70" s="12">
        <v>0.6979166666666666</v>
      </c>
      <c r="Y70" s="13">
        <v>0.70625</v>
      </c>
      <c r="Z70" s="11">
        <v>100.0</v>
      </c>
      <c r="AA70" s="26"/>
      <c r="AB70" s="13">
        <v>0.8145833333333333</v>
      </c>
      <c r="AC70" s="20">
        <v>100.0</v>
      </c>
      <c r="AD70" s="21">
        <v>0.8847222222222222</v>
      </c>
      <c r="AE70" s="22">
        <v>0.8875</v>
      </c>
      <c r="AF70" s="18">
        <v>98.0</v>
      </c>
      <c r="AG70" s="12">
        <v>0.9930555555555556</v>
      </c>
      <c r="AH70" s="23">
        <v>0.0</v>
      </c>
      <c r="AI70" s="11">
        <v>97.0</v>
      </c>
      <c r="AJ70" s="12">
        <v>0.0875</v>
      </c>
      <c r="AK70" s="13">
        <v>0.09444444444444444</v>
      </c>
      <c r="AL70" s="14">
        <v>102.0</v>
      </c>
      <c r="AM70" s="15">
        <v>0.20347222222222222</v>
      </c>
      <c r="AN70" s="16">
        <v>0.20694444444444443</v>
      </c>
      <c r="AO70" s="11">
        <v>93.0</v>
      </c>
      <c r="AP70" s="12">
        <v>0.27361111111111114</v>
      </c>
      <c r="AQ70" s="13">
        <v>0.2791666666666667</v>
      </c>
      <c r="AR70" s="11">
        <v>85.0</v>
      </c>
      <c r="AS70" s="12">
        <v>0.34930555555555554</v>
      </c>
      <c r="AT70" s="13">
        <v>0.35208333333333336</v>
      </c>
      <c r="AU70" s="11">
        <v>75.0</v>
      </c>
      <c r="AV70" s="12">
        <v>0.45069444444444445</v>
      </c>
      <c r="AW70" s="13">
        <v>0.4534722222222222</v>
      </c>
      <c r="AX70" s="11">
        <v>71.0</v>
      </c>
      <c r="AY70" s="12">
        <v>0.5305555555555556</v>
      </c>
      <c r="AZ70" s="13">
        <v>0.53125</v>
      </c>
      <c r="BA70" s="24">
        <v>69.0</v>
      </c>
      <c r="BB70" s="25">
        <v>44787.58071412037</v>
      </c>
      <c r="BC70" s="12"/>
    </row>
    <row r="71" ht="15.75" customHeight="1">
      <c r="A71" s="7"/>
      <c r="B71" s="8" t="s">
        <v>126</v>
      </c>
      <c r="C71" s="9">
        <v>714.0</v>
      </c>
      <c r="D71" s="10" t="s">
        <v>54</v>
      </c>
      <c r="E71" s="11">
        <v>124.0</v>
      </c>
      <c r="F71" s="12">
        <v>0.2701388888888889</v>
      </c>
      <c r="G71" s="13">
        <v>0.2708333333333333</v>
      </c>
      <c r="H71" s="14">
        <v>137.0</v>
      </c>
      <c r="I71" s="15">
        <v>0.33402777777777776</v>
      </c>
      <c r="J71" s="16">
        <v>0.33402777777777776</v>
      </c>
      <c r="K71" s="11">
        <v>156.0</v>
      </c>
      <c r="L71" s="12">
        <v>0.41388888888888886</v>
      </c>
      <c r="M71" s="13">
        <v>0.4215277777777778</v>
      </c>
      <c r="N71" s="17">
        <v>155.0</v>
      </c>
      <c r="O71" s="12">
        <v>0.5166666666666667</v>
      </c>
      <c r="P71" s="12">
        <v>0.5222222222222223</v>
      </c>
      <c r="Q71" s="11">
        <v>151.0</v>
      </c>
      <c r="R71" s="12">
        <v>0.5944444444444444</v>
      </c>
      <c r="S71" s="13">
        <v>0.6006944444444444</v>
      </c>
      <c r="T71" s="18">
        <v>134.0</v>
      </c>
      <c r="U71" s="12">
        <v>0.6631944444444444</v>
      </c>
      <c r="V71" s="13">
        <v>0.6666666666666666</v>
      </c>
      <c r="W71" s="11">
        <v>127.0</v>
      </c>
      <c r="X71" s="12">
        <v>0.7118055555555556</v>
      </c>
      <c r="Y71" s="13">
        <v>0.7222222222222222</v>
      </c>
      <c r="Z71" s="11">
        <v>118.0</v>
      </c>
      <c r="AA71" s="19"/>
      <c r="AB71" s="13">
        <v>0.8409722222222222</v>
      </c>
      <c r="AC71" s="20">
        <v>115.0</v>
      </c>
      <c r="AD71" s="21">
        <v>0.9083333333333333</v>
      </c>
      <c r="AE71" s="22">
        <v>0.9111111111111111</v>
      </c>
      <c r="AF71" s="18">
        <v>110.0</v>
      </c>
      <c r="AG71" s="12">
        <v>0.020833333333333332</v>
      </c>
      <c r="AH71" s="23">
        <v>0.03125</v>
      </c>
      <c r="AI71" s="11">
        <v>109.0</v>
      </c>
      <c r="AJ71" s="12">
        <v>0.1111111111111111</v>
      </c>
      <c r="AK71" s="13">
        <v>0.12013888888888889</v>
      </c>
      <c r="AL71" s="14">
        <v>105.0</v>
      </c>
      <c r="AM71" s="15">
        <v>0.21666666666666667</v>
      </c>
      <c r="AN71" s="16">
        <v>0.22291666666666668</v>
      </c>
      <c r="AO71" s="11">
        <v>97.0</v>
      </c>
      <c r="AP71" s="12">
        <v>0.2791666666666667</v>
      </c>
      <c r="AQ71" s="13">
        <v>0.2923611111111111</v>
      </c>
      <c r="AR71" s="11">
        <v>95.0</v>
      </c>
      <c r="AS71" s="12">
        <v>0.3625</v>
      </c>
      <c r="AT71" s="13">
        <v>0.36875</v>
      </c>
      <c r="AU71" s="11">
        <v>86.0</v>
      </c>
      <c r="AV71" s="12">
        <v>0.4625</v>
      </c>
      <c r="AW71" s="13">
        <v>0.4673611111111111</v>
      </c>
      <c r="AX71" s="11">
        <v>73.0</v>
      </c>
      <c r="AY71" s="12">
        <v>0.5326388888888889</v>
      </c>
      <c r="AZ71" s="13">
        <v>0.5347222222222222</v>
      </c>
      <c r="BA71" s="24">
        <v>70.0</v>
      </c>
      <c r="BB71" s="25">
        <v>44787.582965740745</v>
      </c>
      <c r="BC71" s="12"/>
    </row>
    <row r="72" ht="15.75" customHeight="1">
      <c r="A72" s="7"/>
      <c r="B72" s="8" t="s">
        <v>127</v>
      </c>
      <c r="C72" s="9">
        <v>737.0</v>
      </c>
      <c r="D72" s="10" t="s">
        <v>54</v>
      </c>
      <c r="E72" s="11">
        <v>154.0</v>
      </c>
      <c r="F72" s="12">
        <v>0.2743055555555556</v>
      </c>
      <c r="G72" s="13">
        <v>0.275</v>
      </c>
      <c r="H72" s="14">
        <v>155.0</v>
      </c>
      <c r="I72" s="15">
        <v>0.33819444444444446</v>
      </c>
      <c r="J72" s="16">
        <v>0.33819444444444446</v>
      </c>
      <c r="K72" s="11">
        <v>139.0</v>
      </c>
      <c r="L72" s="12">
        <v>0.4097222222222222</v>
      </c>
      <c r="M72" s="13">
        <v>0.4125</v>
      </c>
      <c r="N72" s="17">
        <v>133.0</v>
      </c>
      <c r="O72" s="12">
        <v>0.5048611111111111</v>
      </c>
      <c r="P72" s="12">
        <v>0.50625</v>
      </c>
      <c r="Q72" s="11">
        <v>134.0</v>
      </c>
      <c r="R72" s="12">
        <v>0.58125</v>
      </c>
      <c r="S72" s="13">
        <v>0.5861111111111111</v>
      </c>
      <c r="T72" s="18">
        <v>131.0</v>
      </c>
      <c r="U72" s="12">
        <v>0.6583333333333333</v>
      </c>
      <c r="V72" s="13">
        <v>0.6597222222222222</v>
      </c>
      <c r="W72" s="11">
        <v>123.0</v>
      </c>
      <c r="X72" s="12">
        <v>0.7104166666666667</v>
      </c>
      <c r="Y72" s="13">
        <v>0.71875</v>
      </c>
      <c r="Z72" s="11">
        <v>106.0</v>
      </c>
      <c r="AA72" s="19"/>
      <c r="AB72" s="13">
        <v>0.8229166666666666</v>
      </c>
      <c r="AC72" s="20">
        <v>106.0</v>
      </c>
      <c r="AD72" s="21">
        <v>0.8916666666666667</v>
      </c>
      <c r="AE72" s="22">
        <v>0.8902777777777777</v>
      </c>
      <c r="AF72" s="18">
        <v>96.0</v>
      </c>
      <c r="AG72" s="12">
        <v>0.9881944444444445</v>
      </c>
      <c r="AH72" s="23">
        <v>0.9965277777777778</v>
      </c>
      <c r="AI72" s="11">
        <v>89.0</v>
      </c>
      <c r="AJ72" s="12">
        <v>0.07083333333333333</v>
      </c>
      <c r="AK72" s="13">
        <v>0.07291666666666667</v>
      </c>
      <c r="AL72" s="14">
        <v>80.0</v>
      </c>
      <c r="AM72" s="15">
        <v>0.16805555555555557</v>
      </c>
      <c r="AN72" s="16">
        <v>0.16666666666666666</v>
      </c>
      <c r="AO72" s="11">
        <v>70.0</v>
      </c>
      <c r="AP72" s="12">
        <v>0.23055555555555557</v>
      </c>
      <c r="AQ72" s="13">
        <v>0.24166666666666667</v>
      </c>
      <c r="AR72" s="11">
        <v>67.0</v>
      </c>
      <c r="AS72" s="12">
        <v>0.31805555555555554</v>
      </c>
      <c r="AT72" s="13">
        <v>0.32222222222222224</v>
      </c>
      <c r="AU72" s="11">
        <v>68.0</v>
      </c>
      <c r="AV72" s="12">
        <v>0.43194444444444446</v>
      </c>
      <c r="AW72" s="13">
        <v>0.4354166666666667</v>
      </c>
      <c r="AX72" s="11">
        <v>68.0</v>
      </c>
      <c r="AY72" s="12">
        <v>0.5194444444444445</v>
      </c>
      <c r="AZ72" s="13">
        <v>0.5194444444444445</v>
      </c>
      <c r="BA72" s="24">
        <v>71.0</v>
      </c>
      <c r="BB72" s="25">
        <v>44787.58519664352</v>
      </c>
      <c r="BC72" s="12"/>
    </row>
    <row r="73" ht="15.75" customHeight="1">
      <c r="A73" s="7"/>
      <c r="B73" s="8" t="s">
        <v>128</v>
      </c>
      <c r="C73" s="9">
        <v>631.0</v>
      </c>
      <c r="D73" s="10" t="s">
        <v>54</v>
      </c>
      <c r="E73" s="11">
        <v>33.0</v>
      </c>
      <c r="F73" s="12">
        <v>0.25972222222222224</v>
      </c>
      <c r="G73" s="13">
        <v>0.2604166666666667</v>
      </c>
      <c r="H73" s="14">
        <v>31.0</v>
      </c>
      <c r="I73" s="15">
        <v>0.30694444444444446</v>
      </c>
      <c r="J73" s="16">
        <v>0.30694444444444446</v>
      </c>
      <c r="K73" s="11">
        <v>32.0</v>
      </c>
      <c r="L73" s="12">
        <v>0.36875</v>
      </c>
      <c r="M73" s="13">
        <v>0.37083333333333335</v>
      </c>
      <c r="N73" s="17">
        <v>45.0</v>
      </c>
      <c r="O73" s="12">
        <v>0.4534722222222222</v>
      </c>
      <c r="P73" s="12">
        <v>0.45555555555555555</v>
      </c>
      <c r="Q73" s="11">
        <v>51.0</v>
      </c>
      <c r="R73" s="12">
        <v>0.5222222222222223</v>
      </c>
      <c r="S73" s="13">
        <v>0.5243055555555556</v>
      </c>
      <c r="T73" s="18">
        <v>56.0</v>
      </c>
      <c r="U73" s="12">
        <v>0.5909722222222222</v>
      </c>
      <c r="V73" s="13">
        <v>0.5923611111111111</v>
      </c>
      <c r="W73" s="11">
        <v>58.0</v>
      </c>
      <c r="X73" s="12">
        <v>0.6416666666666667</v>
      </c>
      <c r="Y73" s="13">
        <v>0.6458333333333334</v>
      </c>
      <c r="Z73" s="11">
        <v>55.0</v>
      </c>
      <c r="AA73" s="19"/>
      <c r="AB73" s="13">
        <v>0.7520833333333333</v>
      </c>
      <c r="AC73" s="20">
        <v>59.0</v>
      </c>
      <c r="AD73" s="21">
        <v>0.8173611111111111</v>
      </c>
      <c r="AE73" s="22">
        <v>0.8215277777777777</v>
      </c>
      <c r="AF73" s="18">
        <v>59.0</v>
      </c>
      <c r="AG73" s="12">
        <v>0.9208333333333333</v>
      </c>
      <c r="AH73" s="23">
        <v>0.9423611111111111</v>
      </c>
      <c r="AI73" s="11">
        <v>63.0</v>
      </c>
      <c r="AJ73" s="30">
        <v>0.019444444444444445</v>
      </c>
      <c r="AK73" s="13">
        <v>0.029166666666666667</v>
      </c>
      <c r="AL73" s="14">
        <v>64.0</v>
      </c>
      <c r="AM73" s="15">
        <v>0.1326388888888889</v>
      </c>
      <c r="AN73" s="16">
        <v>0.14305555555555555</v>
      </c>
      <c r="AO73" s="11">
        <v>68.0</v>
      </c>
      <c r="AP73" s="12">
        <v>0.22152777777777777</v>
      </c>
      <c r="AQ73" s="13">
        <v>0.2534722222222222</v>
      </c>
      <c r="AR73" s="11">
        <v>71.0</v>
      </c>
      <c r="AS73" s="12">
        <v>0.32430555555555557</v>
      </c>
      <c r="AT73" s="13">
        <v>0.3298611111111111</v>
      </c>
      <c r="AU73" s="11">
        <v>73.0</v>
      </c>
      <c r="AV73" s="12">
        <v>0.4423611111111111</v>
      </c>
      <c r="AW73" s="13">
        <v>0.4479166666666667</v>
      </c>
      <c r="AX73" s="11">
        <v>77.0</v>
      </c>
      <c r="AY73" s="12">
        <v>0.5347222222222222</v>
      </c>
      <c r="AZ73" s="13">
        <v>0.5361111111111111</v>
      </c>
      <c r="BA73" s="24">
        <v>72.0</v>
      </c>
      <c r="BB73" s="25">
        <v>44787.585712384265</v>
      </c>
      <c r="BC73" s="12"/>
    </row>
    <row r="74" ht="15.75" customHeight="1">
      <c r="A74" s="7"/>
      <c r="B74" s="8" t="s">
        <v>129</v>
      </c>
      <c r="C74" s="9">
        <v>564.0</v>
      </c>
      <c r="D74" s="10" t="s">
        <v>66</v>
      </c>
      <c r="E74" s="11">
        <v>61.0</v>
      </c>
      <c r="F74" s="12">
        <v>0.26319444444444445</v>
      </c>
      <c r="G74" s="13">
        <v>0.2638888888888889</v>
      </c>
      <c r="H74" s="27"/>
      <c r="I74" s="28"/>
      <c r="J74" s="29"/>
      <c r="K74" s="11">
        <v>51.0</v>
      </c>
      <c r="L74" s="12">
        <v>0.3763888888888889</v>
      </c>
      <c r="M74" s="13">
        <v>0.38055555555555554</v>
      </c>
      <c r="N74" s="17">
        <v>48.0</v>
      </c>
      <c r="O74" s="12">
        <v>0.45555555555555555</v>
      </c>
      <c r="P74" s="12">
        <v>0.4576388888888889</v>
      </c>
      <c r="Q74" s="11">
        <v>48.0</v>
      </c>
      <c r="R74" s="12">
        <v>0.5194444444444445</v>
      </c>
      <c r="S74" s="13">
        <v>0.5243055555555556</v>
      </c>
      <c r="T74" s="18">
        <v>48.0</v>
      </c>
      <c r="U74" s="12">
        <v>0.5847222222222223</v>
      </c>
      <c r="V74" s="13">
        <v>0.5875</v>
      </c>
      <c r="W74" s="11">
        <v>59.0</v>
      </c>
      <c r="X74" s="12">
        <v>0.6423611111111112</v>
      </c>
      <c r="Y74" s="13">
        <v>0.6513888888888889</v>
      </c>
      <c r="Z74" s="11">
        <v>61.0</v>
      </c>
      <c r="AA74" s="19"/>
      <c r="AB74" s="13">
        <v>0.7604166666666666</v>
      </c>
      <c r="AC74" s="20">
        <v>61.0</v>
      </c>
      <c r="AD74" s="21">
        <v>0.8194444444444444</v>
      </c>
      <c r="AE74" s="22">
        <v>0.8215277777777777</v>
      </c>
      <c r="AF74" s="18">
        <v>61.0</v>
      </c>
      <c r="AG74" s="12">
        <v>0.93125</v>
      </c>
      <c r="AH74" s="23">
        <v>0.9513888888888888</v>
      </c>
      <c r="AI74" s="11">
        <v>68.0</v>
      </c>
      <c r="AJ74" s="12">
        <v>0.024305555555555556</v>
      </c>
      <c r="AK74" s="13">
        <v>0.027083333333333334</v>
      </c>
      <c r="AL74" s="14">
        <v>62.0</v>
      </c>
      <c r="AM74" s="15">
        <v>0.13194444444444445</v>
      </c>
      <c r="AN74" s="16">
        <v>0.1361111111111111</v>
      </c>
      <c r="AO74" s="11">
        <v>61.0</v>
      </c>
      <c r="AP74" s="12">
        <v>0.20208333333333334</v>
      </c>
      <c r="AQ74" s="13">
        <v>0.2111111111111111</v>
      </c>
      <c r="AR74" s="11">
        <v>59.0</v>
      </c>
      <c r="AS74" s="12">
        <v>0.2923611111111111</v>
      </c>
      <c r="AT74" s="13">
        <v>0.3020833333333333</v>
      </c>
      <c r="AU74" s="11">
        <v>63.0</v>
      </c>
      <c r="AV74" s="12">
        <v>0.41805555555555557</v>
      </c>
      <c r="AW74" s="13">
        <v>0.4284722222222222</v>
      </c>
      <c r="AX74" s="11">
        <v>69.0</v>
      </c>
      <c r="AY74" s="12">
        <v>0.5194444444444445</v>
      </c>
      <c r="AZ74" s="13">
        <v>0.5222222222222223</v>
      </c>
      <c r="BA74" s="24">
        <v>73.0</v>
      </c>
      <c r="BB74" s="25">
        <v>44787.58701064815</v>
      </c>
      <c r="BC74" s="12"/>
    </row>
    <row r="75" ht="15.75" customHeight="1">
      <c r="A75" s="7"/>
      <c r="B75" s="8" t="s">
        <v>130</v>
      </c>
      <c r="C75" s="9">
        <v>538.0</v>
      </c>
      <c r="D75" s="10" t="s">
        <v>54</v>
      </c>
      <c r="E75" s="11">
        <v>122.0</v>
      </c>
      <c r="F75" s="12">
        <v>0.2701388888888889</v>
      </c>
      <c r="G75" s="13">
        <v>0.2708333333333333</v>
      </c>
      <c r="H75" s="14">
        <v>127.0</v>
      </c>
      <c r="I75" s="15">
        <v>0.3326388888888889</v>
      </c>
      <c r="J75" s="16">
        <v>0.3326388888888889</v>
      </c>
      <c r="K75" s="11">
        <v>136.0</v>
      </c>
      <c r="L75" s="12">
        <v>0.4083333333333333</v>
      </c>
      <c r="M75" s="13">
        <v>0.41597222222222224</v>
      </c>
      <c r="N75" s="17">
        <v>131.0</v>
      </c>
      <c r="O75" s="12">
        <v>0.5048611111111111</v>
      </c>
      <c r="P75" s="12">
        <v>0.5097222222222222</v>
      </c>
      <c r="Q75" s="11">
        <v>123.0</v>
      </c>
      <c r="R75" s="12">
        <v>0.5798611111111112</v>
      </c>
      <c r="S75" s="13">
        <v>0.5833333333333334</v>
      </c>
      <c r="T75" s="18">
        <v>119.0</v>
      </c>
      <c r="U75" s="12">
        <v>0.6534722222222222</v>
      </c>
      <c r="V75" s="13">
        <v>0.6604166666666667</v>
      </c>
      <c r="W75" s="11">
        <v>117.0</v>
      </c>
      <c r="X75" s="12">
        <v>0.70625</v>
      </c>
      <c r="Y75" s="13">
        <v>0.71875</v>
      </c>
      <c r="Z75" s="11">
        <v>109.0</v>
      </c>
      <c r="AA75" s="19"/>
      <c r="AB75" s="13">
        <v>0.8277777777777777</v>
      </c>
      <c r="AC75" s="20">
        <v>107.0</v>
      </c>
      <c r="AD75" s="21">
        <v>0.8923611111111112</v>
      </c>
      <c r="AE75" s="22">
        <v>0.8965277777777778</v>
      </c>
      <c r="AF75" s="18">
        <v>104.0</v>
      </c>
      <c r="AG75" s="12">
        <v>0.003472222222222222</v>
      </c>
      <c r="AH75" s="23">
        <v>0.02638888888888889</v>
      </c>
      <c r="AI75" s="11">
        <v>103.0</v>
      </c>
      <c r="AJ75" s="12">
        <v>0.09861111111111111</v>
      </c>
      <c r="AK75" s="13">
        <v>0.10486111111111111</v>
      </c>
      <c r="AL75" s="14">
        <v>93.0</v>
      </c>
      <c r="AM75" s="15">
        <v>0.20069444444444445</v>
      </c>
      <c r="AN75" s="16">
        <v>0.20555555555555555</v>
      </c>
      <c r="AO75" s="11">
        <v>87.0</v>
      </c>
      <c r="AP75" s="12">
        <v>0.26805555555555555</v>
      </c>
      <c r="AQ75" s="13">
        <v>0.28402777777777777</v>
      </c>
      <c r="AR75" s="11">
        <v>84.0</v>
      </c>
      <c r="AS75" s="12">
        <v>0.34930555555555554</v>
      </c>
      <c r="AT75" s="13">
        <v>0.3527777777777778</v>
      </c>
      <c r="AU75" s="11">
        <v>79.0</v>
      </c>
      <c r="AV75" s="12">
        <v>0.4534722222222222</v>
      </c>
      <c r="AW75" s="13">
        <v>0.4583333333333333</v>
      </c>
      <c r="AX75" s="11">
        <v>75.0</v>
      </c>
      <c r="AY75" s="12">
        <v>0.5347222222222222</v>
      </c>
      <c r="AZ75" s="13">
        <v>0.5361111111111111</v>
      </c>
      <c r="BA75" s="24">
        <v>74.0</v>
      </c>
      <c r="BB75" s="25">
        <v>44787.588524074075</v>
      </c>
      <c r="BC75" s="12"/>
    </row>
    <row r="76" ht="15.75" customHeight="1">
      <c r="A76" s="7"/>
      <c r="B76" s="8" t="s">
        <v>131</v>
      </c>
      <c r="C76" s="9">
        <v>604.0</v>
      </c>
      <c r="D76" s="10" t="s">
        <v>66</v>
      </c>
      <c r="E76" s="11">
        <v>32.0</v>
      </c>
      <c r="F76" s="12">
        <v>0.25972222222222224</v>
      </c>
      <c r="G76" s="13">
        <v>0.2604166666666667</v>
      </c>
      <c r="H76" s="14">
        <v>35.0</v>
      </c>
      <c r="I76" s="15">
        <v>0.3111111111111111</v>
      </c>
      <c r="J76" s="16">
        <v>0.3111111111111111</v>
      </c>
      <c r="K76" s="11">
        <v>50.0</v>
      </c>
      <c r="L76" s="12">
        <v>0.3763888888888889</v>
      </c>
      <c r="M76" s="13">
        <v>0.38055555555555554</v>
      </c>
      <c r="N76" s="17">
        <v>65.0</v>
      </c>
      <c r="O76" s="12">
        <v>0.4701388888888889</v>
      </c>
      <c r="P76" s="12">
        <v>0.4722222222222222</v>
      </c>
      <c r="Q76" s="11">
        <v>71.0</v>
      </c>
      <c r="R76" s="12">
        <v>0.5430555555555555</v>
      </c>
      <c r="S76" s="13">
        <v>0.5451388888888888</v>
      </c>
      <c r="T76" s="18">
        <v>74.0</v>
      </c>
      <c r="U76" s="12">
        <v>0.6111111111111112</v>
      </c>
      <c r="V76" s="13">
        <v>0.6131944444444445</v>
      </c>
      <c r="W76" s="11">
        <v>69.0</v>
      </c>
      <c r="X76" s="12">
        <v>0.6611111111111111</v>
      </c>
      <c r="Y76" s="13">
        <v>0.66875</v>
      </c>
      <c r="Z76" s="11">
        <v>67.0</v>
      </c>
      <c r="AA76" s="26"/>
      <c r="AB76" s="13">
        <v>0.7743055555555556</v>
      </c>
      <c r="AC76" s="20">
        <v>73.0</v>
      </c>
      <c r="AD76" s="21">
        <v>0.8395833333333333</v>
      </c>
      <c r="AE76" s="22">
        <v>0.8416666666666667</v>
      </c>
      <c r="AF76" s="18">
        <v>75.0</v>
      </c>
      <c r="AG76" s="12">
        <v>0.9486111111111111</v>
      </c>
      <c r="AH76" s="23">
        <v>0.9590277777777778</v>
      </c>
      <c r="AI76" s="11">
        <v>75.0</v>
      </c>
      <c r="AJ76" s="12">
        <v>0.035416666666666666</v>
      </c>
      <c r="AK76" s="13">
        <v>0.0375</v>
      </c>
      <c r="AL76" s="14">
        <v>75.0</v>
      </c>
      <c r="AM76" s="15">
        <v>0.15416666666666667</v>
      </c>
      <c r="AN76" s="16">
        <v>0.15833333333333333</v>
      </c>
      <c r="AO76" s="11">
        <v>71.0</v>
      </c>
      <c r="AP76" s="12">
        <v>0.23402777777777778</v>
      </c>
      <c r="AQ76" s="13">
        <v>0.24583333333333332</v>
      </c>
      <c r="AR76" s="11">
        <v>70.0</v>
      </c>
      <c r="AS76" s="12">
        <v>0.3236111111111111</v>
      </c>
      <c r="AT76" s="13">
        <v>0.32569444444444445</v>
      </c>
      <c r="AU76" s="11">
        <v>72.0</v>
      </c>
      <c r="AV76" s="12">
        <v>0.4423611111111111</v>
      </c>
      <c r="AW76" s="13">
        <v>0.44513888888888886</v>
      </c>
      <c r="AX76" s="11">
        <v>72.0</v>
      </c>
      <c r="AY76" s="12">
        <v>0.5305555555555556</v>
      </c>
      <c r="AZ76" s="13">
        <v>0.5319444444444444</v>
      </c>
      <c r="BA76" s="24">
        <v>75.0</v>
      </c>
      <c r="BB76" s="25">
        <v>44787.59139803241</v>
      </c>
      <c r="BC76" s="12"/>
    </row>
    <row r="77" ht="15.75" customHeight="1">
      <c r="A77" s="7"/>
      <c r="B77" s="8" t="s">
        <v>132</v>
      </c>
      <c r="C77" s="9">
        <v>577.0</v>
      </c>
      <c r="D77" s="10" t="s">
        <v>54</v>
      </c>
      <c r="E77" s="11">
        <v>117.0</v>
      </c>
      <c r="F77" s="12">
        <v>0.26944444444444443</v>
      </c>
      <c r="G77" s="13">
        <v>0.2701388888888889</v>
      </c>
      <c r="H77" s="27"/>
      <c r="I77" s="28"/>
      <c r="J77" s="29"/>
      <c r="K77" s="11">
        <v>134.0</v>
      </c>
      <c r="L77" s="12">
        <v>0.4083333333333333</v>
      </c>
      <c r="M77" s="13">
        <v>0.4111111111111111</v>
      </c>
      <c r="N77" s="17">
        <v>134.0</v>
      </c>
      <c r="O77" s="12">
        <v>0.5048611111111111</v>
      </c>
      <c r="P77" s="12">
        <v>0.5069444444444444</v>
      </c>
      <c r="Q77" s="11">
        <v>128.0</v>
      </c>
      <c r="R77" s="12">
        <v>0.5798611111111112</v>
      </c>
      <c r="S77" s="13">
        <v>0.5826388888888889</v>
      </c>
      <c r="T77" s="18">
        <v>127.0</v>
      </c>
      <c r="U77" s="12">
        <v>0.65625</v>
      </c>
      <c r="V77" s="13">
        <v>0.6583333333333333</v>
      </c>
      <c r="W77" s="11">
        <v>116.0</v>
      </c>
      <c r="X77" s="12">
        <v>0.70625</v>
      </c>
      <c r="Y77" s="13">
        <v>0.7131944444444445</v>
      </c>
      <c r="Z77" s="11">
        <v>107.0</v>
      </c>
      <c r="AA77" s="19"/>
      <c r="AB77" s="13">
        <v>0.8243055555555555</v>
      </c>
      <c r="AC77" s="20">
        <v>108.0</v>
      </c>
      <c r="AD77" s="21">
        <v>0.8923611111111112</v>
      </c>
      <c r="AE77" s="22">
        <v>0.8951388888888889</v>
      </c>
      <c r="AF77" s="18">
        <v>103.0</v>
      </c>
      <c r="AG77" s="12">
        <v>0.003472222222222222</v>
      </c>
      <c r="AH77" s="23">
        <v>0.010416666666666666</v>
      </c>
      <c r="AI77" s="11">
        <v>94.0</v>
      </c>
      <c r="AJ77" s="12">
        <v>0.08402777777777778</v>
      </c>
      <c r="AK77" s="13">
        <v>0.08541666666666667</v>
      </c>
      <c r="AL77" s="14">
        <v>90.0</v>
      </c>
      <c r="AM77" s="15">
        <v>0.19236111111111112</v>
      </c>
      <c r="AN77" s="16">
        <v>0.19444444444444445</v>
      </c>
      <c r="AO77" s="11">
        <v>79.0</v>
      </c>
      <c r="AP77" s="12">
        <v>0.25833333333333336</v>
      </c>
      <c r="AQ77" s="13">
        <v>0.26875</v>
      </c>
      <c r="AR77" s="11">
        <v>76.0</v>
      </c>
      <c r="AS77" s="12">
        <v>0.3375</v>
      </c>
      <c r="AT77" s="13">
        <v>0.3416666666666667</v>
      </c>
      <c r="AU77" s="11">
        <v>80.0</v>
      </c>
      <c r="AV77" s="12">
        <v>0.4534722222222222</v>
      </c>
      <c r="AW77" s="13">
        <v>0.45694444444444443</v>
      </c>
      <c r="AX77" s="11">
        <v>76.0</v>
      </c>
      <c r="AY77" s="12">
        <v>0.5347222222222222</v>
      </c>
      <c r="AZ77" s="13">
        <v>0.5354166666666667</v>
      </c>
      <c r="BA77" s="24">
        <v>76.0</v>
      </c>
      <c r="BB77" s="25">
        <v>44787.59568402778</v>
      </c>
      <c r="BC77" s="12"/>
    </row>
    <row r="78" ht="15.75" customHeight="1">
      <c r="A78" s="7"/>
      <c r="B78" s="8" t="s">
        <v>133</v>
      </c>
      <c r="C78" s="9">
        <v>734.0</v>
      </c>
      <c r="D78" s="10" t="s">
        <v>54</v>
      </c>
      <c r="E78" s="11">
        <v>89.0</v>
      </c>
      <c r="F78" s="12">
        <v>0.2673611111111111</v>
      </c>
      <c r="G78" s="13">
        <v>0.26805555555555555</v>
      </c>
      <c r="H78" s="14">
        <v>67.0</v>
      </c>
      <c r="I78" s="15">
        <v>0.31875</v>
      </c>
      <c r="J78" s="16">
        <v>0.31875</v>
      </c>
      <c r="K78" s="11">
        <v>65.0</v>
      </c>
      <c r="L78" s="12">
        <v>0.38472222222222224</v>
      </c>
      <c r="M78" s="13">
        <v>0.38819444444444445</v>
      </c>
      <c r="N78" s="17">
        <v>66.0</v>
      </c>
      <c r="O78" s="12">
        <v>0.4701388888888889</v>
      </c>
      <c r="P78" s="12">
        <v>0.4722222222222222</v>
      </c>
      <c r="Q78" s="11">
        <v>68.0</v>
      </c>
      <c r="R78" s="12">
        <v>0.5409722222222222</v>
      </c>
      <c r="S78" s="13">
        <v>0.5451388888888888</v>
      </c>
      <c r="T78" s="18">
        <v>69.0</v>
      </c>
      <c r="U78" s="12">
        <v>0.6076388888888888</v>
      </c>
      <c r="V78" s="13">
        <v>0.6166666666666667</v>
      </c>
      <c r="W78" s="11">
        <v>67.0</v>
      </c>
      <c r="X78" s="12">
        <v>0.6569444444444444</v>
      </c>
      <c r="Y78" s="13">
        <v>0.6666666666666666</v>
      </c>
      <c r="Z78" s="11">
        <v>80.0</v>
      </c>
      <c r="AA78" s="19"/>
      <c r="AB78" s="13">
        <v>0.7861111111111111</v>
      </c>
      <c r="AC78" s="20">
        <v>85.0</v>
      </c>
      <c r="AD78" s="21">
        <v>0.85625</v>
      </c>
      <c r="AE78" s="22">
        <v>0.8625</v>
      </c>
      <c r="AF78" s="18">
        <v>84.0</v>
      </c>
      <c r="AG78" s="12">
        <v>0.96875</v>
      </c>
      <c r="AH78" s="23">
        <v>0.9909722222222223</v>
      </c>
      <c r="AI78" s="11">
        <v>88.0</v>
      </c>
      <c r="AJ78" s="12">
        <v>0.07013888888888889</v>
      </c>
      <c r="AK78" s="13">
        <v>0.07777777777777778</v>
      </c>
      <c r="AL78" s="14">
        <v>85.0</v>
      </c>
      <c r="AM78" s="15">
        <v>0.18333333333333332</v>
      </c>
      <c r="AN78" s="16">
        <v>0.2</v>
      </c>
      <c r="AO78" s="11">
        <v>80.0</v>
      </c>
      <c r="AP78" s="12">
        <v>0.25972222222222224</v>
      </c>
      <c r="AQ78" s="13">
        <v>0.26666666666666666</v>
      </c>
      <c r="AR78" s="11">
        <v>77.0</v>
      </c>
      <c r="AS78" s="12">
        <v>0.33819444444444446</v>
      </c>
      <c r="AT78" s="13">
        <v>0.34444444444444444</v>
      </c>
      <c r="AU78" s="11">
        <v>77.0</v>
      </c>
      <c r="AV78" s="12">
        <v>0.45208333333333334</v>
      </c>
      <c r="AW78" s="13">
        <v>0.4597222222222222</v>
      </c>
      <c r="AX78" s="11">
        <v>78.0</v>
      </c>
      <c r="AY78" s="12">
        <v>0.5402777777777777</v>
      </c>
      <c r="AZ78" s="13">
        <v>0.044444444444444446</v>
      </c>
      <c r="BA78" s="24">
        <v>77.0</v>
      </c>
      <c r="BB78" s="25">
        <v>44787.59600914352</v>
      </c>
      <c r="BC78" s="12"/>
    </row>
    <row r="79" ht="15.75" customHeight="1">
      <c r="A79" s="7"/>
      <c r="B79" s="8" t="s">
        <v>134</v>
      </c>
      <c r="C79" s="9">
        <v>683.0</v>
      </c>
      <c r="D79" s="10" t="s">
        <v>54</v>
      </c>
      <c r="E79" s="11">
        <v>38.0</v>
      </c>
      <c r="F79" s="12">
        <v>0.2604166666666667</v>
      </c>
      <c r="G79" s="13">
        <v>0.26180555555555557</v>
      </c>
      <c r="H79" s="14">
        <v>25.0</v>
      </c>
      <c r="I79" s="15">
        <v>0.30694444444444446</v>
      </c>
      <c r="J79" s="16">
        <v>0.30694444444444446</v>
      </c>
      <c r="K79" s="11">
        <v>26.0</v>
      </c>
      <c r="L79" s="12">
        <v>0.36527777777777776</v>
      </c>
      <c r="M79" s="13">
        <v>0.3680555555555556</v>
      </c>
      <c r="N79" s="17">
        <v>27.0</v>
      </c>
      <c r="O79" s="12">
        <v>0.44166666666666665</v>
      </c>
      <c r="P79" s="12">
        <v>0.44375</v>
      </c>
      <c r="Q79" s="11">
        <v>28.0</v>
      </c>
      <c r="R79" s="12">
        <v>0.5020833333333333</v>
      </c>
      <c r="S79" s="13">
        <v>0.5048611111111111</v>
      </c>
      <c r="T79" s="18">
        <v>37.0</v>
      </c>
      <c r="U79" s="12">
        <v>0.56875</v>
      </c>
      <c r="V79" s="13">
        <v>0.5722222222222222</v>
      </c>
      <c r="W79" s="11">
        <v>43.0</v>
      </c>
      <c r="X79" s="12">
        <v>0.6194444444444445</v>
      </c>
      <c r="Y79" s="13">
        <v>0.6270833333333333</v>
      </c>
      <c r="Z79" s="11">
        <v>53.0</v>
      </c>
      <c r="AA79" s="19"/>
      <c r="AB79" s="13">
        <v>0.7458333333333333</v>
      </c>
      <c r="AC79" s="20">
        <v>53.0</v>
      </c>
      <c r="AD79" s="21">
        <v>0.8125</v>
      </c>
      <c r="AE79" s="22">
        <v>0.8201388888888889</v>
      </c>
      <c r="AF79" s="18">
        <v>69.0</v>
      </c>
      <c r="AG79" s="12">
        <v>0.9402777777777778</v>
      </c>
      <c r="AH79" s="23">
        <v>0.9604166666666667</v>
      </c>
      <c r="AI79" s="11">
        <v>76.0</v>
      </c>
      <c r="AJ79" s="12">
        <v>0.03888888888888889</v>
      </c>
      <c r="AK79" s="13">
        <v>0.04722222222222222</v>
      </c>
      <c r="AL79" s="14">
        <v>72.0</v>
      </c>
      <c r="AM79" s="15">
        <v>0.14652777777777778</v>
      </c>
      <c r="AN79" s="16">
        <v>0.15347222222222223</v>
      </c>
      <c r="AO79" s="11">
        <v>69.0</v>
      </c>
      <c r="AP79" s="12">
        <v>0.22916666666666666</v>
      </c>
      <c r="AQ79" s="13">
        <v>0.24791666666666667</v>
      </c>
      <c r="AR79" s="11">
        <v>68.0</v>
      </c>
      <c r="AS79" s="12">
        <v>0.31875</v>
      </c>
      <c r="AT79" s="13">
        <v>0.32916666666666666</v>
      </c>
      <c r="AU79" s="11">
        <v>76.0</v>
      </c>
      <c r="AV79" s="12">
        <v>0.45069444444444445</v>
      </c>
      <c r="AW79" s="13">
        <v>0.4625</v>
      </c>
      <c r="AX79" s="11">
        <v>83.0</v>
      </c>
      <c r="AY79" s="12">
        <v>0.04652777777777778</v>
      </c>
      <c r="AZ79" s="13">
        <v>0.04791666666666667</v>
      </c>
      <c r="BA79" s="24">
        <v>78.0</v>
      </c>
      <c r="BB79" s="25">
        <v>44787.597289467594</v>
      </c>
      <c r="BC79" s="12"/>
    </row>
    <row r="80" ht="15.75" customHeight="1">
      <c r="A80" s="7"/>
      <c r="B80" s="8" t="s">
        <v>135</v>
      </c>
      <c r="C80" s="9">
        <v>518.0</v>
      </c>
      <c r="D80" s="10" t="s">
        <v>54</v>
      </c>
      <c r="E80" s="11">
        <v>150.0</v>
      </c>
      <c r="F80" s="12">
        <v>0.2743055555555556</v>
      </c>
      <c r="G80" s="13">
        <v>0.275</v>
      </c>
      <c r="H80" s="14">
        <v>139.0</v>
      </c>
      <c r="I80" s="15">
        <v>0.33611111111111114</v>
      </c>
      <c r="J80" s="16">
        <v>0.33611111111111114</v>
      </c>
      <c r="K80" s="11">
        <v>135.0</v>
      </c>
      <c r="L80" s="12">
        <v>0.4083333333333333</v>
      </c>
      <c r="M80" s="13">
        <v>0.4166666666666667</v>
      </c>
      <c r="N80" s="17">
        <v>130.0</v>
      </c>
      <c r="O80" s="12">
        <v>0.5041666666666667</v>
      </c>
      <c r="P80" s="12">
        <v>0.5055555555555555</v>
      </c>
      <c r="Q80" s="11">
        <v>119.0</v>
      </c>
      <c r="R80" s="12">
        <v>0.5791666666666667</v>
      </c>
      <c r="S80" s="13">
        <v>0.58125</v>
      </c>
      <c r="T80" s="18">
        <v>109.0</v>
      </c>
      <c r="U80" s="12">
        <v>0.6479166666666667</v>
      </c>
      <c r="V80" s="13">
        <v>0.6493055555555556</v>
      </c>
      <c r="W80" s="11">
        <v>107.0</v>
      </c>
      <c r="X80" s="12">
        <v>0.6979166666666666</v>
      </c>
      <c r="Y80" s="13">
        <v>0.7048611111111112</v>
      </c>
      <c r="Z80" s="11">
        <v>103.0</v>
      </c>
      <c r="AA80" s="19"/>
      <c r="AB80" s="13">
        <v>0.8166666666666667</v>
      </c>
      <c r="AC80" s="20">
        <v>105.0</v>
      </c>
      <c r="AD80" s="21">
        <v>0.8888888888888888</v>
      </c>
      <c r="AE80" s="22">
        <v>0.8909722222222223</v>
      </c>
      <c r="AF80" s="18">
        <v>102.0</v>
      </c>
      <c r="AG80" s="12">
        <v>0.001388888888888889</v>
      </c>
      <c r="AH80" s="23">
        <v>0.010416666666666666</v>
      </c>
      <c r="AI80" s="11">
        <v>100.0</v>
      </c>
      <c r="AJ80" s="12">
        <v>0.09722222222222222</v>
      </c>
      <c r="AK80" s="13">
        <v>0.10208333333333333</v>
      </c>
      <c r="AL80" s="14">
        <v>103.0</v>
      </c>
      <c r="AM80" s="15">
        <v>0.21041666666666667</v>
      </c>
      <c r="AN80" s="16">
        <v>0.21041666666666667</v>
      </c>
      <c r="AO80" s="11">
        <v>90.0</v>
      </c>
      <c r="AP80" s="12">
        <v>0.2701388888888889</v>
      </c>
      <c r="AQ80" s="13">
        <v>0.28125</v>
      </c>
      <c r="AR80" s="11">
        <v>89.0</v>
      </c>
      <c r="AS80" s="12">
        <v>0.35555555555555557</v>
      </c>
      <c r="AT80" s="13">
        <v>0.3576388888888889</v>
      </c>
      <c r="AU80" s="11">
        <v>87.0</v>
      </c>
      <c r="AV80" s="12">
        <v>0.46319444444444446</v>
      </c>
      <c r="AW80" s="13">
        <v>0.4701388888888889</v>
      </c>
      <c r="AX80" s="11">
        <v>80.0</v>
      </c>
      <c r="AY80" s="12">
        <v>0.04513888888888889</v>
      </c>
      <c r="AZ80" s="13">
        <v>0.04583333333333333</v>
      </c>
      <c r="BA80" s="24">
        <v>79.0</v>
      </c>
      <c r="BB80" s="25">
        <v>44787.59909166667</v>
      </c>
      <c r="BC80" s="12"/>
    </row>
    <row r="81" ht="15.75" customHeight="1">
      <c r="A81" s="7"/>
      <c r="B81" s="8" t="s">
        <v>136</v>
      </c>
      <c r="C81" s="9">
        <v>509.0</v>
      </c>
      <c r="D81" s="10" t="s">
        <v>66</v>
      </c>
      <c r="E81" s="11">
        <v>69.0</v>
      </c>
      <c r="F81" s="12">
        <v>0.2638888888888889</v>
      </c>
      <c r="G81" s="13">
        <v>0.26458333333333334</v>
      </c>
      <c r="H81" s="14">
        <v>55.0</v>
      </c>
      <c r="I81" s="15">
        <v>0.3145833333333333</v>
      </c>
      <c r="J81" s="16">
        <v>0.3145833333333333</v>
      </c>
      <c r="K81" s="11">
        <v>52.0</v>
      </c>
      <c r="L81" s="12">
        <v>0.3763888888888889</v>
      </c>
      <c r="M81" s="13">
        <v>0.3798611111111111</v>
      </c>
      <c r="N81" s="17">
        <v>57.0</v>
      </c>
      <c r="O81" s="12">
        <v>0.4618055555555556</v>
      </c>
      <c r="P81" s="12">
        <v>0.46319444444444446</v>
      </c>
      <c r="Q81" s="11">
        <v>58.0</v>
      </c>
      <c r="R81" s="12">
        <v>0.5277777777777778</v>
      </c>
      <c r="S81" s="13">
        <v>0.5305555555555556</v>
      </c>
      <c r="T81" s="18">
        <v>60.0</v>
      </c>
      <c r="U81" s="12">
        <v>0.5972222222222222</v>
      </c>
      <c r="V81" s="13">
        <v>0.5993055555555555</v>
      </c>
      <c r="W81" s="11">
        <v>57.0</v>
      </c>
      <c r="X81" s="12">
        <v>0.6416666666666667</v>
      </c>
      <c r="Y81" s="13">
        <v>0.6534722222222222</v>
      </c>
      <c r="Z81" s="11">
        <v>79.0</v>
      </c>
      <c r="AA81" s="19"/>
      <c r="AB81" s="13">
        <v>0.7840277777777778</v>
      </c>
      <c r="AC81" s="20">
        <v>79.0</v>
      </c>
      <c r="AD81" s="21">
        <v>0.8534722222222222</v>
      </c>
      <c r="AE81" s="22">
        <v>0.8548611111111111</v>
      </c>
      <c r="AF81" s="18">
        <v>87.0</v>
      </c>
      <c r="AG81" s="12">
        <v>0.9701388888888889</v>
      </c>
      <c r="AH81" s="23">
        <v>0.9916666666666667</v>
      </c>
      <c r="AI81" s="11">
        <v>87.0</v>
      </c>
      <c r="AJ81" s="12">
        <v>0.06944444444444445</v>
      </c>
      <c r="AK81" s="13">
        <v>0.07152777777777777</v>
      </c>
      <c r="AL81" s="14">
        <v>82.0</v>
      </c>
      <c r="AM81" s="15">
        <v>0.17152777777777778</v>
      </c>
      <c r="AN81" s="16">
        <v>0.1736111111111111</v>
      </c>
      <c r="AO81" s="11">
        <v>74.0</v>
      </c>
      <c r="AP81" s="12">
        <v>0.23819444444444443</v>
      </c>
      <c r="AQ81" s="13">
        <v>0.2590277777777778</v>
      </c>
      <c r="AR81" s="11">
        <v>78.0</v>
      </c>
      <c r="AS81" s="12">
        <v>0.33958333333333335</v>
      </c>
      <c r="AT81" s="13">
        <v>0.3458333333333333</v>
      </c>
      <c r="AU81" s="11">
        <v>81.0</v>
      </c>
      <c r="AV81" s="12">
        <v>0.45555555555555555</v>
      </c>
      <c r="AW81" s="13">
        <v>0.4583333333333333</v>
      </c>
      <c r="AX81" s="11">
        <v>79.0</v>
      </c>
      <c r="AY81" s="12">
        <v>0.04513888888888889</v>
      </c>
      <c r="AZ81" s="13">
        <v>0.04513888888888889</v>
      </c>
      <c r="BA81" s="24">
        <v>80.0</v>
      </c>
      <c r="BB81" s="25">
        <v>44787.60562071759</v>
      </c>
      <c r="BC81" s="12"/>
    </row>
    <row r="82" ht="15.75" customHeight="1">
      <c r="A82" s="7"/>
      <c r="B82" s="8" t="s">
        <v>137</v>
      </c>
      <c r="C82" s="9">
        <v>548.0</v>
      </c>
      <c r="D82" s="10" t="s">
        <v>54</v>
      </c>
      <c r="E82" s="32"/>
      <c r="F82" s="19"/>
      <c r="G82" s="33"/>
      <c r="H82" s="14">
        <v>104.0</v>
      </c>
      <c r="I82" s="15">
        <v>0.32569444444444445</v>
      </c>
      <c r="J82" s="16">
        <v>0.32569444444444445</v>
      </c>
      <c r="K82" s="11">
        <v>130.0</v>
      </c>
      <c r="L82" s="12">
        <v>0.40555555555555556</v>
      </c>
      <c r="M82" s="13">
        <v>0.4097222222222222</v>
      </c>
      <c r="N82" s="17">
        <v>123.0</v>
      </c>
      <c r="O82" s="30">
        <v>0.5013888888888889</v>
      </c>
      <c r="P82" s="30">
        <v>0.5055555555555555</v>
      </c>
      <c r="Q82" s="11">
        <v>117.0</v>
      </c>
      <c r="R82" s="12">
        <v>0.5784722222222223</v>
      </c>
      <c r="S82" s="13">
        <v>0.5819444444444445</v>
      </c>
      <c r="T82" s="18">
        <v>122.0</v>
      </c>
      <c r="U82" s="12">
        <v>0.65625</v>
      </c>
      <c r="V82" s="13">
        <v>0.6597222222222222</v>
      </c>
      <c r="W82" s="11">
        <v>126.0</v>
      </c>
      <c r="X82" s="12">
        <v>0.7111111111111111</v>
      </c>
      <c r="Y82" s="13">
        <v>0.7180555555555556</v>
      </c>
      <c r="Z82" s="11">
        <v>114.0</v>
      </c>
      <c r="AA82" s="19"/>
      <c r="AB82" s="13">
        <v>0.8319444444444445</v>
      </c>
      <c r="AC82" s="20">
        <v>112.0</v>
      </c>
      <c r="AD82" s="21">
        <v>0.9027777777777778</v>
      </c>
      <c r="AE82" s="22">
        <v>0.9083333333333333</v>
      </c>
      <c r="AF82" s="18">
        <v>107.0</v>
      </c>
      <c r="AG82" s="12">
        <v>0.01597222222222222</v>
      </c>
      <c r="AH82" s="23">
        <v>0.024305555555555556</v>
      </c>
      <c r="AI82" s="11">
        <v>104.0</v>
      </c>
      <c r="AJ82" s="12">
        <v>0.09930555555555555</v>
      </c>
      <c r="AK82" s="13">
        <v>0.10416666666666667</v>
      </c>
      <c r="AL82" s="14">
        <v>100.0</v>
      </c>
      <c r="AM82" s="15">
        <v>0.20347222222222222</v>
      </c>
      <c r="AN82" s="16">
        <v>0.20625</v>
      </c>
      <c r="AO82" s="11">
        <v>83.0</v>
      </c>
      <c r="AP82" s="12">
        <v>0.2673611111111111</v>
      </c>
      <c r="AQ82" s="13">
        <v>0.2743055555555556</v>
      </c>
      <c r="AR82" s="11">
        <v>81.0</v>
      </c>
      <c r="AS82" s="12">
        <v>0.34791666666666665</v>
      </c>
      <c r="AT82" s="13">
        <v>0.35347222222222224</v>
      </c>
      <c r="AU82" s="11">
        <v>85.0</v>
      </c>
      <c r="AV82" s="12">
        <v>0.4618055555555556</v>
      </c>
      <c r="AW82" s="13">
        <v>0.46458333333333335</v>
      </c>
      <c r="AX82" s="11">
        <v>82.0</v>
      </c>
      <c r="AY82" s="12">
        <v>0.04652777777777778</v>
      </c>
      <c r="AZ82" s="13">
        <v>0.04791666666666667</v>
      </c>
      <c r="BA82" s="24">
        <v>81.0</v>
      </c>
      <c r="BB82" s="25">
        <v>44787.606506365744</v>
      </c>
      <c r="BC82" s="12"/>
    </row>
    <row r="83" ht="15.75" customHeight="1">
      <c r="A83" s="7"/>
      <c r="B83" s="8" t="s">
        <v>138</v>
      </c>
      <c r="C83" s="9">
        <v>569.0</v>
      </c>
      <c r="D83" s="10" t="s">
        <v>54</v>
      </c>
      <c r="E83" s="11">
        <v>85.0</v>
      </c>
      <c r="F83" s="12">
        <v>0.2659722222222222</v>
      </c>
      <c r="G83" s="13">
        <v>0.26666666666666666</v>
      </c>
      <c r="H83" s="14">
        <v>79.0</v>
      </c>
      <c r="I83" s="15">
        <v>0.32083333333333336</v>
      </c>
      <c r="J83" s="16">
        <v>0.32083333333333336</v>
      </c>
      <c r="K83" s="11">
        <v>74.0</v>
      </c>
      <c r="L83" s="12">
        <v>0.3875</v>
      </c>
      <c r="M83" s="13">
        <v>0.3909722222222222</v>
      </c>
      <c r="N83" s="17">
        <v>71.0</v>
      </c>
      <c r="O83" s="12">
        <v>0.47291666666666665</v>
      </c>
      <c r="P83" s="12">
        <v>0.475</v>
      </c>
      <c r="Q83" s="11">
        <v>67.0</v>
      </c>
      <c r="R83" s="12">
        <v>0.5402777777777777</v>
      </c>
      <c r="S83" s="13">
        <v>0.5451388888888888</v>
      </c>
      <c r="T83" s="18">
        <v>72.0</v>
      </c>
      <c r="U83" s="12">
        <v>0.6097222222222223</v>
      </c>
      <c r="V83" s="13">
        <v>0.6118055555555556</v>
      </c>
      <c r="W83" s="11">
        <v>74.0</v>
      </c>
      <c r="X83" s="12">
        <v>0.6645833333333333</v>
      </c>
      <c r="Y83" s="13">
        <v>0.6736111111111112</v>
      </c>
      <c r="Z83" s="11">
        <v>69.0</v>
      </c>
      <c r="AA83" s="19"/>
      <c r="AB83" s="13">
        <v>0.7777777777777778</v>
      </c>
      <c r="AC83" s="20">
        <v>75.0</v>
      </c>
      <c r="AD83" s="21">
        <v>0.8402777777777778</v>
      </c>
      <c r="AE83" s="22">
        <v>0.8444444444444444</v>
      </c>
      <c r="AF83" s="18">
        <v>79.0</v>
      </c>
      <c r="AG83" s="12">
        <v>0.9493055555555555</v>
      </c>
      <c r="AH83" s="23">
        <v>0.9638888888888889</v>
      </c>
      <c r="AI83" s="11">
        <v>78.0</v>
      </c>
      <c r="AJ83" s="12">
        <v>0.03958333333333333</v>
      </c>
      <c r="AK83" s="13">
        <v>0.04236111111111111</v>
      </c>
      <c r="AL83" s="14">
        <v>76.0</v>
      </c>
      <c r="AM83" s="15">
        <v>0.15416666666666667</v>
      </c>
      <c r="AN83" s="16">
        <v>0.15833333333333333</v>
      </c>
      <c r="AO83" s="11">
        <v>72.0</v>
      </c>
      <c r="AP83" s="12">
        <v>0.23402777777777778</v>
      </c>
      <c r="AQ83" s="13">
        <v>0.2465277777777778</v>
      </c>
      <c r="AR83" s="11">
        <v>69.0</v>
      </c>
      <c r="AS83" s="12">
        <v>0.32013888888888886</v>
      </c>
      <c r="AT83" s="13">
        <v>0.3236111111111111</v>
      </c>
      <c r="AU83" s="11">
        <v>71.0</v>
      </c>
      <c r="AV83" s="12">
        <v>0.4395833333333333</v>
      </c>
      <c r="AW83" s="13">
        <v>0.44305555555555554</v>
      </c>
      <c r="AX83" s="11">
        <v>74.0</v>
      </c>
      <c r="AY83" s="12">
        <v>0.5333333333333333</v>
      </c>
      <c r="AZ83" s="13">
        <v>0.5340277777777778</v>
      </c>
      <c r="BA83" s="24">
        <v>82.0</v>
      </c>
      <c r="BB83" s="25">
        <v>44787.60752118056</v>
      </c>
      <c r="BC83" s="12"/>
    </row>
    <row r="84" ht="15.75" customHeight="1">
      <c r="A84" s="7"/>
      <c r="B84" s="8" t="s">
        <v>139</v>
      </c>
      <c r="C84" s="9">
        <v>607.0</v>
      </c>
      <c r="D84" s="10" t="s">
        <v>54</v>
      </c>
      <c r="E84" s="11">
        <v>172.0</v>
      </c>
      <c r="F84" s="12">
        <v>0.2743055555555556</v>
      </c>
      <c r="G84" s="13">
        <v>0.275</v>
      </c>
      <c r="H84" s="14">
        <v>180.0</v>
      </c>
      <c r="I84" s="15">
        <v>0.34444444444444444</v>
      </c>
      <c r="J84" s="16">
        <v>0.34444444444444444</v>
      </c>
      <c r="K84" s="11">
        <v>155.0</v>
      </c>
      <c r="L84" s="12">
        <v>0.41388888888888886</v>
      </c>
      <c r="M84" s="13">
        <v>0.42083333333333334</v>
      </c>
      <c r="N84" s="17">
        <v>140.0</v>
      </c>
      <c r="O84" s="12">
        <v>0.5069444444444444</v>
      </c>
      <c r="P84" s="12">
        <v>0.5083333333333333</v>
      </c>
      <c r="Q84" s="11">
        <v>130.0</v>
      </c>
      <c r="R84" s="12">
        <v>0.5798611111111112</v>
      </c>
      <c r="S84" s="13">
        <v>0.5854166666666667</v>
      </c>
      <c r="T84" s="18">
        <v>130.0</v>
      </c>
      <c r="U84" s="12">
        <v>0.6576388888888889</v>
      </c>
      <c r="V84" s="13">
        <v>0.6583333333333333</v>
      </c>
      <c r="W84" s="11">
        <v>124.0</v>
      </c>
      <c r="X84" s="12">
        <v>0.7111111111111111</v>
      </c>
      <c r="Y84" s="13">
        <v>0.7194444444444444</v>
      </c>
      <c r="Z84" s="11">
        <v>112.0</v>
      </c>
      <c r="AA84" s="19"/>
      <c r="AB84" s="13">
        <v>0.8319444444444445</v>
      </c>
      <c r="AC84" s="20">
        <v>110.0</v>
      </c>
      <c r="AD84" s="21">
        <v>0.9027777777777778</v>
      </c>
      <c r="AE84" s="22">
        <v>0.9013888888888889</v>
      </c>
      <c r="AF84" s="18">
        <v>106.0</v>
      </c>
      <c r="AG84" s="12">
        <v>0.01597222222222222</v>
      </c>
      <c r="AH84" s="23">
        <v>0.024305555555555556</v>
      </c>
      <c r="AI84" s="11">
        <v>102.0</v>
      </c>
      <c r="AJ84" s="12">
        <v>0.09861111111111111</v>
      </c>
      <c r="AK84" s="13">
        <v>0.10208333333333333</v>
      </c>
      <c r="AL84" s="14">
        <v>92.0</v>
      </c>
      <c r="AM84" s="15">
        <v>0.19722222222222222</v>
      </c>
      <c r="AN84" s="16">
        <v>0.19930555555555557</v>
      </c>
      <c r="AO84" s="11">
        <v>81.0</v>
      </c>
      <c r="AP84" s="12">
        <v>0.2638888888888889</v>
      </c>
      <c r="AQ84" s="13">
        <v>0.26666666666666666</v>
      </c>
      <c r="AR84" s="11">
        <v>79.0</v>
      </c>
      <c r="AS84" s="12">
        <v>0.33958333333333335</v>
      </c>
      <c r="AT84" s="13">
        <v>0.3423611111111111</v>
      </c>
      <c r="AU84" s="11">
        <v>78.0</v>
      </c>
      <c r="AV84" s="12">
        <v>0.45208333333333334</v>
      </c>
      <c r="AW84" s="13">
        <v>0.45625</v>
      </c>
      <c r="AX84" s="11">
        <v>81.0</v>
      </c>
      <c r="AY84" s="12">
        <v>0.04513888888888889</v>
      </c>
      <c r="AZ84" s="13">
        <v>0.04583333333333333</v>
      </c>
      <c r="BA84" s="24">
        <v>83.0</v>
      </c>
      <c r="BB84" s="25">
        <v>44787.608573379635</v>
      </c>
      <c r="BC84" s="12"/>
    </row>
    <row r="85" ht="15.75" customHeight="1">
      <c r="A85" s="7"/>
      <c r="B85" s="8" t="s">
        <v>140</v>
      </c>
      <c r="C85" s="9">
        <v>699.0</v>
      </c>
      <c r="D85" s="10" t="s">
        <v>54</v>
      </c>
      <c r="E85" s="11">
        <v>125.0</v>
      </c>
      <c r="F85" s="12">
        <v>0.2708333333333333</v>
      </c>
      <c r="G85" s="13">
        <v>0.27152777777777776</v>
      </c>
      <c r="H85" s="14">
        <v>133.0</v>
      </c>
      <c r="I85" s="15">
        <v>0.33402777777777776</v>
      </c>
      <c r="J85" s="16">
        <v>0.33402777777777776</v>
      </c>
      <c r="K85" s="11">
        <v>126.0</v>
      </c>
      <c r="L85" s="12">
        <v>0.4048611111111111</v>
      </c>
      <c r="M85" s="13">
        <v>0.41458333333333336</v>
      </c>
      <c r="N85" s="17">
        <v>136.0</v>
      </c>
      <c r="O85" s="12">
        <v>0.5055555555555555</v>
      </c>
      <c r="P85" s="12">
        <v>0.50625</v>
      </c>
      <c r="Q85" s="11">
        <v>113.0</v>
      </c>
      <c r="R85" s="12">
        <v>0.5770833333333333</v>
      </c>
      <c r="S85" s="13">
        <v>0.5791666666666667</v>
      </c>
      <c r="T85" s="18">
        <v>111.0</v>
      </c>
      <c r="U85" s="12">
        <v>0.6479166666666667</v>
      </c>
      <c r="V85" s="13">
        <v>0.6486111111111111</v>
      </c>
      <c r="W85" s="11">
        <v>108.0</v>
      </c>
      <c r="X85" s="12">
        <v>0.6986111111111111</v>
      </c>
      <c r="Y85" s="13">
        <v>0.7055555555555556</v>
      </c>
      <c r="Z85" s="11">
        <v>108.0</v>
      </c>
      <c r="AA85" s="19"/>
      <c r="AB85" s="13">
        <v>0.8256944444444444</v>
      </c>
      <c r="AC85" s="20">
        <v>109.0</v>
      </c>
      <c r="AD85" s="21">
        <v>0.8986111111111111</v>
      </c>
      <c r="AE85" s="22">
        <v>0.8944444444444445</v>
      </c>
      <c r="AF85" s="18">
        <v>100.0</v>
      </c>
      <c r="AG85" s="12">
        <v>0.9965277777777778</v>
      </c>
      <c r="AH85" s="23">
        <v>0.024305555555555556</v>
      </c>
      <c r="AI85" s="11">
        <v>106.0</v>
      </c>
      <c r="AJ85" s="12">
        <v>0.10069444444444445</v>
      </c>
      <c r="AK85" s="13">
        <v>0.10208333333333333</v>
      </c>
      <c r="AL85" s="14">
        <v>96.0</v>
      </c>
      <c r="AM85" s="15">
        <v>0.20277777777777778</v>
      </c>
      <c r="AN85" s="16">
        <v>0.20555555555555555</v>
      </c>
      <c r="AO85" s="11">
        <v>86.0</v>
      </c>
      <c r="AP85" s="12">
        <v>0.26805555555555555</v>
      </c>
      <c r="AQ85" s="13">
        <v>0.27569444444444446</v>
      </c>
      <c r="AR85" s="11">
        <v>83.0</v>
      </c>
      <c r="AS85" s="12">
        <v>0.34791666666666665</v>
      </c>
      <c r="AT85" s="13">
        <v>0.35138888888888886</v>
      </c>
      <c r="AU85" s="11">
        <v>82.0</v>
      </c>
      <c r="AV85" s="12">
        <v>0.45555555555555555</v>
      </c>
      <c r="AW85" s="13">
        <v>0.46319444444444446</v>
      </c>
      <c r="AX85" s="11">
        <v>88.0</v>
      </c>
      <c r="AY85" s="12">
        <v>0.05</v>
      </c>
      <c r="AZ85" s="13">
        <v>0.050694444444444445</v>
      </c>
      <c r="BA85" s="24">
        <v>84.0</v>
      </c>
      <c r="BB85" s="25">
        <v>44787.61441666667</v>
      </c>
      <c r="BC85" s="12"/>
    </row>
    <row r="86" ht="15.75" customHeight="1">
      <c r="A86" s="7"/>
      <c r="B86" s="8" t="s">
        <v>141</v>
      </c>
      <c r="C86" s="9">
        <v>739.0</v>
      </c>
      <c r="D86" s="10" t="s">
        <v>54</v>
      </c>
      <c r="E86" s="11">
        <v>146.0</v>
      </c>
      <c r="F86" s="12">
        <v>0.27152777777777776</v>
      </c>
      <c r="G86" s="13">
        <v>0.2722222222222222</v>
      </c>
      <c r="H86" s="27"/>
      <c r="I86" s="28"/>
      <c r="J86" s="29"/>
      <c r="K86" s="11">
        <v>131.0</v>
      </c>
      <c r="L86" s="12">
        <v>0.40555555555555556</v>
      </c>
      <c r="M86" s="13">
        <v>0.4097222222222222</v>
      </c>
      <c r="N86" s="17">
        <v>121.0</v>
      </c>
      <c r="O86" s="12">
        <v>0.5013888888888889</v>
      </c>
      <c r="P86" s="12">
        <v>0.5055555555555555</v>
      </c>
      <c r="Q86" s="11">
        <v>118.0</v>
      </c>
      <c r="R86" s="12">
        <v>0.5784722222222223</v>
      </c>
      <c r="S86" s="13">
        <v>0.5833333333333334</v>
      </c>
      <c r="T86" s="18">
        <v>124.0</v>
      </c>
      <c r="U86" s="12">
        <v>0.65625</v>
      </c>
      <c r="V86" s="13">
        <v>0.6597222222222222</v>
      </c>
      <c r="W86" s="11">
        <v>125.0</v>
      </c>
      <c r="X86" s="12">
        <v>0.7111111111111111</v>
      </c>
      <c r="Y86" s="13">
        <v>0.7180555555555556</v>
      </c>
      <c r="Z86" s="11">
        <v>113.0</v>
      </c>
      <c r="AA86" s="19"/>
      <c r="AB86" s="13">
        <v>0.8319444444444445</v>
      </c>
      <c r="AC86" s="20">
        <v>113.0</v>
      </c>
      <c r="AD86" s="21">
        <v>0.9027777777777778</v>
      </c>
      <c r="AE86" s="22">
        <v>0.9083333333333333</v>
      </c>
      <c r="AF86" s="18">
        <v>108.0</v>
      </c>
      <c r="AG86" s="12">
        <v>0.01597222222222222</v>
      </c>
      <c r="AH86" s="23">
        <v>0.024305555555555556</v>
      </c>
      <c r="AI86" s="11">
        <v>105.0</v>
      </c>
      <c r="AJ86" s="12">
        <v>0.09930555555555555</v>
      </c>
      <c r="AK86" s="13">
        <v>0.10416666666666667</v>
      </c>
      <c r="AL86" s="14">
        <v>97.0</v>
      </c>
      <c r="AM86" s="15">
        <v>0.20277777777777778</v>
      </c>
      <c r="AN86" s="16">
        <v>0.20555555555555555</v>
      </c>
      <c r="AO86" s="11">
        <v>84.0</v>
      </c>
      <c r="AP86" s="12">
        <v>0.2673611111111111</v>
      </c>
      <c r="AQ86" s="13">
        <v>0.27291666666666664</v>
      </c>
      <c r="AR86" s="11">
        <v>82.0</v>
      </c>
      <c r="AS86" s="12">
        <v>0.34791666666666665</v>
      </c>
      <c r="AT86" s="13">
        <v>0.35347222222222224</v>
      </c>
      <c r="AU86" s="11">
        <v>84.0</v>
      </c>
      <c r="AV86" s="12">
        <v>0.4618055555555556</v>
      </c>
      <c r="AW86" s="13">
        <v>0.46458333333333335</v>
      </c>
      <c r="AX86" s="11">
        <v>86.0</v>
      </c>
      <c r="AY86" s="12">
        <v>0.04861111111111111</v>
      </c>
      <c r="AZ86" s="13">
        <v>0.05</v>
      </c>
      <c r="BA86" s="24">
        <v>85.0</v>
      </c>
      <c r="BB86" s="25">
        <v>44787.61642280093</v>
      </c>
      <c r="BC86" s="12"/>
    </row>
    <row r="87" ht="15.75" customHeight="1">
      <c r="A87" s="7"/>
      <c r="B87" s="8" t="s">
        <v>142</v>
      </c>
      <c r="C87" s="9">
        <v>716.0</v>
      </c>
      <c r="D87" s="10" t="s">
        <v>54</v>
      </c>
      <c r="E87" s="11">
        <v>72.0</v>
      </c>
      <c r="F87" s="12">
        <v>0.26458333333333334</v>
      </c>
      <c r="G87" s="13">
        <v>0.2652777777777778</v>
      </c>
      <c r="H87" s="14">
        <v>83.0</v>
      </c>
      <c r="I87" s="15">
        <v>0.3229166666666667</v>
      </c>
      <c r="J87" s="16">
        <v>0.3229166666666667</v>
      </c>
      <c r="K87" s="11">
        <v>90.0</v>
      </c>
      <c r="L87" s="12">
        <v>0.3923611111111111</v>
      </c>
      <c r="M87" s="13">
        <v>0.3958333333333333</v>
      </c>
      <c r="N87" s="17">
        <v>83.0</v>
      </c>
      <c r="O87" s="12">
        <v>0.4791666666666667</v>
      </c>
      <c r="P87" s="12">
        <v>0.48333333333333334</v>
      </c>
      <c r="Q87" s="11">
        <v>83.0</v>
      </c>
      <c r="R87" s="12">
        <v>0.5506944444444445</v>
      </c>
      <c r="S87" s="13">
        <v>0.55625</v>
      </c>
      <c r="T87" s="18">
        <v>82.0</v>
      </c>
      <c r="U87" s="12">
        <v>0.6222222222222222</v>
      </c>
      <c r="V87" s="13">
        <v>0.6277777777777778</v>
      </c>
      <c r="W87" s="11">
        <v>87.0</v>
      </c>
      <c r="X87" s="12">
        <v>0.6763888888888889</v>
      </c>
      <c r="Y87" s="13">
        <v>0.6868055555555556</v>
      </c>
      <c r="Z87" s="11">
        <v>93.0</v>
      </c>
      <c r="AA87" s="19"/>
      <c r="AB87" s="13">
        <v>0.7986111111111112</v>
      </c>
      <c r="AC87" s="20">
        <v>93.0</v>
      </c>
      <c r="AD87" s="21">
        <v>0.8673611111111111</v>
      </c>
      <c r="AE87" s="22">
        <v>0.8708333333333333</v>
      </c>
      <c r="AF87" s="18">
        <v>94.0</v>
      </c>
      <c r="AG87" s="12">
        <v>0.9840277777777777</v>
      </c>
      <c r="AH87" s="23">
        <v>0.003472222222222222</v>
      </c>
      <c r="AI87" s="11">
        <v>95.0</v>
      </c>
      <c r="AJ87" s="12">
        <v>0.08541666666666667</v>
      </c>
      <c r="AK87" s="13">
        <v>0.09305555555555556</v>
      </c>
      <c r="AL87" s="14">
        <v>101.0</v>
      </c>
      <c r="AM87" s="15">
        <v>0.20347222222222222</v>
      </c>
      <c r="AN87" s="16">
        <v>0.21180555555555555</v>
      </c>
      <c r="AO87" s="11">
        <v>96.0</v>
      </c>
      <c r="AP87" s="12">
        <v>0.27847222222222223</v>
      </c>
      <c r="AQ87" s="13">
        <v>0.28402777777777777</v>
      </c>
      <c r="AR87" s="11">
        <v>90.0</v>
      </c>
      <c r="AS87" s="12">
        <v>0.35555555555555557</v>
      </c>
      <c r="AT87" s="13">
        <v>0.36041666666666666</v>
      </c>
      <c r="AU87" s="11">
        <v>91.0</v>
      </c>
      <c r="AV87" s="12">
        <v>0.4673611111111111</v>
      </c>
      <c r="AW87" s="13">
        <v>0.4708333333333333</v>
      </c>
      <c r="AX87" s="11">
        <v>91.0</v>
      </c>
      <c r="AY87" s="12">
        <v>0.059722222222222225</v>
      </c>
      <c r="AZ87" s="13">
        <v>0.06319444444444444</v>
      </c>
      <c r="BA87" s="24">
        <v>86.0</v>
      </c>
      <c r="BB87" s="25">
        <v>44787.616472685186</v>
      </c>
      <c r="BC87" s="12"/>
    </row>
    <row r="88" ht="15.75" customHeight="1">
      <c r="A88" s="7"/>
      <c r="B88" s="8" t="s">
        <v>143</v>
      </c>
      <c r="C88" s="9">
        <v>605.0</v>
      </c>
      <c r="D88" s="10" t="s">
        <v>54</v>
      </c>
      <c r="E88" s="11">
        <v>141.0</v>
      </c>
      <c r="F88" s="12">
        <v>0.27152777777777776</v>
      </c>
      <c r="G88" s="13">
        <v>0.2722222222222222</v>
      </c>
      <c r="H88" s="14">
        <v>92.0</v>
      </c>
      <c r="I88" s="15">
        <v>0.32430555555555557</v>
      </c>
      <c r="J88" s="16">
        <v>0.32430555555555557</v>
      </c>
      <c r="K88" s="11">
        <v>174.0</v>
      </c>
      <c r="L88" s="12">
        <v>0.4236111111111111</v>
      </c>
      <c r="M88" s="13">
        <v>0.4284722222222222</v>
      </c>
      <c r="N88" s="17">
        <v>179.0</v>
      </c>
      <c r="O88" s="12">
        <v>0.5381944444444444</v>
      </c>
      <c r="P88" s="12">
        <v>0.5423611111111111</v>
      </c>
      <c r="Q88" s="11">
        <v>176.0</v>
      </c>
      <c r="R88" s="12">
        <v>0.6180555555555556</v>
      </c>
      <c r="S88" s="13">
        <v>0.6256944444444444</v>
      </c>
      <c r="T88" s="18">
        <v>174.0</v>
      </c>
      <c r="U88" s="12">
        <v>0.7041666666666667</v>
      </c>
      <c r="V88" s="13">
        <v>0.7118055555555556</v>
      </c>
      <c r="W88" s="11">
        <v>173.0</v>
      </c>
      <c r="X88" s="12">
        <v>0.7638888888888888</v>
      </c>
      <c r="Y88" s="13">
        <v>0.7715277777777778</v>
      </c>
      <c r="Z88" s="11">
        <v>153.0</v>
      </c>
      <c r="AA88" s="19"/>
      <c r="AB88" s="13">
        <v>0.8798611111111111</v>
      </c>
      <c r="AC88" s="20">
        <v>147.0</v>
      </c>
      <c r="AD88" s="21">
        <v>0.9465277777777777</v>
      </c>
      <c r="AE88" s="22">
        <v>0.9513888888888888</v>
      </c>
      <c r="AF88" s="18">
        <v>135.0</v>
      </c>
      <c r="AG88" s="12">
        <v>0.059027777777777776</v>
      </c>
      <c r="AH88" s="23">
        <v>0.06875</v>
      </c>
      <c r="AI88" s="11">
        <v>124.0</v>
      </c>
      <c r="AJ88" s="12">
        <v>0.1423611111111111</v>
      </c>
      <c r="AK88" s="13">
        <v>0.14583333333333334</v>
      </c>
      <c r="AL88" s="14">
        <v>117.0</v>
      </c>
      <c r="AM88" s="15">
        <v>0.24791666666666667</v>
      </c>
      <c r="AN88" s="16">
        <v>0.24930555555555556</v>
      </c>
      <c r="AO88" s="11">
        <v>108.0</v>
      </c>
      <c r="AP88" s="12">
        <v>0.30694444444444446</v>
      </c>
      <c r="AQ88" s="13">
        <v>0.31180555555555556</v>
      </c>
      <c r="AR88" s="11">
        <v>104.0</v>
      </c>
      <c r="AS88" s="12">
        <v>0.3798611111111111</v>
      </c>
      <c r="AT88" s="13">
        <v>0.3840277777777778</v>
      </c>
      <c r="AU88" s="11">
        <v>99.0</v>
      </c>
      <c r="AV88" s="12">
        <v>0.48333333333333334</v>
      </c>
      <c r="AW88" s="13">
        <v>0.48680555555555555</v>
      </c>
      <c r="AX88" s="11">
        <v>94.0</v>
      </c>
      <c r="AY88" s="12">
        <v>0.06527777777777778</v>
      </c>
      <c r="AZ88" s="13">
        <v>0.06666666666666667</v>
      </c>
      <c r="BA88" s="24">
        <v>87.0</v>
      </c>
      <c r="BB88" s="25">
        <v>44787.61706539352</v>
      </c>
      <c r="BC88" s="12"/>
    </row>
    <row r="89" ht="15.75" customHeight="1">
      <c r="A89" s="7"/>
      <c r="B89" s="8" t="s">
        <v>144</v>
      </c>
      <c r="C89" s="9">
        <v>545.0</v>
      </c>
      <c r="D89" s="10" t="s">
        <v>54</v>
      </c>
      <c r="E89" s="11">
        <v>143.0</v>
      </c>
      <c r="F89" s="12">
        <v>0.27152777777777776</v>
      </c>
      <c r="G89" s="13">
        <v>0.2722222222222222</v>
      </c>
      <c r="H89" s="27"/>
      <c r="I89" s="28"/>
      <c r="J89" s="29"/>
      <c r="K89" s="32"/>
      <c r="L89" s="19"/>
      <c r="M89" s="39"/>
      <c r="N89" s="17">
        <v>147.0</v>
      </c>
      <c r="O89" s="12">
        <v>0.5138888888888888</v>
      </c>
      <c r="P89" s="12">
        <v>0.5173611111111112</v>
      </c>
      <c r="Q89" s="11">
        <v>143.0</v>
      </c>
      <c r="R89" s="12">
        <v>0.5916666666666667</v>
      </c>
      <c r="S89" s="13">
        <v>0.5951388888888889</v>
      </c>
      <c r="T89" s="18">
        <v>143.0</v>
      </c>
      <c r="U89" s="12">
        <v>0.6673611111111111</v>
      </c>
      <c r="V89" s="13">
        <v>0.6694444444444444</v>
      </c>
      <c r="W89" s="11">
        <v>135.0</v>
      </c>
      <c r="X89" s="12">
        <v>0.71875</v>
      </c>
      <c r="Y89" s="13">
        <v>0.7298611111111111</v>
      </c>
      <c r="Z89" s="11">
        <v>121.0</v>
      </c>
      <c r="AA89" s="19"/>
      <c r="AB89" s="13">
        <v>0.8423611111111111</v>
      </c>
      <c r="AC89" s="20">
        <v>119.0</v>
      </c>
      <c r="AD89" s="21">
        <v>0.9097222222222222</v>
      </c>
      <c r="AE89" s="22">
        <v>0.9166666666666666</v>
      </c>
      <c r="AF89" s="18">
        <v>117.0</v>
      </c>
      <c r="AG89" s="12">
        <v>0.027777777777777776</v>
      </c>
      <c r="AH89" s="23">
        <v>0.03819444444444445</v>
      </c>
      <c r="AI89" s="11">
        <v>111.0</v>
      </c>
      <c r="AJ89" s="12">
        <v>0.11666666666666667</v>
      </c>
      <c r="AK89" s="13">
        <v>0.12013888888888889</v>
      </c>
      <c r="AL89" s="14">
        <v>111.0</v>
      </c>
      <c r="AM89" s="15">
        <v>0.2361111111111111</v>
      </c>
      <c r="AN89" s="16">
        <v>0.24027777777777778</v>
      </c>
      <c r="AO89" s="11">
        <v>104.0</v>
      </c>
      <c r="AP89" s="12">
        <v>0.2972222222222222</v>
      </c>
      <c r="AQ89" s="13">
        <v>0.3055555555555556</v>
      </c>
      <c r="AR89" s="11">
        <v>100.0</v>
      </c>
      <c r="AS89" s="12">
        <v>0.3715277777777778</v>
      </c>
      <c r="AT89" s="13">
        <v>0.3763888888888889</v>
      </c>
      <c r="AU89" s="11">
        <v>95.0</v>
      </c>
      <c r="AV89" s="12">
        <v>0.48125</v>
      </c>
      <c r="AW89" s="13">
        <v>0.4861111111111111</v>
      </c>
      <c r="AX89" s="11">
        <v>93.0</v>
      </c>
      <c r="AY89" s="12">
        <v>0.06388888888888888</v>
      </c>
      <c r="AZ89" s="13">
        <v>0.06597222222222222</v>
      </c>
      <c r="BA89" s="24">
        <v>88.0</v>
      </c>
      <c r="BB89" s="25">
        <v>44787.61922118056</v>
      </c>
      <c r="BC89" s="12"/>
    </row>
    <row r="90" ht="15.75" customHeight="1">
      <c r="A90" s="7"/>
      <c r="B90" s="8" t="s">
        <v>145</v>
      </c>
      <c r="C90" s="9">
        <v>705.0</v>
      </c>
      <c r="D90" s="10" t="s">
        <v>54</v>
      </c>
      <c r="E90" s="11">
        <v>95.0</v>
      </c>
      <c r="F90" s="12">
        <v>0.26805555555555555</v>
      </c>
      <c r="G90" s="13">
        <v>0.26875</v>
      </c>
      <c r="H90" s="14">
        <v>101.0</v>
      </c>
      <c r="I90" s="15">
        <v>0.32569444444444445</v>
      </c>
      <c r="J90" s="16">
        <v>0.32569444444444445</v>
      </c>
      <c r="K90" s="11">
        <v>108.0</v>
      </c>
      <c r="L90" s="12">
        <v>0.3993055555555556</v>
      </c>
      <c r="M90" s="13">
        <v>0.40347222222222223</v>
      </c>
      <c r="N90" s="17">
        <v>107.0</v>
      </c>
      <c r="O90" s="12">
        <v>0.4930555555555556</v>
      </c>
      <c r="P90" s="12">
        <v>0.4979166666666667</v>
      </c>
      <c r="Q90" s="11">
        <v>102.0</v>
      </c>
      <c r="R90" s="12">
        <v>0.5673611111111111</v>
      </c>
      <c r="S90" s="13">
        <v>0.5722222222222222</v>
      </c>
      <c r="T90" s="18">
        <v>104.0</v>
      </c>
      <c r="U90" s="12">
        <v>0.6409722222222223</v>
      </c>
      <c r="V90" s="13">
        <v>0.6416666666666667</v>
      </c>
      <c r="W90" s="11">
        <v>111.0</v>
      </c>
      <c r="X90" s="12">
        <v>0.6993055555555555</v>
      </c>
      <c r="Y90" s="13">
        <v>0.7166666666666667</v>
      </c>
      <c r="Z90" s="11">
        <v>133.0</v>
      </c>
      <c r="AA90" s="19"/>
      <c r="AB90" s="13">
        <v>0.8513888888888889</v>
      </c>
      <c r="AC90" s="20">
        <v>125.0</v>
      </c>
      <c r="AD90" s="21">
        <v>0.9166666666666666</v>
      </c>
      <c r="AE90" s="22">
        <v>0.91875</v>
      </c>
      <c r="AF90" s="18">
        <v>113.0</v>
      </c>
      <c r="AG90" s="12">
        <v>0.025694444444444443</v>
      </c>
      <c r="AH90" s="23">
        <v>0.04652777777777778</v>
      </c>
      <c r="AI90" s="11">
        <v>112.0</v>
      </c>
      <c r="AJ90" s="12">
        <v>0.11666666666666667</v>
      </c>
      <c r="AK90" s="13">
        <v>0.13333333333333333</v>
      </c>
      <c r="AL90" s="14">
        <v>107.0</v>
      </c>
      <c r="AM90" s="15">
        <v>0.23055555555555557</v>
      </c>
      <c r="AN90" s="16">
        <v>0.3159722222222222</v>
      </c>
      <c r="AO90" s="11">
        <v>100.0</v>
      </c>
      <c r="AP90" s="12">
        <v>0.2861111111111111</v>
      </c>
      <c r="AQ90" s="13">
        <v>0.28680555555555554</v>
      </c>
      <c r="AR90" s="11">
        <v>93.0</v>
      </c>
      <c r="AS90" s="12">
        <v>0.3611111111111111</v>
      </c>
      <c r="AT90" s="13">
        <v>0.3638888888888889</v>
      </c>
      <c r="AU90" s="11">
        <v>92.0</v>
      </c>
      <c r="AV90" s="12">
        <v>0.46805555555555556</v>
      </c>
      <c r="AW90" s="13">
        <v>0.46944444444444444</v>
      </c>
      <c r="AX90" s="11">
        <v>89.0</v>
      </c>
      <c r="AY90" s="12">
        <v>0.05486111111111111</v>
      </c>
      <c r="AZ90" s="13">
        <v>0.06527777777777778</v>
      </c>
      <c r="BA90" s="24">
        <v>89.0</v>
      </c>
      <c r="BB90" s="25">
        <v>44787.621726620375</v>
      </c>
      <c r="BC90" s="12"/>
    </row>
    <row r="91" ht="15.75" customHeight="1">
      <c r="A91" s="7"/>
      <c r="B91" s="8" t="s">
        <v>146</v>
      </c>
      <c r="C91" s="9">
        <v>670.0</v>
      </c>
      <c r="D91" s="10" t="s">
        <v>54</v>
      </c>
      <c r="E91" s="11">
        <v>96.0</v>
      </c>
      <c r="F91" s="12">
        <v>0.26805555555555555</v>
      </c>
      <c r="G91" s="13">
        <v>0.26875</v>
      </c>
      <c r="H91" s="27"/>
      <c r="I91" s="28"/>
      <c r="J91" s="29"/>
      <c r="K91" s="32"/>
      <c r="L91" s="26"/>
      <c r="M91" s="39"/>
      <c r="N91" s="17">
        <v>75.0</v>
      </c>
      <c r="O91" s="12">
        <v>0.47430555555555554</v>
      </c>
      <c r="P91" s="12">
        <v>0.47638888888888886</v>
      </c>
      <c r="Q91" s="11">
        <v>73.0</v>
      </c>
      <c r="R91" s="12">
        <v>0.54375</v>
      </c>
      <c r="S91" s="13">
        <v>0.5479166666666667</v>
      </c>
      <c r="T91" s="18">
        <v>71.0</v>
      </c>
      <c r="U91" s="12">
        <v>0.6097222222222223</v>
      </c>
      <c r="V91" s="13">
        <v>0.6118055555555556</v>
      </c>
      <c r="W91" s="11">
        <v>78.0</v>
      </c>
      <c r="X91" s="12">
        <v>0.6694444444444444</v>
      </c>
      <c r="Y91" s="13">
        <v>0.6736111111111112</v>
      </c>
      <c r="Z91" s="11">
        <v>70.0</v>
      </c>
      <c r="AA91" s="19"/>
      <c r="AB91" s="13">
        <v>0.7777777777777778</v>
      </c>
      <c r="AC91" s="20">
        <v>68.0</v>
      </c>
      <c r="AD91" s="21">
        <v>0.8381944444444445</v>
      </c>
      <c r="AE91" s="22">
        <v>0.8423611111111111</v>
      </c>
      <c r="AF91" s="18">
        <v>73.0</v>
      </c>
      <c r="AG91" s="12">
        <v>0.9458333333333333</v>
      </c>
      <c r="AH91" s="23">
        <v>0.9645833333333333</v>
      </c>
      <c r="AI91" s="11">
        <v>80.0</v>
      </c>
      <c r="AJ91" s="12">
        <v>0.043055555555555555</v>
      </c>
      <c r="AK91" s="13">
        <v>0.04722222222222222</v>
      </c>
      <c r="AL91" s="14">
        <v>77.0</v>
      </c>
      <c r="AM91" s="15">
        <v>0.15416666666666667</v>
      </c>
      <c r="AN91" s="16">
        <v>0.16319444444444445</v>
      </c>
      <c r="AO91" s="11">
        <v>75.0</v>
      </c>
      <c r="AP91" s="12">
        <v>0.2388888888888889</v>
      </c>
      <c r="AQ91" s="13">
        <v>0.2520833333333333</v>
      </c>
      <c r="AR91" s="11">
        <v>73.0</v>
      </c>
      <c r="AS91" s="12">
        <v>0.3298611111111111</v>
      </c>
      <c r="AT91" s="13">
        <v>0.3375</v>
      </c>
      <c r="AU91" s="11">
        <v>88.0</v>
      </c>
      <c r="AV91" s="12">
        <v>0.46319444444444446</v>
      </c>
      <c r="AW91" s="13">
        <v>0.46805555555555556</v>
      </c>
      <c r="AX91" s="11">
        <v>84.0</v>
      </c>
      <c r="AY91" s="12">
        <v>0.04722222222222222</v>
      </c>
      <c r="AZ91" s="13">
        <v>0.050694444444444445</v>
      </c>
      <c r="BA91" s="24">
        <v>90.0</v>
      </c>
      <c r="BB91" s="25">
        <v>44787.62230995371</v>
      </c>
      <c r="BC91" s="12"/>
    </row>
    <row r="92" ht="15.75" customHeight="1">
      <c r="A92" s="7"/>
      <c r="B92" s="8" t="s">
        <v>147</v>
      </c>
      <c r="C92" s="9">
        <v>553.0</v>
      </c>
      <c r="D92" s="10" t="s">
        <v>54</v>
      </c>
      <c r="E92" s="11">
        <v>93.0</v>
      </c>
      <c r="F92" s="12">
        <v>0.2673611111111111</v>
      </c>
      <c r="G92" s="13">
        <v>0.26805555555555555</v>
      </c>
      <c r="H92" s="27"/>
      <c r="I92" s="28"/>
      <c r="J92" s="29"/>
      <c r="K92" s="11">
        <v>98.0</v>
      </c>
      <c r="L92" s="12">
        <v>0.3958333333333333</v>
      </c>
      <c r="M92" s="13">
        <v>0.4</v>
      </c>
      <c r="N92" s="17">
        <v>93.0</v>
      </c>
      <c r="O92" s="12">
        <v>0.4847222222222222</v>
      </c>
      <c r="P92" s="12">
        <v>0.4888888888888889</v>
      </c>
      <c r="Q92" s="11">
        <v>91.0</v>
      </c>
      <c r="R92" s="12">
        <v>0.5555555555555556</v>
      </c>
      <c r="S92" s="13">
        <v>0.5604166666666667</v>
      </c>
      <c r="T92" s="18">
        <v>88.0</v>
      </c>
      <c r="U92" s="12">
        <v>0.625</v>
      </c>
      <c r="V92" s="13">
        <v>0.6298611111111111</v>
      </c>
      <c r="W92" s="11">
        <v>84.0</v>
      </c>
      <c r="X92" s="12">
        <v>0.6743055555555556</v>
      </c>
      <c r="Y92" s="13">
        <v>0.6861111111111111</v>
      </c>
      <c r="Z92" s="11">
        <v>74.0</v>
      </c>
      <c r="AA92" s="19"/>
      <c r="AB92" s="13">
        <v>0.7798611111111111</v>
      </c>
      <c r="AC92" s="20">
        <v>72.0</v>
      </c>
      <c r="AD92" s="21">
        <v>0.8388888888888889</v>
      </c>
      <c r="AE92" s="22">
        <v>0.8444444444444444</v>
      </c>
      <c r="AF92" s="18">
        <v>76.0</v>
      </c>
      <c r="AG92" s="12">
        <v>0.9486111111111111</v>
      </c>
      <c r="AH92" s="23">
        <v>0.9659722222222222</v>
      </c>
      <c r="AI92" s="11">
        <v>79.0</v>
      </c>
      <c r="AJ92" s="12">
        <v>0.043055555555555555</v>
      </c>
      <c r="AK92" s="13">
        <v>0.04722222222222222</v>
      </c>
      <c r="AL92" s="14">
        <v>79.0</v>
      </c>
      <c r="AM92" s="15">
        <v>0.15486111111111112</v>
      </c>
      <c r="AN92" s="16">
        <v>0.16319444444444445</v>
      </c>
      <c r="AO92" s="11">
        <v>76.0</v>
      </c>
      <c r="AP92" s="12">
        <v>0.2388888888888889</v>
      </c>
      <c r="AQ92" s="13">
        <v>0.2520833333333333</v>
      </c>
      <c r="AR92" s="11">
        <v>75.0</v>
      </c>
      <c r="AS92" s="12">
        <v>0.33055555555555555</v>
      </c>
      <c r="AT92" s="13">
        <v>0.3375</v>
      </c>
      <c r="AU92" s="11">
        <v>89.0</v>
      </c>
      <c r="AV92" s="12">
        <v>0.4638888888888889</v>
      </c>
      <c r="AW92" s="13">
        <v>0.46805555555555556</v>
      </c>
      <c r="AX92" s="11">
        <v>85.0</v>
      </c>
      <c r="AY92" s="12">
        <v>0.04861111111111111</v>
      </c>
      <c r="AZ92" s="13">
        <v>0.050694444444444445</v>
      </c>
      <c r="BA92" s="24">
        <v>91.0</v>
      </c>
      <c r="BB92" s="25">
        <v>44787.62232870371</v>
      </c>
      <c r="BC92" s="12"/>
    </row>
    <row r="93" ht="15.75" customHeight="1">
      <c r="A93" s="7"/>
      <c r="B93" s="8" t="s">
        <v>148</v>
      </c>
      <c r="C93" s="9">
        <v>534.0</v>
      </c>
      <c r="D93" s="10" t="s">
        <v>54</v>
      </c>
      <c r="E93" s="11">
        <v>167.0</v>
      </c>
      <c r="F93" s="12">
        <v>0.2743055555555556</v>
      </c>
      <c r="G93" s="13">
        <v>0.275</v>
      </c>
      <c r="H93" s="14">
        <v>164.0</v>
      </c>
      <c r="I93" s="15">
        <v>0.3388888888888889</v>
      </c>
      <c r="J93" s="16">
        <v>0.3388888888888889</v>
      </c>
      <c r="K93" s="11">
        <v>152.0</v>
      </c>
      <c r="L93" s="12">
        <v>0.4131944444444444</v>
      </c>
      <c r="M93" s="13">
        <v>0.41944444444444445</v>
      </c>
      <c r="N93" s="17">
        <v>148.0</v>
      </c>
      <c r="O93" s="12">
        <v>0.5138888888888888</v>
      </c>
      <c r="P93" s="12">
        <v>0.5180555555555556</v>
      </c>
      <c r="Q93" s="11">
        <v>144.0</v>
      </c>
      <c r="R93" s="12">
        <v>0.5916666666666667</v>
      </c>
      <c r="S93" s="13">
        <v>0.5951388888888889</v>
      </c>
      <c r="T93" s="18">
        <v>144.0</v>
      </c>
      <c r="U93" s="12">
        <v>0.6673611111111111</v>
      </c>
      <c r="V93" s="13">
        <v>0.6701388888888888</v>
      </c>
      <c r="W93" s="11">
        <v>134.0</v>
      </c>
      <c r="X93" s="12">
        <v>0.71875</v>
      </c>
      <c r="Y93" s="13">
        <v>0.7305555555555555</v>
      </c>
      <c r="Z93" s="11">
        <v>122.0</v>
      </c>
      <c r="AA93" s="19"/>
      <c r="AB93" s="13">
        <v>0.8423611111111111</v>
      </c>
      <c r="AC93" s="20">
        <v>118.0</v>
      </c>
      <c r="AD93" s="21">
        <v>0.9097222222222222</v>
      </c>
      <c r="AE93" s="22">
        <v>0.9166666666666666</v>
      </c>
      <c r="AF93" s="18">
        <v>115.0</v>
      </c>
      <c r="AG93" s="12">
        <v>0.027777777777777776</v>
      </c>
      <c r="AH93" s="23">
        <v>0.04513888888888889</v>
      </c>
      <c r="AI93" s="11">
        <v>114.0</v>
      </c>
      <c r="AJ93" s="12">
        <v>0.11736111111111111</v>
      </c>
      <c r="AK93" s="13">
        <v>0.12222222222222222</v>
      </c>
      <c r="AL93" s="14">
        <v>113.0</v>
      </c>
      <c r="AM93" s="15">
        <v>0.2361111111111111</v>
      </c>
      <c r="AN93" s="16">
        <v>0.24513888888888888</v>
      </c>
      <c r="AO93" s="11">
        <v>105.0</v>
      </c>
      <c r="AP93" s="12">
        <v>0.3034722222222222</v>
      </c>
      <c r="AQ93" s="13">
        <v>0.3173611111111111</v>
      </c>
      <c r="AR93" s="11">
        <v>105.0</v>
      </c>
      <c r="AS93" s="12">
        <v>0.3819444444444444</v>
      </c>
      <c r="AT93" s="13">
        <v>0.3888888888888889</v>
      </c>
      <c r="AU93" s="11">
        <v>100.0</v>
      </c>
      <c r="AV93" s="12">
        <v>0.4847222222222222</v>
      </c>
      <c r="AW93" s="13">
        <v>0.4965277777777778</v>
      </c>
      <c r="AX93" s="11">
        <v>95.0</v>
      </c>
      <c r="AY93" s="12">
        <v>0.06527777777777778</v>
      </c>
      <c r="AZ93" s="13">
        <v>0.06805555555555555</v>
      </c>
      <c r="BA93" s="24">
        <v>92.0</v>
      </c>
      <c r="BB93" s="25">
        <v>44787.624508796296</v>
      </c>
      <c r="BC93" s="12"/>
    </row>
    <row r="94" ht="15.75" customHeight="1">
      <c r="A94" s="7"/>
      <c r="B94" s="8" t="s">
        <v>149</v>
      </c>
      <c r="C94" s="9">
        <v>595.0</v>
      </c>
      <c r="D94" s="10" t="s">
        <v>54</v>
      </c>
      <c r="E94" s="11">
        <v>137.0</v>
      </c>
      <c r="F94" s="12">
        <v>0.27152777777777776</v>
      </c>
      <c r="G94" s="13">
        <v>0.2722222222222222</v>
      </c>
      <c r="H94" s="14">
        <v>128.0</v>
      </c>
      <c r="I94" s="15">
        <v>0.3326388888888889</v>
      </c>
      <c r="J94" s="16">
        <v>0.3326388888888889</v>
      </c>
      <c r="K94" s="11">
        <v>162.0</v>
      </c>
      <c r="L94" s="12">
        <v>0.41597222222222224</v>
      </c>
      <c r="M94" s="13">
        <v>0.4284722222222222</v>
      </c>
      <c r="N94" s="17">
        <v>164.0</v>
      </c>
      <c r="O94" s="12">
        <v>0.5270833333333333</v>
      </c>
      <c r="P94" s="12">
        <v>0.5368055555555555</v>
      </c>
      <c r="Q94" s="11">
        <v>167.0</v>
      </c>
      <c r="R94" s="12">
        <v>0.6111111111111112</v>
      </c>
      <c r="S94" s="13">
        <v>0.6194444444444445</v>
      </c>
      <c r="T94" s="18">
        <v>164.0</v>
      </c>
      <c r="U94" s="12">
        <v>0.6923611111111111</v>
      </c>
      <c r="V94" s="13">
        <v>0.6944444444444444</v>
      </c>
      <c r="W94" s="11">
        <v>148.0</v>
      </c>
      <c r="X94" s="12">
        <v>0.7375</v>
      </c>
      <c r="Y94" s="13">
        <v>0.7555555555555555</v>
      </c>
      <c r="Z94" s="11">
        <v>155.0</v>
      </c>
      <c r="AA94" s="26"/>
      <c r="AB94" s="13">
        <v>0.88125</v>
      </c>
      <c r="AC94" s="20">
        <v>150.0</v>
      </c>
      <c r="AD94" s="21">
        <v>0.9548611111111112</v>
      </c>
      <c r="AE94" s="22">
        <v>0.9638888888888889</v>
      </c>
      <c r="AF94" s="18">
        <v>143.0</v>
      </c>
      <c r="AG94" s="12">
        <v>0.07847222222222222</v>
      </c>
      <c r="AH94" s="23">
        <v>0.10069444444444445</v>
      </c>
      <c r="AI94" s="11">
        <v>135.0</v>
      </c>
      <c r="AJ94" s="12">
        <v>0.17430555555555555</v>
      </c>
      <c r="AK94" s="13">
        <v>0.17916666666666667</v>
      </c>
      <c r="AL94" s="14">
        <v>125.0</v>
      </c>
      <c r="AM94" s="15">
        <v>0.2673611111111111</v>
      </c>
      <c r="AN94" s="16">
        <v>0.2743055555555556</v>
      </c>
      <c r="AO94" s="11">
        <v>115.0</v>
      </c>
      <c r="AP94" s="12">
        <v>0.31875</v>
      </c>
      <c r="AQ94" s="13">
        <v>0.3326388888888889</v>
      </c>
      <c r="AR94" s="11">
        <v>110.0</v>
      </c>
      <c r="AS94" s="12">
        <v>0.40208333333333335</v>
      </c>
      <c r="AT94" s="13">
        <v>0.41041666666666665</v>
      </c>
      <c r="AU94" s="11">
        <v>107.0</v>
      </c>
      <c r="AV94" s="12">
        <v>0.5027777777777778</v>
      </c>
      <c r="AW94" s="13">
        <v>0.5090277777777777</v>
      </c>
      <c r="AX94" s="11">
        <v>97.0</v>
      </c>
      <c r="AY94" s="12">
        <v>0.07708333333333334</v>
      </c>
      <c r="AZ94" s="13">
        <v>0.07847222222222222</v>
      </c>
      <c r="BA94" s="24">
        <v>93.0</v>
      </c>
      <c r="BB94" s="25">
        <v>44787.624651157406</v>
      </c>
      <c r="BC94" s="12"/>
    </row>
    <row r="95" ht="15.75" customHeight="1">
      <c r="A95" s="7"/>
      <c r="B95" s="8" t="s">
        <v>150</v>
      </c>
      <c r="C95" s="9">
        <v>688.0</v>
      </c>
      <c r="D95" s="10" t="s">
        <v>66</v>
      </c>
      <c r="E95" s="11">
        <v>152.0</v>
      </c>
      <c r="F95" s="12">
        <v>0.2743055555555556</v>
      </c>
      <c r="G95" s="13">
        <v>0.275</v>
      </c>
      <c r="H95" s="14">
        <v>140.0</v>
      </c>
      <c r="I95" s="15">
        <v>0.33611111111111114</v>
      </c>
      <c r="J95" s="16">
        <v>0.33611111111111114</v>
      </c>
      <c r="K95" s="11">
        <v>148.0</v>
      </c>
      <c r="L95" s="12">
        <v>0.4125</v>
      </c>
      <c r="M95" s="13">
        <v>0.42083333333333334</v>
      </c>
      <c r="N95" s="17">
        <v>128.0</v>
      </c>
      <c r="O95" s="12">
        <v>0.5041666666666667</v>
      </c>
      <c r="P95" s="12">
        <v>0.5076388888888889</v>
      </c>
      <c r="Q95" s="11">
        <v>125.0</v>
      </c>
      <c r="R95" s="12">
        <v>0.5798611111111112</v>
      </c>
      <c r="S95" s="13">
        <v>0.5826388888888889</v>
      </c>
      <c r="T95" s="18">
        <v>113.0</v>
      </c>
      <c r="U95" s="12">
        <v>0.6479166666666667</v>
      </c>
      <c r="V95" s="13">
        <v>0.65</v>
      </c>
      <c r="W95" s="11">
        <v>104.0</v>
      </c>
      <c r="X95" s="12">
        <v>0.6958333333333333</v>
      </c>
      <c r="Y95" s="13">
        <v>0.70625</v>
      </c>
      <c r="Z95" s="11">
        <v>104.0</v>
      </c>
      <c r="AA95" s="19"/>
      <c r="AB95" s="13">
        <v>0.8180555555555555</v>
      </c>
      <c r="AC95" s="20">
        <v>104.0</v>
      </c>
      <c r="AD95" s="21">
        <v>0.8881944444444444</v>
      </c>
      <c r="AE95" s="22">
        <v>0.8930555555555556</v>
      </c>
      <c r="AF95" s="18">
        <v>99.0</v>
      </c>
      <c r="AG95" s="12">
        <v>0.9965277777777778</v>
      </c>
      <c r="AH95" s="23">
        <v>0.004166666666666667</v>
      </c>
      <c r="AI95" s="11">
        <v>93.0</v>
      </c>
      <c r="AJ95" s="12">
        <v>0.08402777777777778</v>
      </c>
      <c r="AK95" s="13">
        <v>0.08819444444444445</v>
      </c>
      <c r="AL95" s="14">
        <v>94.0</v>
      </c>
      <c r="AM95" s="15">
        <v>0.2013888888888889</v>
      </c>
      <c r="AN95" s="16">
        <v>0.2048611111111111</v>
      </c>
      <c r="AO95" s="11">
        <v>91.0</v>
      </c>
      <c r="AP95" s="12">
        <v>0.27152777777777776</v>
      </c>
      <c r="AQ95" s="13">
        <v>0.2777777777777778</v>
      </c>
      <c r="AR95" s="11">
        <v>87.0</v>
      </c>
      <c r="AS95" s="12">
        <v>0.35208333333333336</v>
      </c>
      <c r="AT95" s="13">
        <v>0.3611111111111111</v>
      </c>
      <c r="AU95" s="11">
        <v>90.0</v>
      </c>
      <c r="AV95" s="12">
        <v>0.46597222222222223</v>
      </c>
      <c r="AW95" s="13">
        <v>0.4722222222222222</v>
      </c>
      <c r="AX95" s="11">
        <v>92.0</v>
      </c>
      <c r="AY95" s="12">
        <v>0.06319444444444444</v>
      </c>
      <c r="AZ95" s="13">
        <v>0.06527777777777778</v>
      </c>
      <c r="BA95" s="24">
        <v>94.0</v>
      </c>
      <c r="BB95" s="25">
        <v>44787.62736805556</v>
      </c>
      <c r="BC95" s="12"/>
    </row>
    <row r="96" ht="15.75" customHeight="1">
      <c r="A96" s="7"/>
      <c r="B96" s="8" t="s">
        <v>151</v>
      </c>
      <c r="C96" s="9">
        <v>625.0</v>
      </c>
      <c r="D96" s="10" t="s">
        <v>66</v>
      </c>
      <c r="E96" s="11">
        <v>134.0</v>
      </c>
      <c r="F96" s="12">
        <v>0.27152777777777776</v>
      </c>
      <c r="G96" s="13">
        <v>0.2722222222222222</v>
      </c>
      <c r="H96" s="14">
        <v>182.0</v>
      </c>
      <c r="I96" s="15">
        <v>0.34444444444444444</v>
      </c>
      <c r="J96" s="16">
        <v>0.34444444444444444</v>
      </c>
      <c r="K96" s="11">
        <v>125.0</v>
      </c>
      <c r="L96" s="12">
        <v>0.4041666666666667</v>
      </c>
      <c r="M96" s="13">
        <v>0.4125</v>
      </c>
      <c r="N96" s="17">
        <v>112.0</v>
      </c>
      <c r="O96" s="12">
        <v>0.4979166666666667</v>
      </c>
      <c r="P96" s="12">
        <v>0.5</v>
      </c>
      <c r="Q96" s="11">
        <v>107.0</v>
      </c>
      <c r="R96" s="12">
        <v>0.56875</v>
      </c>
      <c r="S96" s="13">
        <v>0.5715277777777777</v>
      </c>
      <c r="T96" s="18">
        <v>100.0</v>
      </c>
      <c r="U96" s="12">
        <v>0.6368055555555555</v>
      </c>
      <c r="V96" s="13">
        <v>0.6402777777777777</v>
      </c>
      <c r="W96" s="11">
        <v>96.0</v>
      </c>
      <c r="X96" s="12">
        <v>0.6854166666666667</v>
      </c>
      <c r="Y96" s="13">
        <v>0.6993055555555555</v>
      </c>
      <c r="Z96" s="11">
        <v>85.0</v>
      </c>
      <c r="AA96" s="19"/>
      <c r="AB96" s="13">
        <v>0.7930555555555555</v>
      </c>
      <c r="AC96" s="20">
        <v>88.0</v>
      </c>
      <c r="AD96" s="21">
        <v>0.8583333333333333</v>
      </c>
      <c r="AE96" s="22">
        <v>0.8604166666666667</v>
      </c>
      <c r="AF96" s="18">
        <v>78.0</v>
      </c>
      <c r="AG96" s="12">
        <v>0.9486111111111111</v>
      </c>
      <c r="AH96" s="23">
        <v>0.9597222222222223</v>
      </c>
      <c r="AI96" s="11">
        <v>74.0</v>
      </c>
      <c r="AJ96" s="12">
        <v>0.03125</v>
      </c>
      <c r="AK96" s="13">
        <v>0.03680555555555556</v>
      </c>
      <c r="AL96" s="14">
        <v>68.0</v>
      </c>
      <c r="AM96" s="15">
        <v>0.1361111111111111</v>
      </c>
      <c r="AN96" s="16">
        <v>0.13958333333333334</v>
      </c>
      <c r="AO96" s="11">
        <v>62.0</v>
      </c>
      <c r="AP96" s="12">
        <v>0.20555555555555555</v>
      </c>
      <c r="AQ96" s="13">
        <v>0.2263888888888889</v>
      </c>
      <c r="AR96" s="11">
        <v>64.0</v>
      </c>
      <c r="AS96" s="12">
        <v>0.30416666666666664</v>
      </c>
      <c r="AT96" s="13">
        <v>0.3076388888888889</v>
      </c>
      <c r="AU96" s="11">
        <v>67.0</v>
      </c>
      <c r="AV96" s="12">
        <v>0.4305555555555556</v>
      </c>
      <c r="AW96" s="13">
        <v>0.4409722222222222</v>
      </c>
      <c r="AX96" s="11">
        <v>87.0</v>
      </c>
      <c r="AY96" s="12">
        <v>0.05</v>
      </c>
      <c r="AZ96" s="13">
        <v>0.05625</v>
      </c>
      <c r="BA96" s="24">
        <v>95.0</v>
      </c>
      <c r="BB96" s="25">
        <v>44787.62904803241</v>
      </c>
      <c r="BC96" s="12"/>
    </row>
    <row r="97" ht="15.75" customHeight="1">
      <c r="A97" s="7"/>
      <c r="B97" s="8" t="s">
        <v>152</v>
      </c>
      <c r="C97" s="9">
        <v>706.0</v>
      </c>
      <c r="D97" s="10" t="s">
        <v>54</v>
      </c>
      <c r="E97" s="11">
        <v>79.0</v>
      </c>
      <c r="F97" s="12">
        <v>0.2659722222222222</v>
      </c>
      <c r="G97" s="13">
        <v>0.26666666666666666</v>
      </c>
      <c r="H97" s="14">
        <v>63.0</v>
      </c>
      <c r="I97" s="15">
        <v>0.31805555555555554</v>
      </c>
      <c r="J97" s="16">
        <v>0.31805555555555554</v>
      </c>
      <c r="K97" s="11">
        <v>62.0</v>
      </c>
      <c r="L97" s="12">
        <v>0.38333333333333336</v>
      </c>
      <c r="M97" s="13">
        <v>0.38958333333333334</v>
      </c>
      <c r="N97" s="17">
        <v>64.0</v>
      </c>
      <c r="O97" s="12">
        <v>0.46944444444444444</v>
      </c>
      <c r="P97" s="12">
        <v>0.4722222222222222</v>
      </c>
      <c r="Q97" s="11">
        <v>66.0</v>
      </c>
      <c r="R97" s="12">
        <v>0.5402777777777777</v>
      </c>
      <c r="S97" s="13">
        <v>0.5451388888888888</v>
      </c>
      <c r="T97" s="18">
        <v>73.0</v>
      </c>
      <c r="U97" s="12">
        <v>0.6097222222222223</v>
      </c>
      <c r="V97" s="13">
        <v>0.6118055555555556</v>
      </c>
      <c r="W97" s="11">
        <v>81.0</v>
      </c>
      <c r="X97" s="12">
        <v>0.6694444444444444</v>
      </c>
      <c r="Y97" s="13">
        <v>0.6805555555555556</v>
      </c>
      <c r="Z97" s="11">
        <v>84.0</v>
      </c>
      <c r="AA97" s="19"/>
      <c r="AB97" s="13">
        <v>0.7902777777777777</v>
      </c>
      <c r="AC97" s="20">
        <v>86.0</v>
      </c>
      <c r="AD97" s="21">
        <v>0.8569444444444444</v>
      </c>
      <c r="AE97" s="22">
        <v>0.8645833333333334</v>
      </c>
      <c r="AF97" s="18">
        <v>85.0</v>
      </c>
      <c r="AG97" s="12">
        <v>0.96875</v>
      </c>
      <c r="AH97" s="23">
        <v>0.9840277777777777</v>
      </c>
      <c r="AI97" s="11">
        <v>83.0</v>
      </c>
      <c r="AJ97" s="12">
        <v>0.06180555555555556</v>
      </c>
      <c r="AK97" s="13">
        <v>0.07222222222222222</v>
      </c>
      <c r="AL97" s="14">
        <v>83.0</v>
      </c>
      <c r="AM97" s="15">
        <v>0.17291666666666666</v>
      </c>
      <c r="AN97" s="16">
        <v>0.18125</v>
      </c>
      <c r="AO97" s="11">
        <v>77.0</v>
      </c>
      <c r="AP97" s="12">
        <v>0.24166666666666667</v>
      </c>
      <c r="AQ97" s="13">
        <v>0.25763888888888886</v>
      </c>
      <c r="AR97" s="11">
        <v>74.0</v>
      </c>
      <c r="AS97" s="12">
        <v>0.3298611111111111</v>
      </c>
      <c r="AT97" s="13">
        <v>0.3423611111111111</v>
      </c>
      <c r="AU97" s="11">
        <v>83.0</v>
      </c>
      <c r="AV97" s="12">
        <v>0.4173611111111111</v>
      </c>
      <c r="AW97" s="13">
        <v>0.46597222222222223</v>
      </c>
      <c r="AX97" s="11">
        <v>90.0</v>
      </c>
      <c r="AY97" s="12">
        <v>0.05625</v>
      </c>
      <c r="AZ97" s="13">
        <v>0.059027777777777776</v>
      </c>
      <c r="BA97" s="24">
        <v>96.0</v>
      </c>
      <c r="BB97" s="25">
        <v>44787.62998275463</v>
      </c>
      <c r="BC97" s="12"/>
    </row>
    <row r="98" ht="15.75" customHeight="1">
      <c r="A98" s="7"/>
      <c r="B98" s="8" t="s">
        <v>153</v>
      </c>
      <c r="C98" s="9">
        <v>695.0</v>
      </c>
      <c r="D98" s="10" t="s">
        <v>54</v>
      </c>
      <c r="E98" s="11">
        <v>68.0</v>
      </c>
      <c r="F98" s="12">
        <v>0.2638888888888889</v>
      </c>
      <c r="G98" s="13">
        <v>0.26458333333333334</v>
      </c>
      <c r="H98" s="14">
        <v>64.0</v>
      </c>
      <c r="I98" s="15">
        <v>0.31875</v>
      </c>
      <c r="J98" s="16">
        <v>0.31875</v>
      </c>
      <c r="K98" s="11">
        <v>64.0</v>
      </c>
      <c r="L98" s="12">
        <v>0.3840277777777778</v>
      </c>
      <c r="M98" s="13">
        <v>0.3875</v>
      </c>
      <c r="N98" s="17">
        <v>63.0</v>
      </c>
      <c r="O98" s="12">
        <v>0.46944444444444444</v>
      </c>
      <c r="P98" s="12">
        <v>0.47291666666666665</v>
      </c>
      <c r="Q98" s="11">
        <v>70.0</v>
      </c>
      <c r="R98" s="12">
        <v>0.5430555555555555</v>
      </c>
      <c r="S98" s="13">
        <v>0.5472222222222223</v>
      </c>
      <c r="T98" s="18">
        <v>68.0</v>
      </c>
      <c r="U98" s="12">
        <v>0.6069444444444444</v>
      </c>
      <c r="V98" s="13">
        <v>0.6111111111111112</v>
      </c>
      <c r="W98" s="11">
        <v>79.0</v>
      </c>
      <c r="X98" s="12">
        <v>0.6694444444444444</v>
      </c>
      <c r="Y98" s="13">
        <v>0.68125</v>
      </c>
      <c r="Z98" s="11">
        <v>83.0</v>
      </c>
      <c r="AA98" s="19"/>
      <c r="AB98" s="13">
        <v>0.7902777777777777</v>
      </c>
      <c r="AC98" s="20">
        <v>92.0</v>
      </c>
      <c r="AD98" s="21">
        <v>0.8652777777777778</v>
      </c>
      <c r="AE98" s="22">
        <v>0.8652777777777778</v>
      </c>
      <c r="AF98" s="18">
        <v>88.0</v>
      </c>
      <c r="AG98" s="12">
        <v>0.9736111111111111</v>
      </c>
      <c r="AH98" s="23">
        <v>0.9805555555555555</v>
      </c>
      <c r="AI98" s="11">
        <v>84.0</v>
      </c>
      <c r="AJ98" s="12">
        <v>0.06388888888888888</v>
      </c>
      <c r="AK98" s="13">
        <v>0.06875</v>
      </c>
      <c r="AL98" s="14">
        <v>86.0</v>
      </c>
      <c r="AM98" s="15">
        <v>0.18472222222222223</v>
      </c>
      <c r="AN98" s="16">
        <v>0.1875</v>
      </c>
      <c r="AO98" s="11">
        <v>88.0</v>
      </c>
      <c r="AP98" s="12">
        <v>0.26944444444444443</v>
      </c>
      <c r="AQ98" s="13">
        <v>0.28888888888888886</v>
      </c>
      <c r="AR98" s="11">
        <v>97.0</v>
      </c>
      <c r="AS98" s="12">
        <v>0.36527777777777776</v>
      </c>
      <c r="AT98" s="13">
        <v>0.37083333333333335</v>
      </c>
      <c r="AU98" s="11">
        <v>94.0</v>
      </c>
      <c r="AV98" s="12">
        <v>0.47708333333333336</v>
      </c>
      <c r="AW98" s="13">
        <v>0.4798611111111111</v>
      </c>
      <c r="AX98" s="11">
        <v>96.0</v>
      </c>
      <c r="AY98" s="12">
        <v>0.07083333333333333</v>
      </c>
      <c r="AZ98" s="13">
        <v>0.07222222222222222</v>
      </c>
      <c r="BA98" s="24">
        <v>97.0</v>
      </c>
      <c r="BB98" s="25">
        <v>44787.634495370374</v>
      </c>
      <c r="BC98" s="12"/>
    </row>
    <row r="99" ht="15.75" customHeight="1">
      <c r="A99" s="7"/>
      <c r="B99" s="8" t="s">
        <v>154</v>
      </c>
      <c r="C99" s="9">
        <v>528.0</v>
      </c>
      <c r="D99" s="10" t="s">
        <v>54</v>
      </c>
      <c r="E99" s="11">
        <v>84.0</v>
      </c>
      <c r="F99" s="12">
        <v>0.2659722222222222</v>
      </c>
      <c r="G99" s="13">
        <v>0.26666666666666666</v>
      </c>
      <c r="H99" s="14">
        <v>78.0</v>
      </c>
      <c r="I99" s="15">
        <v>0.32083333333333336</v>
      </c>
      <c r="J99" s="16">
        <v>0.32083333333333336</v>
      </c>
      <c r="K99" s="32"/>
      <c r="L99" s="19"/>
      <c r="M99" s="39"/>
      <c r="N99" s="17">
        <v>90.0</v>
      </c>
      <c r="O99" s="12">
        <v>0.4840277777777778</v>
      </c>
      <c r="P99" s="12">
        <v>0.48680555555555555</v>
      </c>
      <c r="Q99" s="11">
        <v>95.0</v>
      </c>
      <c r="R99" s="12">
        <v>0.5569444444444445</v>
      </c>
      <c r="S99" s="13">
        <v>0.5590277777777778</v>
      </c>
      <c r="T99" s="18">
        <v>94.0</v>
      </c>
      <c r="U99" s="12">
        <v>0.6284722222222222</v>
      </c>
      <c r="V99" s="13">
        <v>0.63125</v>
      </c>
      <c r="W99" s="11">
        <v>93.0</v>
      </c>
      <c r="X99" s="12">
        <v>0.6805555555555556</v>
      </c>
      <c r="Y99" s="13">
        <v>0.6930555555555555</v>
      </c>
      <c r="Z99" s="11">
        <v>94.0</v>
      </c>
      <c r="AA99" s="19"/>
      <c r="AB99" s="13">
        <v>0.8013888888888889</v>
      </c>
      <c r="AC99" s="20">
        <v>95.0</v>
      </c>
      <c r="AD99" s="21">
        <v>0.8708333333333333</v>
      </c>
      <c r="AE99" s="22">
        <v>0.8736111111111111</v>
      </c>
      <c r="AF99" s="18">
        <v>91.0</v>
      </c>
      <c r="AG99" s="12">
        <v>0.9833333333333333</v>
      </c>
      <c r="AH99" s="23">
        <v>0.004166666666666667</v>
      </c>
      <c r="AI99" s="11">
        <v>92.0</v>
      </c>
      <c r="AJ99" s="12">
        <v>0.08333333333333333</v>
      </c>
      <c r="AK99" s="13">
        <v>0.08819444444444445</v>
      </c>
      <c r="AL99" s="14">
        <v>95.0</v>
      </c>
      <c r="AM99" s="15">
        <v>0.20208333333333334</v>
      </c>
      <c r="AN99" s="16">
        <v>0.20902777777777778</v>
      </c>
      <c r="AO99" s="11">
        <v>98.0</v>
      </c>
      <c r="AP99" s="12">
        <v>0.28125</v>
      </c>
      <c r="AQ99" s="13">
        <v>0.2847222222222222</v>
      </c>
      <c r="AR99" s="11">
        <v>94.0</v>
      </c>
      <c r="AS99" s="12">
        <v>0.3625</v>
      </c>
      <c r="AT99" s="13">
        <v>0.36666666666666664</v>
      </c>
      <c r="AU99" s="11">
        <v>97.0</v>
      </c>
      <c r="AV99" s="12">
        <v>0.48333333333333334</v>
      </c>
      <c r="AW99" s="13">
        <v>0.4875</v>
      </c>
      <c r="AX99" s="11">
        <v>98.0</v>
      </c>
      <c r="AY99" s="12">
        <v>0.07708333333333334</v>
      </c>
      <c r="AZ99" s="13">
        <v>0.07847222222222222</v>
      </c>
      <c r="BA99" s="24">
        <v>98.0</v>
      </c>
      <c r="BB99" s="25">
        <v>44787.63678738426</v>
      </c>
      <c r="BC99" s="12"/>
    </row>
    <row r="100" ht="15.75" customHeight="1">
      <c r="A100" s="7"/>
      <c r="B100" s="8" t="s">
        <v>155</v>
      </c>
      <c r="C100" s="9">
        <v>571.0</v>
      </c>
      <c r="D100" s="10" t="s">
        <v>54</v>
      </c>
      <c r="E100" s="11">
        <v>50.0</v>
      </c>
      <c r="F100" s="12">
        <v>0.26180555555555557</v>
      </c>
      <c r="G100" s="13">
        <v>0.2625</v>
      </c>
      <c r="H100" s="14">
        <v>54.0</v>
      </c>
      <c r="I100" s="15">
        <v>0.3145833333333333</v>
      </c>
      <c r="J100" s="16">
        <v>0.3145833333333333</v>
      </c>
      <c r="K100" s="11">
        <v>61.0</v>
      </c>
      <c r="L100" s="12">
        <v>0.38263888888888886</v>
      </c>
      <c r="M100" s="13">
        <v>0.3888888888888889</v>
      </c>
      <c r="N100" s="17">
        <v>77.0</v>
      </c>
      <c r="O100" s="12">
        <v>0.475</v>
      </c>
      <c r="P100" s="12">
        <v>0.4791666666666667</v>
      </c>
      <c r="Q100" s="11">
        <v>82.0</v>
      </c>
      <c r="R100" s="12">
        <v>0.55</v>
      </c>
      <c r="S100" s="13">
        <v>0.5534722222222223</v>
      </c>
      <c r="T100" s="18">
        <v>83.0</v>
      </c>
      <c r="U100" s="12">
        <v>0.6229166666666667</v>
      </c>
      <c r="V100" s="13">
        <v>0.6243055555555556</v>
      </c>
      <c r="W100" s="11">
        <v>80.0</v>
      </c>
      <c r="X100" s="12">
        <v>0.6694444444444444</v>
      </c>
      <c r="Y100" s="13">
        <v>0.7</v>
      </c>
      <c r="Z100" s="11">
        <v>99.0</v>
      </c>
      <c r="AA100" s="19"/>
      <c r="AB100" s="13">
        <v>0.8111111111111111</v>
      </c>
      <c r="AC100" s="20">
        <v>97.0</v>
      </c>
      <c r="AD100" s="21">
        <v>0.8777777777777778</v>
      </c>
      <c r="AE100" s="22">
        <v>0.8875</v>
      </c>
      <c r="AF100" s="18">
        <v>97.0</v>
      </c>
      <c r="AG100" s="12">
        <v>0.9888888888888889</v>
      </c>
      <c r="AH100" s="23">
        <v>0.010416666666666666</v>
      </c>
      <c r="AI100" s="11">
        <v>98.0</v>
      </c>
      <c r="AJ100" s="12">
        <v>0.08958333333333333</v>
      </c>
      <c r="AK100" s="13">
        <v>0.10069444444444445</v>
      </c>
      <c r="AL100" s="14">
        <v>98.0</v>
      </c>
      <c r="AM100" s="15">
        <v>0.20277777777777778</v>
      </c>
      <c r="AN100" s="16">
        <v>0.21041666666666667</v>
      </c>
      <c r="AO100" s="11">
        <v>89.0</v>
      </c>
      <c r="AP100" s="12">
        <v>0.26944444444444443</v>
      </c>
      <c r="AQ100" s="13">
        <v>0.2916666666666667</v>
      </c>
      <c r="AR100" s="11">
        <v>101.0</v>
      </c>
      <c r="AS100" s="12">
        <v>0.37222222222222223</v>
      </c>
      <c r="AT100" s="13">
        <v>0.38263888888888886</v>
      </c>
      <c r="AU100" s="11">
        <v>104.0</v>
      </c>
      <c r="AV100" s="12">
        <v>0.07361111111111111</v>
      </c>
      <c r="AW100" s="13">
        <v>0.4986111111111111</v>
      </c>
      <c r="AX100" s="11">
        <v>102.0</v>
      </c>
      <c r="AY100" s="12">
        <v>0.08055555555555556</v>
      </c>
      <c r="AZ100" s="13">
        <v>0.08333333333333333</v>
      </c>
      <c r="BA100" s="24">
        <v>99.0</v>
      </c>
      <c r="BB100" s="25">
        <v>44787.650917824074</v>
      </c>
      <c r="BC100" s="12"/>
    </row>
    <row r="101" ht="15.75" customHeight="1">
      <c r="A101" s="7"/>
      <c r="B101" s="8" t="s">
        <v>156</v>
      </c>
      <c r="C101" s="9">
        <v>693.0</v>
      </c>
      <c r="D101" s="10" t="s">
        <v>66</v>
      </c>
      <c r="E101" s="11">
        <v>129.0</v>
      </c>
      <c r="F101" s="12">
        <v>0.2708333333333333</v>
      </c>
      <c r="G101" s="13">
        <v>0.27152777777777776</v>
      </c>
      <c r="H101" s="14">
        <v>123.0</v>
      </c>
      <c r="I101" s="15">
        <v>0.33125</v>
      </c>
      <c r="J101" s="16">
        <v>0.33125</v>
      </c>
      <c r="K101" s="11">
        <v>111.0</v>
      </c>
      <c r="L101" s="40">
        <v>0.40069444444444446</v>
      </c>
      <c r="M101" s="31">
        <v>0.40208333333333335</v>
      </c>
      <c r="N101" s="17">
        <v>111.0</v>
      </c>
      <c r="O101" s="12">
        <v>0.49722222222222223</v>
      </c>
      <c r="P101" s="12">
        <v>0.5</v>
      </c>
      <c r="Q101" s="11">
        <v>110.0</v>
      </c>
      <c r="R101" s="12">
        <v>0.5729166666666666</v>
      </c>
      <c r="S101" s="13">
        <v>0.5763888888888888</v>
      </c>
      <c r="T101" s="18">
        <v>106.0</v>
      </c>
      <c r="U101" s="12">
        <v>0.64375</v>
      </c>
      <c r="V101" s="13">
        <v>0.6458333333333334</v>
      </c>
      <c r="W101" s="11">
        <v>109.0</v>
      </c>
      <c r="X101" s="12">
        <v>0.6993055555555555</v>
      </c>
      <c r="Y101" s="13">
        <v>0.7069444444444445</v>
      </c>
      <c r="Z101" s="11">
        <v>105.0</v>
      </c>
      <c r="AA101" s="19"/>
      <c r="AB101" s="13">
        <v>0.81875</v>
      </c>
      <c r="AC101" s="20">
        <v>101.0</v>
      </c>
      <c r="AD101" s="21">
        <v>0.8861111111111111</v>
      </c>
      <c r="AE101" s="22">
        <v>0.8888888888888888</v>
      </c>
      <c r="AF101" s="18">
        <v>101.0</v>
      </c>
      <c r="AG101" s="12">
        <v>0.001388888888888889</v>
      </c>
      <c r="AH101" s="23">
        <v>0.010416666666666666</v>
      </c>
      <c r="AI101" s="11">
        <v>99.0</v>
      </c>
      <c r="AJ101" s="12">
        <v>0.09027777777777778</v>
      </c>
      <c r="AK101" s="13">
        <v>0.09236111111111112</v>
      </c>
      <c r="AL101" s="14">
        <v>104.0</v>
      </c>
      <c r="AM101" s="15">
        <v>0.21041666666666667</v>
      </c>
      <c r="AN101" s="16">
        <v>0.21666666666666667</v>
      </c>
      <c r="AO101" s="11">
        <v>99.0</v>
      </c>
      <c r="AP101" s="12">
        <v>0.28125</v>
      </c>
      <c r="AQ101" s="13">
        <v>0.28888888888888886</v>
      </c>
      <c r="AR101" s="11">
        <v>96.0</v>
      </c>
      <c r="AS101" s="12">
        <v>0.3638888888888889</v>
      </c>
      <c r="AT101" s="13">
        <v>0.3736111111111111</v>
      </c>
      <c r="AU101" s="11">
        <v>103.0</v>
      </c>
      <c r="AV101" s="12">
        <v>0.48819444444444443</v>
      </c>
      <c r="AW101" s="13">
        <v>0.4930555555555556</v>
      </c>
      <c r="AX101" s="11">
        <v>105.0</v>
      </c>
      <c r="AY101" s="12">
        <v>0.08333333333333333</v>
      </c>
      <c r="AZ101" s="13">
        <v>0.08472222222222223</v>
      </c>
      <c r="BA101" s="24">
        <v>100.0</v>
      </c>
      <c r="BB101" s="25">
        <v>44787.651230787036</v>
      </c>
      <c r="BC101" s="12"/>
    </row>
    <row r="102" ht="15.75" customHeight="1">
      <c r="A102" s="7"/>
      <c r="B102" s="8" t="s">
        <v>157</v>
      </c>
      <c r="C102" s="9">
        <v>696.0</v>
      </c>
      <c r="D102" s="10" t="s">
        <v>54</v>
      </c>
      <c r="E102" s="11">
        <v>113.0</v>
      </c>
      <c r="F102" s="12">
        <v>0.26944444444444443</v>
      </c>
      <c r="G102" s="13">
        <v>0.2701388888888889</v>
      </c>
      <c r="H102" s="14">
        <v>109.0</v>
      </c>
      <c r="I102" s="15">
        <v>0.32569444444444445</v>
      </c>
      <c r="J102" s="16">
        <v>0.32569444444444445</v>
      </c>
      <c r="K102" s="11">
        <v>91.0</v>
      </c>
      <c r="L102" s="12">
        <v>0.39305555555555555</v>
      </c>
      <c r="M102" s="13">
        <v>0.39861111111111114</v>
      </c>
      <c r="N102" s="17">
        <v>91.0</v>
      </c>
      <c r="O102" s="12">
        <v>0.4840277777777778</v>
      </c>
      <c r="P102" s="12">
        <v>0.4875</v>
      </c>
      <c r="Q102" s="11">
        <v>89.0</v>
      </c>
      <c r="R102" s="12">
        <v>0.5555555555555556</v>
      </c>
      <c r="S102" s="13">
        <v>0.5604166666666667</v>
      </c>
      <c r="T102" s="18">
        <v>90.0</v>
      </c>
      <c r="U102" s="12">
        <v>0.6256944444444444</v>
      </c>
      <c r="V102" s="13">
        <v>0.6291666666666667</v>
      </c>
      <c r="W102" s="11">
        <v>86.0</v>
      </c>
      <c r="X102" s="12">
        <v>0.6743055555555556</v>
      </c>
      <c r="Y102" s="13">
        <v>0.6888888888888889</v>
      </c>
      <c r="Z102" s="11">
        <v>91.0</v>
      </c>
      <c r="AA102" s="19"/>
      <c r="AB102" s="13">
        <v>0.7972222222222223</v>
      </c>
      <c r="AC102" s="20">
        <v>91.0</v>
      </c>
      <c r="AD102" s="21">
        <v>0.8597222222222223</v>
      </c>
      <c r="AE102" s="22">
        <v>0.8645833333333334</v>
      </c>
      <c r="AF102" s="18">
        <v>89.0</v>
      </c>
      <c r="AG102" s="12">
        <v>0.9736111111111111</v>
      </c>
      <c r="AH102" s="23">
        <v>0.9986111111111111</v>
      </c>
      <c r="AI102" s="11">
        <v>90.0</v>
      </c>
      <c r="AJ102" s="12">
        <v>0.07222222222222222</v>
      </c>
      <c r="AK102" s="13">
        <v>0.07916666666666666</v>
      </c>
      <c r="AL102" s="14">
        <v>89.0</v>
      </c>
      <c r="AM102" s="15">
        <v>0.18958333333333333</v>
      </c>
      <c r="AN102" s="16">
        <v>0.19444444444444445</v>
      </c>
      <c r="AO102" s="11">
        <v>85.0</v>
      </c>
      <c r="AP102" s="12">
        <v>0.26805555555555555</v>
      </c>
      <c r="AQ102" s="13">
        <v>0.28541666666666665</v>
      </c>
      <c r="AR102" s="11">
        <v>88.0</v>
      </c>
      <c r="AS102" s="12">
        <v>0.35555555555555557</v>
      </c>
      <c r="AT102" s="13">
        <v>0.36180555555555555</v>
      </c>
      <c r="AU102" s="11">
        <v>93.0</v>
      </c>
      <c r="AV102" s="12">
        <v>0.47638888888888886</v>
      </c>
      <c r="AW102" s="13">
        <v>0.4847222222222222</v>
      </c>
      <c r="AX102" s="11">
        <v>99.0</v>
      </c>
      <c r="AY102" s="12">
        <v>0.07847222222222222</v>
      </c>
      <c r="AZ102" s="13">
        <v>0.08194444444444444</v>
      </c>
      <c r="BA102" s="24">
        <v>101.0</v>
      </c>
      <c r="BB102" s="25">
        <v>44787.652521296295</v>
      </c>
      <c r="BC102" s="12"/>
    </row>
    <row r="103" ht="15.75" customHeight="1">
      <c r="A103" s="7"/>
      <c r="B103" s="8" t="s">
        <v>158</v>
      </c>
      <c r="C103" s="9">
        <v>606.0</v>
      </c>
      <c r="D103" s="10" t="s">
        <v>54</v>
      </c>
      <c r="E103" s="11">
        <v>92.0</v>
      </c>
      <c r="F103" s="12">
        <v>0.2673611111111111</v>
      </c>
      <c r="G103" s="13">
        <v>0.26805555555555555</v>
      </c>
      <c r="H103" s="14">
        <v>173.0</v>
      </c>
      <c r="I103" s="15">
        <v>0.3416666666666667</v>
      </c>
      <c r="J103" s="16">
        <v>0.3416666666666667</v>
      </c>
      <c r="K103" s="11">
        <v>118.0</v>
      </c>
      <c r="L103" s="12">
        <v>0.4013888888888889</v>
      </c>
      <c r="M103" s="13">
        <v>0.4097222222222222</v>
      </c>
      <c r="N103" s="17">
        <v>115.0</v>
      </c>
      <c r="O103" s="12">
        <v>0.4986111111111111</v>
      </c>
      <c r="P103" s="12">
        <v>0.5020833333333333</v>
      </c>
      <c r="Q103" s="11">
        <v>120.0</v>
      </c>
      <c r="R103" s="12">
        <v>0.5791666666666667</v>
      </c>
      <c r="S103" s="13">
        <v>0.5833333333333334</v>
      </c>
      <c r="T103" s="18">
        <v>126.0</v>
      </c>
      <c r="U103" s="12">
        <v>0.65625</v>
      </c>
      <c r="V103" s="13">
        <v>0.6597222222222222</v>
      </c>
      <c r="W103" s="11">
        <v>120.0</v>
      </c>
      <c r="X103" s="12">
        <v>0.7090277777777778</v>
      </c>
      <c r="Y103" s="13">
        <v>0.7145833333333333</v>
      </c>
      <c r="Z103" s="11">
        <v>110.0</v>
      </c>
      <c r="AA103" s="26"/>
      <c r="AB103" s="13">
        <v>0.8284722222222223</v>
      </c>
      <c r="AC103" s="20">
        <v>111.0</v>
      </c>
      <c r="AD103" s="21">
        <v>0.9027777777777778</v>
      </c>
      <c r="AE103" s="22">
        <v>0.9083333333333333</v>
      </c>
      <c r="AF103" s="18">
        <v>119.0</v>
      </c>
      <c r="AG103" s="12">
        <v>0.030555555555555555</v>
      </c>
      <c r="AH103" s="23">
        <v>0.04027777777777778</v>
      </c>
      <c r="AI103" s="11">
        <v>115.0</v>
      </c>
      <c r="AJ103" s="12">
        <v>0.12083333333333333</v>
      </c>
      <c r="AK103" s="13">
        <v>0.12361111111111112</v>
      </c>
      <c r="AL103" s="14">
        <v>109.0</v>
      </c>
      <c r="AM103" s="15">
        <v>0.23541666666666666</v>
      </c>
      <c r="AN103" s="16">
        <v>0.23819444444444443</v>
      </c>
      <c r="AO103" s="11">
        <v>101.0</v>
      </c>
      <c r="AP103" s="12">
        <v>0.29097222222222224</v>
      </c>
      <c r="AQ103" s="13">
        <v>0.29583333333333334</v>
      </c>
      <c r="AR103" s="11">
        <v>92.0</v>
      </c>
      <c r="AS103" s="12">
        <v>0.36041666666666666</v>
      </c>
      <c r="AT103" s="13">
        <v>0.3645833333333333</v>
      </c>
      <c r="AU103" s="11">
        <v>98.0</v>
      </c>
      <c r="AV103" s="12">
        <v>0.48333333333333334</v>
      </c>
      <c r="AW103" s="13">
        <v>0.48680555555555555</v>
      </c>
      <c r="AX103" s="11">
        <v>101.0</v>
      </c>
      <c r="AY103" s="12">
        <v>0.07916666666666666</v>
      </c>
      <c r="AZ103" s="13">
        <v>0.08194444444444444</v>
      </c>
      <c r="BA103" s="24">
        <v>102.0</v>
      </c>
      <c r="BB103" s="25">
        <v>44787.653826851856</v>
      </c>
      <c r="BC103" s="12"/>
    </row>
    <row r="104" ht="15.75" customHeight="1">
      <c r="A104" s="7"/>
      <c r="B104" s="8" t="s">
        <v>159</v>
      </c>
      <c r="C104" s="9">
        <v>580.0</v>
      </c>
      <c r="D104" s="10" t="s">
        <v>54</v>
      </c>
      <c r="E104" s="11">
        <v>120.0</v>
      </c>
      <c r="F104" s="12">
        <v>0.2701388888888889</v>
      </c>
      <c r="G104" s="13">
        <v>0.2708333333333333</v>
      </c>
      <c r="H104" s="14">
        <v>114.0</v>
      </c>
      <c r="I104" s="15">
        <v>0.32916666666666666</v>
      </c>
      <c r="J104" s="16">
        <v>0.32916666666666666</v>
      </c>
      <c r="K104" s="11">
        <v>116.0</v>
      </c>
      <c r="L104" s="12">
        <v>0.4013888888888889</v>
      </c>
      <c r="M104" s="13">
        <v>0.41180555555555554</v>
      </c>
      <c r="N104" s="17">
        <v>122.0</v>
      </c>
      <c r="O104" s="12">
        <v>0.5013888888888889</v>
      </c>
      <c r="P104" s="12">
        <v>0.50625</v>
      </c>
      <c r="Q104" s="11">
        <v>131.0</v>
      </c>
      <c r="R104" s="12">
        <v>0.5805555555555556</v>
      </c>
      <c r="S104" s="13">
        <v>0.5854166666666667</v>
      </c>
      <c r="T104" s="18">
        <v>125.0</v>
      </c>
      <c r="U104" s="12">
        <v>0.65625</v>
      </c>
      <c r="V104" s="13">
        <v>0.6604166666666667</v>
      </c>
      <c r="W104" s="11">
        <v>119.0</v>
      </c>
      <c r="X104" s="12">
        <v>0.7090277777777778</v>
      </c>
      <c r="Y104" s="13">
        <v>0.7319444444444444</v>
      </c>
      <c r="Z104" s="11">
        <v>123.0</v>
      </c>
      <c r="AA104" s="19"/>
      <c r="AB104" s="13">
        <v>0.8423611111111111</v>
      </c>
      <c r="AC104" s="20">
        <v>120.0</v>
      </c>
      <c r="AD104" s="21">
        <v>0.9104166666666667</v>
      </c>
      <c r="AE104" s="22">
        <v>0.9152777777777777</v>
      </c>
      <c r="AF104" s="18">
        <v>116.0</v>
      </c>
      <c r="AG104" s="12">
        <v>0.027777777777777776</v>
      </c>
      <c r="AH104" s="23">
        <v>0.04513888888888889</v>
      </c>
      <c r="AI104" s="11">
        <v>113.0</v>
      </c>
      <c r="AJ104" s="12">
        <v>0.11736111111111111</v>
      </c>
      <c r="AK104" s="13">
        <v>0.12222222222222222</v>
      </c>
      <c r="AL104" s="14">
        <v>112.0</v>
      </c>
      <c r="AM104" s="15">
        <v>0.2361111111111111</v>
      </c>
      <c r="AN104" s="16">
        <v>0.24513888888888888</v>
      </c>
      <c r="AO104" s="11">
        <v>106.0</v>
      </c>
      <c r="AP104" s="12">
        <v>0.3034722222222222</v>
      </c>
      <c r="AQ104" s="13">
        <v>0.3173611111111111</v>
      </c>
      <c r="AR104" s="11">
        <v>106.0</v>
      </c>
      <c r="AS104" s="12">
        <v>0.38263888888888886</v>
      </c>
      <c r="AT104" s="13">
        <v>0.3888888888888889</v>
      </c>
      <c r="AU104" s="11">
        <v>101.0</v>
      </c>
      <c r="AV104" s="12">
        <v>0.4847222222222222</v>
      </c>
      <c r="AW104" s="13">
        <v>0.4965277777777778</v>
      </c>
      <c r="AX104" s="11">
        <v>104.0</v>
      </c>
      <c r="AY104" s="12">
        <v>0.08125</v>
      </c>
      <c r="AZ104" s="13">
        <v>0.08611111111111111</v>
      </c>
      <c r="BA104" s="24">
        <v>103.0</v>
      </c>
      <c r="BB104" s="25">
        <v>44787.65382835648</v>
      </c>
      <c r="BC104" s="12"/>
    </row>
    <row r="105" ht="15.75" customHeight="1">
      <c r="A105" s="7"/>
      <c r="B105" s="8" t="s">
        <v>160</v>
      </c>
      <c r="C105" s="9">
        <v>582.0</v>
      </c>
      <c r="D105" s="10" t="s">
        <v>54</v>
      </c>
      <c r="E105" s="11">
        <v>70.0</v>
      </c>
      <c r="F105" s="12">
        <v>0.2638888888888889</v>
      </c>
      <c r="G105" s="13">
        <v>0.26458333333333334</v>
      </c>
      <c r="H105" s="14">
        <v>85.0</v>
      </c>
      <c r="I105" s="15">
        <v>0.32430555555555557</v>
      </c>
      <c r="J105" s="16">
        <v>0.32430555555555557</v>
      </c>
      <c r="K105" s="11">
        <v>119.0</v>
      </c>
      <c r="L105" s="12">
        <v>0.40208333333333335</v>
      </c>
      <c r="M105" s="13">
        <v>0.4097222222222222</v>
      </c>
      <c r="N105" s="17">
        <v>114.0</v>
      </c>
      <c r="O105" s="12">
        <v>0.4986111111111111</v>
      </c>
      <c r="P105" s="12">
        <v>0.5020833333333333</v>
      </c>
      <c r="Q105" s="11">
        <v>121.0</v>
      </c>
      <c r="R105" s="12">
        <v>0.5791666666666667</v>
      </c>
      <c r="S105" s="13">
        <v>0.5833333333333334</v>
      </c>
      <c r="T105" s="18">
        <v>120.0</v>
      </c>
      <c r="U105" s="12">
        <v>0.6541666666666667</v>
      </c>
      <c r="V105" s="13">
        <v>0.6555555555555556</v>
      </c>
      <c r="W105" s="11">
        <v>114.0</v>
      </c>
      <c r="X105" s="12">
        <v>0.7027777777777777</v>
      </c>
      <c r="Y105" s="13">
        <v>0.7076388888888889</v>
      </c>
      <c r="Z105" s="11">
        <v>101.0</v>
      </c>
      <c r="AA105" s="19"/>
      <c r="AB105" s="13">
        <v>0.8152777777777778</v>
      </c>
      <c r="AC105" s="20">
        <v>103.0</v>
      </c>
      <c r="AD105" s="21">
        <v>0.8881944444444444</v>
      </c>
      <c r="AE105" s="22">
        <v>0.8895833333333333</v>
      </c>
      <c r="AF105" s="18">
        <v>105.0</v>
      </c>
      <c r="AG105" s="12">
        <v>0.010416666666666666</v>
      </c>
      <c r="AH105" s="23">
        <v>0.020833333333333332</v>
      </c>
      <c r="AI105" s="11">
        <v>101.0</v>
      </c>
      <c r="AJ105" s="12">
        <v>0.09861111111111111</v>
      </c>
      <c r="AK105" s="13">
        <v>0.10208333333333333</v>
      </c>
      <c r="AL105" s="14">
        <v>99.0</v>
      </c>
      <c r="AM105" s="15">
        <v>0.20277777777777778</v>
      </c>
      <c r="AN105" s="16">
        <v>0.20555555555555555</v>
      </c>
      <c r="AO105" s="11">
        <v>94.0</v>
      </c>
      <c r="AP105" s="12">
        <v>0.27569444444444446</v>
      </c>
      <c r="AQ105" s="13">
        <v>0.2833333333333333</v>
      </c>
      <c r="AR105" s="11">
        <v>91.0</v>
      </c>
      <c r="AS105" s="12">
        <v>0.36041666666666666</v>
      </c>
      <c r="AT105" s="13">
        <v>0.3645833333333333</v>
      </c>
      <c r="AU105" s="11">
        <v>96.0</v>
      </c>
      <c r="AV105" s="12">
        <v>0.48333333333333334</v>
      </c>
      <c r="AW105" s="13">
        <v>0.4847222222222222</v>
      </c>
      <c r="AX105" s="11">
        <v>100.0</v>
      </c>
      <c r="AY105" s="12">
        <v>0.07916666666666666</v>
      </c>
      <c r="AZ105" s="13">
        <v>0.08194444444444444</v>
      </c>
      <c r="BA105" s="24">
        <v>104.0</v>
      </c>
      <c r="BB105" s="25">
        <v>44787.653829166666</v>
      </c>
      <c r="BC105" s="12"/>
    </row>
    <row r="106" ht="15.75" customHeight="1">
      <c r="A106" s="7"/>
      <c r="B106" s="8" t="s">
        <v>161</v>
      </c>
      <c r="C106" s="9">
        <v>525.0</v>
      </c>
      <c r="D106" s="10" t="s">
        <v>66</v>
      </c>
      <c r="E106" s="11">
        <v>115.0</v>
      </c>
      <c r="F106" s="12">
        <v>0.26944444444444443</v>
      </c>
      <c r="G106" s="13">
        <v>0.2701388888888889</v>
      </c>
      <c r="H106" s="14">
        <v>121.0</v>
      </c>
      <c r="I106" s="15">
        <v>0.33055555555555555</v>
      </c>
      <c r="J106" s="16">
        <v>0.33055555555555555</v>
      </c>
      <c r="K106" s="11">
        <v>129.0</v>
      </c>
      <c r="L106" s="12">
        <v>0.40555555555555556</v>
      </c>
      <c r="M106" s="13">
        <v>0.4083333333333333</v>
      </c>
      <c r="N106" s="17">
        <v>126.0</v>
      </c>
      <c r="O106" s="12">
        <v>0.5034722222222222</v>
      </c>
      <c r="P106" s="12">
        <v>0.50625</v>
      </c>
      <c r="Q106" s="11">
        <v>136.0</v>
      </c>
      <c r="R106" s="12">
        <v>0.5833333333333334</v>
      </c>
      <c r="S106" s="13">
        <v>0.5875</v>
      </c>
      <c r="T106" s="18">
        <v>128.0</v>
      </c>
      <c r="U106" s="12">
        <v>0.6576388888888889</v>
      </c>
      <c r="V106" s="13">
        <v>0.6611111111111111</v>
      </c>
      <c r="W106" s="11">
        <v>131.0</v>
      </c>
      <c r="X106" s="12">
        <v>0.7166666666666667</v>
      </c>
      <c r="Y106" s="13">
        <v>0.7347222222222223</v>
      </c>
      <c r="Z106" s="11">
        <v>124.0</v>
      </c>
      <c r="AA106" s="19"/>
      <c r="AB106" s="13">
        <v>0.84375</v>
      </c>
      <c r="AC106" s="20">
        <v>117.0</v>
      </c>
      <c r="AD106" s="21">
        <v>0.9097222222222222</v>
      </c>
      <c r="AE106" s="22">
        <v>0.9138888888888889</v>
      </c>
      <c r="AF106" s="18">
        <v>111.0</v>
      </c>
      <c r="AG106" s="12">
        <v>0.024305555555555556</v>
      </c>
      <c r="AH106" s="23">
        <v>0.03819444444444445</v>
      </c>
      <c r="AI106" s="11">
        <v>110.0</v>
      </c>
      <c r="AJ106" s="12">
        <v>0.11666666666666667</v>
      </c>
      <c r="AK106" s="13">
        <v>0.12013888888888889</v>
      </c>
      <c r="AL106" s="14">
        <v>108.0</v>
      </c>
      <c r="AM106" s="15">
        <v>0.23333333333333334</v>
      </c>
      <c r="AN106" s="16">
        <v>0.23680555555555555</v>
      </c>
      <c r="AO106" s="11">
        <v>102.0</v>
      </c>
      <c r="AP106" s="12">
        <v>0.29583333333333334</v>
      </c>
      <c r="AQ106" s="13">
        <v>0.3013888888888889</v>
      </c>
      <c r="AR106" s="11">
        <v>102.0</v>
      </c>
      <c r="AS106" s="12">
        <v>0.37430555555555556</v>
      </c>
      <c r="AT106" s="13">
        <v>0.38125</v>
      </c>
      <c r="AU106" s="11">
        <v>102.0</v>
      </c>
      <c r="AV106" s="12">
        <v>0.4875</v>
      </c>
      <c r="AW106" s="13">
        <v>0.4930555555555556</v>
      </c>
      <c r="AX106" s="11">
        <v>103.0</v>
      </c>
      <c r="AY106" s="12">
        <v>0.08125</v>
      </c>
      <c r="AZ106" s="13">
        <v>0.08611111111111111</v>
      </c>
      <c r="BA106" s="24">
        <v>105.0</v>
      </c>
      <c r="BB106" s="25">
        <v>44787.65383634259</v>
      </c>
      <c r="BC106" s="12"/>
    </row>
    <row r="107" ht="15.75" customHeight="1">
      <c r="A107" s="7"/>
      <c r="B107" s="8" t="s">
        <v>162</v>
      </c>
      <c r="C107" s="9">
        <v>598.0</v>
      </c>
      <c r="D107" s="10" t="s">
        <v>54</v>
      </c>
      <c r="E107" s="11">
        <v>126.0</v>
      </c>
      <c r="F107" s="12">
        <v>0.2708333333333333</v>
      </c>
      <c r="G107" s="13">
        <v>0.27152777777777776</v>
      </c>
      <c r="H107" s="14">
        <v>151.0</v>
      </c>
      <c r="I107" s="15">
        <v>0.3368055555555556</v>
      </c>
      <c r="J107" s="16">
        <v>0.3368055555555556</v>
      </c>
      <c r="K107" s="11">
        <v>138.0</v>
      </c>
      <c r="L107" s="12">
        <v>0.40902777777777777</v>
      </c>
      <c r="M107" s="13">
        <v>0.4131944444444444</v>
      </c>
      <c r="N107" s="17">
        <v>144.0</v>
      </c>
      <c r="O107" s="12">
        <v>0.5111111111111111</v>
      </c>
      <c r="P107" s="12">
        <v>0.5145833333333333</v>
      </c>
      <c r="Q107" s="11">
        <v>141.0</v>
      </c>
      <c r="R107" s="12">
        <v>0.5916666666666667</v>
      </c>
      <c r="S107" s="13">
        <v>0.5916666666666667</v>
      </c>
      <c r="T107" s="18">
        <v>137.0</v>
      </c>
      <c r="U107" s="12">
        <v>0.6652777777777777</v>
      </c>
      <c r="V107" s="13">
        <v>0.6673611111111111</v>
      </c>
      <c r="W107" s="11">
        <v>137.0</v>
      </c>
      <c r="X107" s="12">
        <v>0.7201388888888889</v>
      </c>
      <c r="Y107" s="13">
        <v>0.7305555555555555</v>
      </c>
      <c r="Z107" s="11">
        <v>129.0</v>
      </c>
      <c r="AA107" s="19"/>
      <c r="AB107" s="13">
        <v>0.8493055555555555</v>
      </c>
      <c r="AC107" s="20">
        <v>129.0</v>
      </c>
      <c r="AD107" s="21">
        <v>0.9256944444444445</v>
      </c>
      <c r="AE107" s="22">
        <v>0.9236111111111112</v>
      </c>
      <c r="AF107" s="18">
        <v>120.0</v>
      </c>
      <c r="AG107" s="12">
        <v>0.03888888888888889</v>
      </c>
      <c r="AH107" s="23">
        <v>0.04652777777777778</v>
      </c>
      <c r="AI107" s="11">
        <v>117.0</v>
      </c>
      <c r="AJ107" s="12">
        <v>0.12777777777777777</v>
      </c>
      <c r="AK107" s="13">
        <v>0.13333333333333333</v>
      </c>
      <c r="AL107" s="14">
        <v>110.0</v>
      </c>
      <c r="AM107" s="15">
        <v>0.23541666666666666</v>
      </c>
      <c r="AN107" s="16">
        <v>0.23680555555555555</v>
      </c>
      <c r="AO107" s="11">
        <v>103.0</v>
      </c>
      <c r="AP107" s="12">
        <v>0.2972222222222222</v>
      </c>
      <c r="AQ107" s="13">
        <v>0.3</v>
      </c>
      <c r="AR107" s="11">
        <v>103.0</v>
      </c>
      <c r="AS107" s="12">
        <v>0.3784722222222222</v>
      </c>
      <c r="AT107" s="13">
        <v>0.3854166666666667</v>
      </c>
      <c r="AU107" s="11">
        <v>106.0</v>
      </c>
      <c r="AV107" s="12">
        <v>0.4965277777777778</v>
      </c>
      <c r="AW107" s="13">
        <v>0.5006944444444444</v>
      </c>
      <c r="AX107" s="11">
        <v>106.0</v>
      </c>
      <c r="AY107" s="12">
        <v>0.08958333333333333</v>
      </c>
      <c r="AZ107" s="13">
        <v>0.09166666666666666</v>
      </c>
      <c r="BA107" s="24">
        <v>106.0</v>
      </c>
      <c r="BB107" s="25">
        <v>44787.65502013889</v>
      </c>
      <c r="BC107" s="12"/>
    </row>
    <row r="108" ht="15.75" customHeight="1">
      <c r="A108" s="7"/>
      <c r="B108" s="8" t="s">
        <v>163</v>
      </c>
      <c r="C108" s="9">
        <v>500.0</v>
      </c>
      <c r="D108" s="10" t="s">
        <v>54</v>
      </c>
      <c r="E108" s="11">
        <v>189.0</v>
      </c>
      <c r="F108" s="12">
        <v>0.2798611111111111</v>
      </c>
      <c r="G108" s="13">
        <v>0.28055555555555556</v>
      </c>
      <c r="H108" s="14">
        <v>179.0</v>
      </c>
      <c r="I108" s="15">
        <v>0.34444444444444444</v>
      </c>
      <c r="J108" s="16">
        <v>0.34444444444444444</v>
      </c>
      <c r="K108" s="11">
        <v>181.0</v>
      </c>
      <c r="L108" s="12">
        <v>0.4263888888888889</v>
      </c>
      <c r="M108" s="13">
        <v>0.4388888888888889</v>
      </c>
      <c r="N108" s="17">
        <v>169.0</v>
      </c>
      <c r="O108" s="12">
        <v>0.5305555555555556</v>
      </c>
      <c r="P108" s="12">
        <v>0.5340277777777778</v>
      </c>
      <c r="Q108" s="11">
        <v>163.0</v>
      </c>
      <c r="R108" s="12">
        <v>0.6083333333333333</v>
      </c>
      <c r="S108" s="13">
        <v>0.6125</v>
      </c>
      <c r="T108" s="18">
        <v>160.0</v>
      </c>
      <c r="U108" s="12">
        <v>0.6861111111111111</v>
      </c>
      <c r="V108" s="13">
        <v>0.6902777777777778</v>
      </c>
      <c r="W108" s="11">
        <v>156.0</v>
      </c>
      <c r="X108" s="12">
        <v>0.7430555555555556</v>
      </c>
      <c r="Y108" s="13">
        <v>0.7638888888888888</v>
      </c>
      <c r="Z108" s="11">
        <v>147.0</v>
      </c>
      <c r="AA108" s="19"/>
      <c r="AB108" s="13">
        <v>0.8743055555555556</v>
      </c>
      <c r="AC108" s="20">
        <v>146.0</v>
      </c>
      <c r="AD108" s="21">
        <v>0.9465277777777777</v>
      </c>
      <c r="AE108" s="22">
        <v>0.96875</v>
      </c>
      <c r="AF108" s="18">
        <v>152.0</v>
      </c>
      <c r="AG108" s="12">
        <v>0.09236111111111112</v>
      </c>
      <c r="AH108" s="23">
        <v>0.10416666666666667</v>
      </c>
      <c r="AI108" s="11">
        <v>146.0</v>
      </c>
      <c r="AJ108" s="12">
        <v>0.19583333333333333</v>
      </c>
      <c r="AK108" s="13">
        <v>0.19652777777777777</v>
      </c>
      <c r="AL108" s="14">
        <v>129.0</v>
      </c>
      <c r="AM108" s="15">
        <v>0.2902777777777778</v>
      </c>
      <c r="AN108" s="16">
        <v>0.29097222222222224</v>
      </c>
      <c r="AO108" s="11">
        <v>122.0</v>
      </c>
      <c r="AP108" s="12">
        <v>0.3472222222222222</v>
      </c>
      <c r="AQ108" s="13">
        <v>0.35138888888888886</v>
      </c>
      <c r="AR108" s="11">
        <v>117.0</v>
      </c>
      <c r="AS108" s="12">
        <v>0.41458333333333336</v>
      </c>
      <c r="AT108" s="13">
        <v>0.41944444444444445</v>
      </c>
      <c r="AU108" s="11">
        <v>114.0</v>
      </c>
      <c r="AV108" s="12">
        <v>0.5236111111111111</v>
      </c>
      <c r="AW108" s="13">
        <v>0.5395833333333333</v>
      </c>
      <c r="AX108" s="11">
        <v>111.0</v>
      </c>
      <c r="AY108" s="12">
        <v>0.11041666666666666</v>
      </c>
      <c r="AZ108" s="13">
        <v>0.11041666666666666</v>
      </c>
      <c r="BA108" s="24">
        <v>107.0</v>
      </c>
      <c r="BB108" s="25">
        <v>44787.65923125</v>
      </c>
      <c r="BC108" s="12"/>
    </row>
    <row r="109" ht="15.75" customHeight="1">
      <c r="A109" s="7"/>
      <c r="B109" s="8" t="s">
        <v>164</v>
      </c>
      <c r="C109" s="9">
        <v>732.0</v>
      </c>
      <c r="D109" s="10" t="s">
        <v>54</v>
      </c>
      <c r="E109" s="11">
        <v>153.0</v>
      </c>
      <c r="F109" s="12">
        <v>0.2743055555555556</v>
      </c>
      <c r="G109" s="13">
        <v>0.275</v>
      </c>
      <c r="H109" s="14">
        <v>118.0</v>
      </c>
      <c r="I109" s="15">
        <v>0.3298611111111111</v>
      </c>
      <c r="J109" s="16">
        <v>0.3298611111111111</v>
      </c>
      <c r="K109" s="11">
        <v>109.0</v>
      </c>
      <c r="L109" s="12">
        <v>0.4</v>
      </c>
      <c r="M109" s="13">
        <v>0.4076388888888889</v>
      </c>
      <c r="N109" s="17">
        <v>103.0</v>
      </c>
      <c r="O109" s="12">
        <v>0.49166666666666664</v>
      </c>
      <c r="P109" s="12">
        <v>0.4979166666666667</v>
      </c>
      <c r="Q109" s="11">
        <v>101.0</v>
      </c>
      <c r="R109" s="12">
        <v>0.5645833333333333</v>
      </c>
      <c r="S109" s="13">
        <v>0.5701388888888889</v>
      </c>
      <c r="T109" s="18">
        <v>98.0</v>
      </c>
      <c r="U109" s="12">
        <v>0.6340277777777777</v>
      </c>
      <c r="V109" s="13">
        <v>0.6361111111111111</v>
      </c>
      <c r="W109" s="11">
        <v>99.0</v>
      </c>
      <c r="X109" s="12">
        <v>0.6909722222222222</v>
      </c>
      <c r="Y109" s="13">
        <v>0.7048611111111112</v>
      </c>
      <c r="Z109" s="11">
        <v>97.0</v>
      </c>
      <c r="AA109" s="19"/>
      <c r="AB109" s="13">
        <v>0.8090277777777778</v>
      </c>
      <c r="AC109" s="20">
        <v>94.0</v>
      </c>
      <c r="AD109" s="21">
        <v>0.86875</v>
      </c>
      <c r="AE109" s="22">
        <v>0.8722222222222222</v>
      </c>
      <c r="AF109" s="18">
        <v>92.0</v>
      </c>
      <c r="AG109" s="12">
        <v>0.9833333333333333</v>
      </c>
      <c r="AH109" s="23">
        <v>0.024305555555555556</v>
      </c>
      <c r="AI109" s="11">
        <v>107.0</v>
      </c>
      <c r="AJ109" s="12">
        <v>0.10625</v>
      </c>
      <c r="AK109" s="13">
        <v>0.13125</v>
      </c>
      <c r="AL109" s="14">
        <v>115.0</v>
      </c>
      <c r="AM109" s="15">
        <v>0.24444444444444444</v>
      </c>
      <c r="AN109" s="16">
        <v>0.25763888888888886</v>
      </c>
      <c r="AO109" s="11">
        <v>113.0</v>
      </c>
      <c r="AP109" s="12">
        <v>0.3159722222222222</v>
      </c>
      <c r="AQ109" s="13">
        <v>0.3375</v>
      </c>
      <c r="AR109" s="11">
        <v>112.0</v>
      </c>
      <c r="AS109" s="12">
        <v>0.40625</v>
      </c>
      <c r="AT109" s="13">
        <v>0.41041666666666665</v>
      </c>
      <c r="AU109" s="11">
        <v>110.0</v>
      </c>
      <c r="AV109" s="12">
        <v>0.5131944444444444</v>
      </c>
      <c r="AW109" s="13">
        <v>0.5194444444444445</v>
      </c>
      <c r="AX109" s="11">
        <v>107.0</v>
      </c>
      <c r="AY109" s="12">
        <v>0.09652777777777778</v>
      </c>
      <c r="AZ109" s="13">
        <v>0.09652777777777778</v>
      </c>
      <c r="BA109" s="24">
        <v>108.0</v>
      </c>
      <c r="BB109" s="25">
        <v>44787.66087743056</v>
      </c>
      <c r="BC109" s="12"/>
    </row>
    <row r="110" ht="15.75" customHeight="1">
      <c r="A110" s="7"/>
      <c r="B110" s="8" t="s">
        <v>165</v>
      </c>
      <c r="C110" s="9">
        <v>559.0</v>
      </c>
      <c r="D110" s="10" t="s">
        <v>54</v>
      </c>
      <c r="E110" s="11">
        <v>176.0</v>
      </c>
      <c r="F110" s="12">
        <v>0.275</v>
      </c>
      <c r="G110" s="13">
        <v>0.27569444444444446</v>
      </c>
      <c r="H110" s="14">
        <v>170.0</v>
      </c>
      <c r="I110" s="15">
        <v>0.3388888888888889</v>
      </c>
      <c r="J110" s="16">
        <v>0.3388888888888889</v>
      </c>
      <c r="K110" s="11">
        <v>112.0</v>
      </c>
      <c r="L110" s="12">
        <v>0.40069444444444446</v>
      </c>
      <c r="M110" s="13">
        <v>0.41180555555555554</v>
      </c>
      <c r="N110" s="17">
        <v>108.0</v>
      </c>
      <c r="O110" s="12">
        <v>0.49444444444444446</v>
      </c>
      <c r="P110" s="12">
        <v>0.4986111111111111</v>
      </c>
      <c r="Q110" s="11">
        <v>108.0</v>
      </c>
      <c r="R110" s="12">
        <v>0.5694444444444444</v>
      </c>
      <c r="S110" s="13">
        <v>0.5736111111111111</v>
      </c>
      <c r="T110" s="18">
        <v>102.0</v>
      </c>
      <c r="U110" s="12">
        <v>0.6375</v>
      </c>
      <c r="V110" s="13">
        <v>0.6416666666666667</v>
      </c>
      <c r="W110" s="11">
        <v>98.0</v>
      </c>
      <c r="X110" s="12">
        <v>0.6861111111111111</v>
      </c>
      <c r="Y110" s="13">
        <v>0.6965277777777777</v>
      </c>
      <c r="Z110" s="11">
        <v>95.0</v>
      </c>
      <c r="AA110" s="26"/>
      <c r="AB110" s="13">
        <v>0.8041666666666667</v>
      </c>
      <c r="AC110" s="20">
        <v>96.0</v>
      </c>
      <c r="AD110" s="21">
        <v>0.8777777777777778</v>
      </c>
      <c r="AE110" s="22">
        <v>0.8763888888888889</v>
      </c>
      <c r="AF110" s="18">
        <v>93.0</v>
      </c>
      <c r="AG110" s="12">
        <v>0.9840277777777777</v>
      </c>
      <c r="AH110" s="23">
        <v>0.001388888888888889</v>
      </c>
      <c r="AI110" s="11">
        <v>96.0</v>
      </c>
      <c r="AJ110" s="12">
        <v>0.08611111111111111</v>
      </c>
      <c r="AK110" s="13">
        <v>0.09652777777777778</v>
      </c>
      <c r="AL110" s="14">
        <v>91.0</v>
      </c>
      <c r="AM110" s="15">
        <v>0.19722222222222222</v>
      </c>
      <c r="AN110" s="16">
        <v>0.20277777777777778</v>
      </c>
      <c r="AO110" s="11">
        <v>92.0</v>
      </c>
      <c r="AP110" s="12">
        <v>0.27152777777777776</v>
      </c>
      <c r="AQ110" s="13">
        <v>0.2875</v>
      </c>
      <c r="AR110" s="11">
        <v>99.0</v>
      </c>
      <c r="AS110" s="12">
        <v>0.3680555555555556</v>
      </c>
      <c r="AT110" s="13">
        <v>0.3729166666666667</v>
      </c>
      <c r="AU110" s="11">
        <v>105.0</v>
      </c>
      <c r="AV110" s="12">
        <v>0.4909722222222222</v>
      </c>
      <c r="AW110" s="13">
        <v>0.5013888888888889</v>
      </c>
      <c r="AX110" s="11">
        <v>108.0</v>
      </c>
      <c r="AY110" s="12">
        <v>0.09652777777777778</v>
      </c>
      <c r="AZ110" s="13">
        <v>0.09861111111111111</v>
      </c>
      <c r="BA110" s="24">
        <v>109.0</v>
      </c>
      <c r="BB110" s="25">
        <v>44787.66671990741</v>
      </c>
      <c r="BC110" s="12"/>
    </row>
    <row r="111" ht="15.75" customHeight="1">
      <c r="A111" s="7"/>
      <c r="B111" s="8" t="s">
        <v>166</v>
      </c>
      <c r="C111" s="9">
        <v>632.0</v>
      </c>
      <c r="D111" s="10" t="s">
        <v>54</v>
      </c>
      <c r="E111" s="11">
        <v>179.0</v>
      </c>
      <c r="F111" s="12">
        <v>0.2763888888888889</v>
      </c>
      <c r="G111" s="13">
        <v>0.27708333333333335</v>
      </c>
      <c r="H111" s="14">
        <v>176.0</v>
      </c>
      <c r="I111" s="15">
        <v>0.34375</v>
      </c>
      <c r="J111" s="16">
        <v>0.34375</v>
      </c>
      <c r="K111" s="11">
        <v>172.0</v>
      </c>
      <c r="L111" s="12">
        <v>0.4236111111111111</v>
      </c>
      <c r="M111" s="13">
        <v>0.4284722222222222</v>
      </c>
      <c r="N111" s="17">
        <v>160.0</v>
      </c>
      <c r="O111" s="12">
        <v>0.5256944444444445</v>
      </c>
      <c r="P111" s="12">
        <v>0.5270833333333333</v>
      </c>
      <c r="Q111" s="11">
        <v>158.0</v>
      </c>
      <c r="R111" s="12">
        <v>0.6055555555555555</v>
      </c>
      <c r="S111" s="13">
        <v>0.6069444444444444</v>
      </c>
      <c r="T111" s="18">
        <v>150.0</v>
      </c>
      <c r="U111" s="12">
        <v>0.6805555555555556</v>
      </c>
      <c r="V111" s="13">
        <v>0.68125</v>
      </c>
      <c r="W111" s="11">
        <v>150.0</v>
      </c>
      <c r="X111" s="12">
        <v>0.7375</v>
      </c>
      <c r="Y111" s="13">
        <v>0.7444444444444445</v>
      </c>
      <c r="Z111" s="11">
        <v>135.0</v>
      </c>
      <c r="AA111" s="19"/>
      <c r="AB111" s="13">
        <v>0.8548611111111111</v>
      </c>
      <c r="AC111" s="20">
        <v>138.0</v>
      </c>
      <c r="AD111" s="21">
        <v>0.9381944444444444</v>
      </c>
      <c r="AE111" s="22">
        <v>0.9375</v>
      </c>
      <c r="AF111" s="18">
        <v>132.0</v>
      </c>
      <c r="AG111" s="12">
        <v>0.05763888888888889</v>
      </c>
      <c r="AH111" s="23">
        <v>0.07291666666666667</v>
      </c>
      <c r="AI111" s="11">
        <v>125.0</v>
      </c>
      <c r="AJ111" s="12">
        <v>0.14722222222222223</v>
      </c>
      <c r="AK111" s="13">
        <v>0.15138888888888888</v>
      </c>
      <c r="AL111" s="14">
        <v>121.0</v>
      </c>
      <c r="AM111" s="15">
        <v>0.25833333333333336</v>
      </c>
      <c r="AN111" s="16">
        <v>0.2604166666666667</v>
      </c>
      <c r="AO111" s="11">
        <v>116.0</v>
      </c>
      <c r="AP111" s="12">
        <v>0.31875</v>
      </c>
      <c r="AQ111" s="13">
        <v>0.33125</v>
      </c>
      <c r="AR111" s="11">
        <v>115.0</v>
      </c>
      <c r="AS111" s="12">
        <v>0.40694444444444444</v>
      </c>
      <c r="AT111" s="13">
        <v>0.40902777777777777</v>
      </c>
      <c r="AU111" s="11">
        <v>111.0</v>
      </c>
      <c r="AV111" s="12">
        <v>0.5145833333333333</v>
      </c>
      <c r="AW111" s="13">
        <v>0.51875</v>
      </c>
      <c r="AX111" s="11">
        <v>110.0</v>
      </c>
      <c r="AY111" s="12">
        <v>0.10625</v>
      </c>
      <c r="AZ111" s="13">
        <v>0.10902777777777778</v>
      </c>
      <c r="BA111" s="24">
        <v>110.0</v>
      </c>
      <c r="BB111" s="25">
        <v>44787.667457870375</v>
      </c>
      <c r="BC111" s="12"/>
    </row>
    <row r="112" ht="15.75" customHeight="1">
      <c r="A112" s="7"/>
      <c r="B112" s="8" t="s">
        <v>167</v>
      </c>
      <c r="C112" s="9">
        <v>516.0</v>
      </c>
      <c r="D112" s="10" t="s">
        <v>54</v>
      </c>
      <c r="E112" s="11">
        <v>105.0</v>
      </c>
      <c r="F112" s="12">
        <v>0.26875</v>
      </c>
      <c r="G112" s="13">
        <v>0.26944444444444443</v>
      </c>
      <c r="H112" s="14">
        <v>113.0</v>
      </c>
      <c r="I112" s="15">
        <v>0.32569444444444445</v>
      </c>
      <c r="J112" s="16">
        <v>0.32569444444444445</v>
      </c>
      <c r="K112" s="11">
        <v>128.0</v>
      </c>
      <c r="L112" s="12">
        <v>0.40555555555555556</v>
      </c>
      <c r="M112" s="13">
        <v>0.4125</v>
      </c>
      <c r="N112" s="17">
        <v>127.0</v>
      </c>
      <c r="O112" s="12">
        <v>0.5041666666666667</v>
      </c>
      <c r="P112" s="12">
        <v>0.5083333333333333</v>
      </c>
      <c r="Q112" s="11">
        <v>135.0</v>
      </c>
      <c r="R112" s="12">
        <v>0.58125</v>
      </c>
      <c r="S112" s="13">
        <v>0.5861111111111111</v>
      </c>
      <c r="T112" s="18">
        <v>117.0</v>
      </c>
      <c r="U112" s="12">
        <v>0.6527777777777778</v>
      </c>
      <c r="V112" s="13">
        <v>0.65625</v>
      </c>
      <c r="W112" s="11">
        <v>128.0</v>
      </c>
      <c r="X112" s="12">
        <v>0.7131944444444445</v>
      </c>
      <c r="Y112" s="13">
        <v>0.7270833333333333</v>
      </c>
      <c r="Z112" s="11">
        <v>125.0</v>
      </c>
      <c r="AA112" s="19"/>
      <c r="AB112" s="13">
        <v>0.8444444444444444</v>
      </c>
      <c r="AC112" s="20">
        <v>124.0</v>
      </c>
      <c r="AD112" s="21">
        <v>0.9152777777777777</v>
      </c>
      <c r="AE112" s="22">
        <v>0.9208333333333333</v>
      </c>
      <c r="AF112" s="18">
        <v>114.0</v>
      </c>
      <c r="AG112" s="12">
        <v>0.02638888888888889</v>
      </c>
      <c r="AH112" s="23">
        <v>0.03125</v>
      </c>
      <c r="AI112" s="11">
        <v>108.0</v>
      </c>
      <c r="AJ112" s="12">
        <v>0.10694444444444444</v>
      </c>
      <c r="AK112" s="13">
        <v>0.11319444444444444</v>
      </c>
      <c r="AL112" s="14">
        <v>106.0</v>
      </c>
      <c r="AM112" s="15">
        <v>0.22291666666666668</v>
      </c>
      <c r="AN112" s="16">
        <v>0.23402777777777778</v>
      </c>
      <c r="AO112" s="11">
        <v>107.0</v>
      </c>
      <c r="AP112" s="12">
        <v>0.30625</v>
      </c>
      <c r="AQ112" s="13">
        <v>0.31319444444444444</v>
      </c>
      <c r="AR112" s="11">
        <v>107.0</v>
      </c>
      <c r="AS112" s="12">
        <v>0.38680555555555557</v>
      </c>
      <c r="AT112" s="13">
        <v>0.3951388888888889</v>
      </c>
      <c r="AU112" s="11">
        <v>108.0</v>
      </c>
      <c r="AV112" s="12">
        <v>0.5083333333333333</v>
      </c>
      <c r="AW112" s="13">
        <v>0.5125</v>
      </c>
      <c r="AX112" s="11">
        <v>109.0</v>
      </c>
      <c r="AY112" s="12">
        <v>0.10138888888888889</v>
      </c>
      <c r="AZ112" s="13">
        <v>0.10625</v>
      </c>
      <c r="BA112" s="24">
        <v>111.0</v>
      </c>
      <c r="BB112" s="25">
        <v>44787.66765995371</v>
      </c>
      <c r="BC112" s="12"/>
    </row>
    <row r="113" ht="15.75" customHeight="1">
      <c r="A113" s="7"/>
      <c r="B113" s="8" t="s">
        <v>168</v>
      </c>
      <c r="C113" s="9">
        <v>649.0</v>
      </c>
      <c r="D113" s="10" t="s">
        <v>54</v>
      </c>
      <c r="E113" s="11">
        <v>119.0</v>
      </c>
      <c r="F113" s="12">
        <v>0.26944444444444443</v>
      </c>
      <c r="G113" s="13">
        <v>0.2701388888888889</v>
      </c>
      <c r="H113" s="14">
        <v>112.0</v>
      </c>
      <c r="I113" s="15">
        <v>0.32569444444444445</v>
      </c>
      <c r="J113" s="16">
        <v>0.32569444444444445</v>
      </c>
      <c r="K113" s="11">
        <v>115.0</v>
      </c>
      <c r="L113" s="12">
        <v>0.40069444444444446</v>
      </c>
      <c r="M113" s="13">
        <v>0.41180555555555554</v>
      </c>
      <c r="N113" s="17">
        <v>109.0</v>
      </c>
      <c r="O113" s="12">
        <v>0.49444444444444446</v>
      </c>
      <c r="P113" s="12">
        <v>0.49930555555555556</v>
      </c>
      <c r="Q113" s="11">
        <v>112.0</v>
      </c>
      <c r="R113" s="12">
        <v>0.5729166666666666</v>
      </c>
      <c r="S113" s="13">
        <v>0.5777777777777777</v>
      </c>
      <c r="T113" s="18">
        <v>112.0</v>
      </c>
      <c r="U113" s="12">
        <v>0.6479166666666667</v>
      </c>
      <c r="V113" s="13">
        <v>0.6513888888888889</v>
      </c>
      <c r="W113" s="11">
        <v>133.0</v>
      </c>
      <c r="X113" s="12">
        <v>0.7180555555555556</v>
      </c>
      <c r="Y113" s="13">
        <v>0.7319444444444444</v>
      </c>
      <c r="Z113" s="11">
        <v>132.0</v>
      </c>
      <c r="AA113" s="19"/>
      <c r="AB113" s="13">
        <v>0.8506944444444444</v>
      </c>
      <c r="AC113" s="20">
        <v>132.0</v>
      </c>
      <c r="AD113" s="21">
        <v>0.9270833333333334</v>
      </c>
      <c r="AE113" s="22">
        <v>0.9298611111111111</v>
      </c>
      <c r="AF113" s="18">
        <v>123.0</v>
      </c>
      <c r="AG113" s="12">
        <v>0.041666666666666664</v>
      </c>
      <c r="AH113" s="23">
        <v>0.05</v>
      </c>
      <c r="AI113" s="11">
        <v>118.0</v>
      </c>
      <c r="AJ113" s="12">
        <v>0.12777777777777777</v>
      </c>
      <c r="AK113" s="13">
        <v>0.13333333333333333</v>
      </c>
      <c r="AL113" s="14">
        <v>114.0</v>
      </c>
      <c r="AM113" s="15">
        <v>0.2375</v>
      </c>
      <c r="AN113" s="16">
        <v>0.2465277777777778</v>
      </c>
      <c r="AO113" s="11">
        <v>112.0</v>
      </c>
      <c r="AP113" s="12">
        <v>0.3125</v>
      </c>
      <c r="AQ113" s="13">
        <v>0.33194444444444443</v>
      </c>
      <c r="AR113" s="11">
        <v>113.0</v>
      </c>
      <c r="AS113" s="12">
        <v>0.40625</v>
      </c>
      <c r="AT113" s="13">
        <v>0.4111111111111111</v>
      </c>
      <c r="AU113" s="11">
        <v>112.0</v>
      </c>
      <c r="AV113" s="12">
        <v>0.5173611111111112</v>
      </c>
      <c r="AW113" s="13">
        <v>0.5222222222222223</v>
      </c>
      <c r="AX113" s="11">
        <v>112.0</v>
      </c>
      <c r="AY113" s="12">
        <v>0.1111111111111111</v>
      </c>
      <c r="AZ113" s="13">
        <v>0.1125</v>
      </c>
      <c r="BA113" s="24">
        <v>112.0</v>
      </c>
      <c r="BB113" s="25">
        <v>44787.67649027778</v>
      </c>
      <c r="BC113" s="12"/>
    </row>
    <row r="114" ht="15.75" customHeight="1">
      <c r="A114" s="7"/>
      <c r="B114" s="8" t="s">
        <v>169</v>
      </c>
      <c r="C114" s="9">
        <v>648.0</v>
      </c>
      <c r="D114" s="10" t="s">
        <v>54</v>
      </c>
      <c r="E114" s="11">
        <v>99.0</v>
      </c>
      <c r="F114" s="12">
        <v>0.26805555555555555</v>
      </c>
      <c r="G114" s="13">
        <v>0.26875</v>
      </c>
      <c r="H114" s="14">
        <v>110.0</v>
      </c>
      <c r="I114" s="15">
        <v>0.32569444444444445</v>
      </c>
      <c r="J114" s="16">
        <v>0.32569444444444445</v>
      </c>
      <c r="K114" s="11">
        <v>103.0</v>
      </c>
      <c r="L114" s="12">
        <v>0.39652777777777776</v>
      </c>
      <c r="M114" s="13">
        <v>0.4048611111111111</v>
      </c>
      <c r="N114" s="17">
        <v>104.0</v>
      </c>
      <c r="O114" s="12">
        <v>0.49166666666666664</v>
      </c>
      <c r="P114" s="12">
        <v>0.5041666666666667</v>
      </c>
      <c r="Q114" s="11">
        <v>115.0</v>
      </c>
      <c r="R114" s="12">
        <v>0.5777777777777777</v>
      </c>
      <c r="S114" s="13">
        <v>0.5854166666666667</v>
      </c>
      <c r="T114" s="18">
        <v>133.0</v>
      </c>
      <c r="U114" s="12">
        <v>0.6625</v>
      </c>
      <c r="V114" s="13">
        <v>0.6666666666666666</v>
      </c>
      <c r="W114" s="11">
        <v>141.0</v>
      </c>
      <c r="X114" s="12">
        <v>0.7236111111111111</v>
      </c>
      <c r="Y114" s="13">
        <v>0.7597222222222222</v>
      </c>
      <c r="Z114" s="11">
        <v>148.0</v>
      </c>
      <c r="AA114" s="19"/>
      <c r="AB114" s="13">
        <v>0.8743055555555556</v>
      </c>
      <c r="AC114" s="20">
        <v>141.0</v>
      </c>
      <c r="AD114" s="21">
        <v>0.94375</v>
      </c>
      <c r="AE114" s="22">
        <v>0.9541666666666667</v>
      </c>
      <c r="AF114" s="18">
        <v>130.0</v>
      </c>
      <c r="AG114" s="12">
        <v>0.05555555555555555</v>
      </c>
      <c r="AH114" s="23">
        <v>0.08541666666666667</v>
      </c>
      <c r="AI114" s="11">
        <v>128.0</v>
      </c>
      <c r="AJ114" s="12">
        <v>0.15625</v>
      </c>
      <c r="AK114" s="13">
        <v>0.15833333333333333</v>
      </c>
      <c r="AL114" s="14">
        <v>119.0</v>
      </c>
      <c r="AM114" s="15">
        <v>0.2534722222222222</v>
      </c>
      <c r="AN114" s="16">
        <v>0.25763888888888886</v>
      </c>
      <c r="AO114" s="11">
        <v>117.0</v>
      </c>
      <c r="AP114" s="12">
        <v>0.3194444444444444</v>
      </c>
      <c r="AQ114" s="13">
        <v>0.34375</v>
      </c>
      <c r="AR114" s="11">
        <v>114.0</v>
      </c>
      <c r="AS114" s="12">
        <v>0.40625</v>
      </c>
      <c r="AT114" s="13">
        <v>0.4111111111111111</v>
      </c>
      <c r="AU114" s="11">
        <v>116.0</v>
      </c>
      <c r="AV114" s="12">
        <v>0.5256944444444445</v>
      </c>
      <c r="AW114" s="13">
        <v>0.5340277777777778</v>
      </c>
      <c r="AX114" s="11">
        <v>116.0</v>
      </c>
      <c r="AY114" s="12">
        <v>0.11805555555555555</v>
      </c>
      <c r="AZ114" s="13">
        <v>0.12013888888888889</v>
      </c>
      <c r="BA114" s="24">
        <v>113.0</v>
      </c>
      <c r="BB114" s="25">
        <v>44787.6786207176</v>
      </c>
      <c r="BC114" s="12"/>
    </row>
    <row r="115" ht="15.75" customHeight="1">
      <c r="A115" s="7"/>
      <c r="B115" s="8" t="s">
        <v>170</v>
      </c>
      <c r="C115" s="9">
        <v>657.0</v>
      </c>
      <c r="D115" s="10" t="s">
        <v>54</v>
      </c>
      <c r="E115" s="11">
        <v>198.0</v>
      </c>
      <c r="F115" s="12">
        <v>0.2833333333333333</v>
      </c>
      <c r="G115" s="13">
        <v>0.28402777777777777</v>
      </c>
      <c r="H115" s="27"/>
      <c r="I115" s="28"/>
      <c r="J115" s="29"/>
      <c r="K115" s="11">
        <v>185.0</v>
      </c>
      <c r="L115" s="12">
        <v>0.4284722222222222</v>
      </c>
      <c r="M115" s="13">
        <v>0.4361111111111111</v>
      </c>
      <c r="N115" s="17">
        <v>175.0</v>
      </c>
      <c r="O115" s="12">
        <v>0.5347222222222222</v>
      </c>
      <c r="P115" s="12">
        <v>0.5402777777777777</v>
      </c>
      <c r="Q115" s="11">
        <v>170.0</v>
      </c>
      <c r="R115" s="12">
        <v>0.6138888888888889</v>
      </c>
      <c r="S115" s="13">
        <v>0.6166666666666667</v>
      </c>
      <c r="T115" s="18">
        <v>167.0</v>
      </c>
      <c r="U115" s="12">
        <v>0.6944444444444444</v>
      </c>
      <c r="V115" s="13">
        <v>0.6979166666666666</v>
      </c>
      <c r="W115" s="11">
        <v>167.0</v>
      </c>
      <c r="X115" s="12">
        <v>0.7534722222222222</v>
      </c>
      <c r="Y115" s="13">
        <v>0.7722222222222223</v>
      </c>
      <c r="Z115" s="11">
        <v>165.0</v>
      </c>
      <c r="AA115" s="19"/>
      <c r="AB115" s="13">
        <v>0.90625</v>
      </c>
      <c r="AC115" s="20">
        <v>165.0</v>
      </c>
      <c r="AD115" s="21">
        <v>0.9881944444444445</v>
      </c>
      <c r="AE115" s="22">
        <v>0.9930555555555556</v>
      </c>
      <c r="AF115" s="18">
        <v>155.0</v>
      </c>
      <c r="AG115" s="12">
        <v>0.10347222222222222</v>
      </c>
      <c r="AH115" s="23">
        <v>0.11875</v>
      </c>
      <c r="AI115" s="11">
        <v>139.0</v>
      </c>
      <c r="AJ115" s="12">
        <v>0.18541666666666667</v>
      </c>
      <c r="AK115" s="13">
        <v>0.18888888888888888</v>
      </c>
      <c r="AL115" s="14">
        <v>128.0</v>
      </c>
      <c r="AM115" s="15">
        <v>0.2861111111111111</v>
      </c>
      <c r="AN115" s="16">
        <v>0.2875</v>
      </c>
      <c r="AO115" s="11">
        <v>120.0</v>
      </c>
      <c r="AP115" s="12">
        <v>0.3368055555555556</v>
      </c>
      <c r="AQ115" s="13">
        <v>0.34375</v>
      </c>
      <c r="AR115" s="11">
        <v>116.0</v>
      </c>
      <c r="AS115" s="12">
        <v>0.41458333333333336</v>
      </c>
      <c r="AT115" s="13">
        <v>0.41944444444444445</v>
      </c>
      <c r="AU115" s="11">
        <v>115.0</v>
      </c>
      <c r="AV115" s="12">
        <v>0.5236111111111111</v>
      </c>
      <c r="AW115" s="13">
        <v>0.5347222222222222</v>
      </c>
      <c r="AX115" s="11">
        <v>114.0</v>
      </c>
      <c r="AY115" s="12">
        <v>0.11666666666666667</v>
      </c>
      <c r="AZ115" s="13">
        <v>0.11736111111111111</v>
      </c>
      <c r="BA115" s="24">
        <v>114.0</v>
      </c>
      <c r="BB115" s="25">
        <v>44787.6833087963</v>
      </c>
      <c r="BC115" s="12"/>
    </row>
    <row r="116" ht="15.75" customHeight="1">
      <c r="A116" s="7"/>
      <c r="B116" s="8" t="s">
        <v>171</v>
      </c>
      <c r="C116" s="9">
        <v>669.0</v>
      </c>
      <c r="D116" s="10" t="s">
        <v>54</v>
      </c>
      <c r="E116" s="11">
        <v>194.0</v>
      </c>
      <c r="F116" s="12">
        <v>0.28125</v>
      </c>
      <c r="G116" s="13">
        <v>0.28194444444444444</v>
      </c>
      <c r="H116" s="14">
        <v>188.0</v>
      </c>
      <c r="I116" s="15">
        <v>0.3527777777777778</v>
      </c>
      <c r="J116" s="16">
        <v>0.3527777777777778</v>
      </c>
      <c r="K116" s="11">
        <v>190.0</v>
      </c>
      <c r="L116" s="12">
        <v>0.43472222222222223</v>
      </c>
      <c r="M116" s="13">
        <v>0.44305555555555554</v>
      </c>
      <c r="N116" s="17">
        <v>183.0</v>
      </c>
      <c r="O116" s="12">
        <v>0.5409722222222222</v>
      </c>
      <c r="P116" s="12">
        <v>0.5430555555555555</v>
      </c>
      <c r="Q116" s="11">
        <v>172.0</v>
      </c>
      <c r="R116" s="12">
        <v>0.6159722222222223</v>
      </c>
      <c r="S116" s="13">
        <v>0.6208333333333333</v>
      </c>
      <c r="T116" s="18">
        <v>169.0</v>
      </c>
      <c r="U116" s="12">
        <v>0.6979166666666666</v>
      </c>
      <c r="V116" s="13">
        <v>0.6993055555555555</v>
      </c>
      <c r="W116" s="11">
        <v>166.0</v>
      </c>
      <c r="X116" s="12">
        <v>0.7527777777777778</v>
      </c>
      <c r="Y116" s="13">
        <v>0.7694444444444445</v>
      </c>
      <c r="Z116" s="11">
        <v>157.0</v>
      </c>
      <c r="AA116" s="19"/>
      <c r="AB116" s="13">
        <v>0.8868055555555555</v>
      </c>
      <c r="AC116" s="41"/>
      <c r="AD116" s="41"/>
      <c r="AE116" s="42"/>
      <c r="AF116" s="18">
        <v>145.0</v>
      </c>
      <c r="AG116" s="12">
        <v>0.08125</v>
      </c>
      <c r="AH116" s="23">
        <v>0.0875</v>
      </c>
      <c r="AI116" s="11">
        <v>130.0</v>
      </c>
      <c r="AJ116" s="12">
        <v>0.15833333333333333</v>
      </c>
      <c r="AK116" s="13">
        <v>0.16319444444444445</v>
      </c>
      <c r="AL116" s="27"/>
      <c r="AM116" s="27"/>
      <c r="AN116" s="43"/>
      <c r="AO116" s="11">
        <v>118.0</v>
      </c>
      <c r="AP116" s="12">
        <v>0.32013888888888886</v>
      </c>
      <c r="AQ116" s="13">
        <v>0.33194444444444443</v>
      </c>
      <c r="AR116" s="11">
        <v>111.0</v>
      </c>
      <c r="AS116" s="12">
        <v>0.4027777777777778</v>
      </c>
      <c r="AT116" s="13">
        <v>0.4076388888888889</v>
      </c>
      <c r="AU116" s="11">
        <v>113.0</v>
      </c>
      <c r="AV116" s="12">
        <v>0.5180555555555556</v>
      </c>
      <c r="AW116" s="13">
        <v>0.5229166666666667</v>
      </c>
      <c r="AX116" s="11">
        <v>113.0</v>
      </c>
      <c r="AY116" s="12">
        <v>0.11388888888888889</v>
      </c>
      <c r="AZ116" s="13">
        <v>0.11736111111111111</v>
      </c>
      <c r="BA116" s="24">
        <v>115.0</v>
      </c>
      <c r="BB116" s="25">
        <v>44787.683378009264</v>
      </c>
      <c r="BC116" s="12"/>
    </row>
    <row r="117" ht="15.75" customHeight="1">
      <c r="A117" s="7"/>
      <c r="B117" s="8" t="s">
        <v>172</v>
      </c>
      <c r="C117" s="9">
        <v>554.0</v>
      </c>
      <c r="D117" s="10" t="s">
        <v>54</v>
      </c>
      <c r="E117" s="11">
        <v>164.0</v>
      </c>
      <c r="F117" s="12">
        <v>0.2743055555555556</v>
      </c>
      <c r="G117" s="13">
        <v>0.275</v>
      </c>
      <c r="H117" s="27"/>
      <c r="I117" s="28"/>
      <c r="J117" s="29"/>
      <c r="K117" s="11">
        <v>171.0</v>
      </c>
      <c r="L117" s="12">
        <v>0.4222222222222222</v>
      </c>
      <c r="M117" s="13">
        <v>0.4284722222222222</v>
      </c>
      <c r="N117" s="17">
        <v>157.0</v>
      </c>
      <c r="O117" s="12">
        <v>0.5194444444444445</v>
      </c>
      <c r="P117" s="12">
        <v>0.5236111111111111</v>
      </c>
      <c r="Q117" s="11">
        <v>149.0</v>
      </c>
      <c r="R117" s="12">
        <v>0.5944444444444444</v>
      </c>
      <c r="S117" s="13">
        <v>0.6</v>
      </c>
      <c r="T117" s="18">
        <v>141.0</v>
      </c>
      <c r="U117" s="12">
        <v>0.6673611111111111</v>
      </c>
      <c r="V117" s="13">
        <v>0.6708333333333333</v>
      </c>
      <c r="W117" s="11">
        <v>139.0</v>
      </c>
      <c r="X117" s="12">
        <v>0.7208333333333333</v>
      </c>
      <c r="Y117" s="13">
        <v>0.7305555555555555</v>
      </c>
      <c r="Z117" s="11">
        <v>126.0</v>
      </c>
      <c r="AA117" s="19"/>
      <c r="AB117" s="13">
        <v>0.8444444444444444</v>
      </c>
      <c r="AC117" s="20">
        <v>127.0</v>
      </c>
      <c r="AD117" s="21">
        <v>0.9194444444444444</v>
      </c>
      <c r="AE117" s="22">
        <v>0.925</v>
      </c>
      <c r="AF117" s="18">
        <v>121.0</v>
      </c>
      <c r="AG117" s="12">
        <v>0.0375</v>
      </c>
      <c r="AH117" s="23">
        <v>0.05347222222222222</v>
      </c>
      <c r="AI117" s="11">
        <v>123.0</v>
      </c>
      <c r="AJ117" s="12">
        <v>0.13819444444444445</v>
      </c>
      <c r="AK117" s="13">
        <v>0.14722222222222223</v>
      </c>
      <c r="AL117" s="14">
        <v>120.0</v>
      </c>
      <c r="AM117" s="15">
        <v>0.2534722222222222</v>
      </c>
      <c r="AN117" s="16">
        <v>0.25625</v>
      </c>
      <c r="AO117" s="11">
        <v>114.0</v>
      </c>
      <c r="AP117" s="12">
        <v>0.3159722222222222</v>
      </c>
      <c r="AQ117" s="13">
        <v>0.32430555555555557</v>
      </c>
      <c r="AR117" s="11">
        <v>109.0</v>
      </c>
      <c r="AS117" s="12">
        <v>0.4</v>
      </c>
      <c r="AT117" s="13">
        <v>0.425</v>
      </c>
      <c r="AU117" s="11">
        <v>119.0</v>
      </c>
      <c r="AV117" s="12">
        <v>0.5395833333333333</v>
      </c>
      <c r="AW117" s="13">
        <v>0.5451388888888888</v>
      </c>
      <c r="AX117" s="11">
        <v>117.0</v>
      </c>
      <c r="AY117" s="12">
        <v>0.12013888888888889</v>
      </c>
      <c r="AZ117" s="13">
        <v>0.12291666666666666</v>
      </c>
      <c r="BA117" s="24">
        <v>116.0</v>
      </c>
      <c r="BB117" s="25">
        <v>44787.68551053241</v>
      </c>
      <c r="BC117" s="12"/>
    </row>
    <row r="118" ht="15.75" customHeight="1">
      <c r="A118" s="7"/>
      <c r="B118" s="8" t="s">
        <v>173</v>
      </c>
      <c r="C118" s="9">
        <v>681.0</v>
      </c>
      <c r="D118" s="10" t="s">
        <v>54</v>
      </c>
      <c r="E118" s="11">
        <v>175.0</v>
      </c>
      <c r="F118" s="12">
        <v>0.275</v>
      </c>
      <c r="G118" s="13">
        <v>0.27569444444444446</v>
      </c>
      <c r="H118" s="14">
        <v>150.0</v>
      </c>
      <c r="I118" s="15">
        <v>0.3368055555555556</v>
      </c>
      <c r="J118" s="16">
        <v>0.3368055555555556</v>
      </c>
      <c r="K118" s="11">
        <v>143.0</v>
      </c>
      <c r="L118" s="12">
        <v>0.41180555555555554</v>
      </c>
      <c r="M118" s="13">
        <v>0.4270833333333333</v>
      </c>
      <c r="N118" s="17">
        <v>156.0</v>
      </c>
      <c r="O118" s="12">
        <v>0.51875</v>
      </c>
      <c r="P118" s="12">
        <v>0.5208333333333334</v>
      </c>
      <c r="Q118" s="11">
        <v>156.0</v>
      </c>
      <c r="R118" s="12">
        <v>0.5986111111111111</v>
      </c>
      <c r="S118" s="13">
        <v>0.60625</v>
      </c>
      <c r="T118" s="18">
        <v>154.0</v>
      </c>
      <c r="U118" s="12">
        <v>0.68125</v>
      </c>
      <c r="V118" s="13">
        <v>0.6847222222222222</v>
      </c>
      <c r="W118" s="11">
        <v>153.0</v>
      </c>
      <c r="X118" s="12">
        <v>0.7395833333333334</v>
      </c>
      <c r="Y118" s="13">
        <v>0.7541666666666667</v>
      </c>
      <c r="Z118" s="11">
        <v>145.0</v>
      </c>
      <c r="AA118" s="19"/>
      <c r="AB118" s="13">
        <v>0.8715277777777778</v>
      </c>
      <c r="AC118" s="20">
        <v>142.0</v>
      </c>
      <c r="AD118" s="21">
        <v>0.94375</v>
      </c>
      <c r="AE118" s="22">
        <v>0.95</v>
      </c>
      <c r="AF118" s="18">
        <v>139.0</v>
      </c>
      <c r="AG118" s="12">
        <v>0.06597222222222222</v>
      </c>
      <c r="AH118" s="23">
        <v>0.09166666666666666</v>
      </c>
      <c r="AI118" s="11">
        <v>134.0</v>
      </c>
      <c r="AJ118" s="12">
        <v>0.17083333333333334</v>
      </c>
      <c r="AK118" s="13">
        <v>0.175</v>
      </c>
      <c r="AL118" s="14">
        <v>127.0</v>
      </c>
      <c r="AM118" s="15">
        <v>0.275</v>
      </c>
      <c r="AN118" s="16">
        <v>0.2875</v>
      </c>
      <c r="AO118" s="11">
        <v>121.0</v>
      </c>
      <c r="AP118" s="12">
        <v>0.33958333333333335</v>
      </c>
      <c r="AQ118" s="13">
        <v>0.35347222222222224</v>
      </c>
      <c r="AR118" s="11">
        <v>119.0</v>
      </c>
      <c r="AS118" s="12">
        <v>0.4222222222222222</v>
      </c>
      <c r="AT118" s="13">
        <v>0.42986111111111114</v>
      </c>
      <c r="AU118" s="11">
        <v>118.0</v>
      </c>
      <c r="AV118" s="12">
        <v>0.5388888888888889</v>
      </c>
      <c r="AW118" s="13">
        <v>0.5423611111111111</v>
      </c>
      <c r="AX118" s="11">
        <v>118.0</v>
      </c>
      <c r="AY118" s="12">
        <v>0.12430555555555556</v>
      </c>
      <c r="AZ118" s="13">
        <v>0.12638888888888888</v>
      </c>
      <c r="BA118" s="24">
        <v>117.0</v>
      </c>
      <c r="BB118" s="25">
        <v>44787.687534375</v>
      </c>
      <c r="BC118" s="12"/>
    </row>
    <row r="119" ht="15.75" customHeight="1">
      <c r="A119" s="7"/>
      <c r="B119" s="8" t="s">
        <v>174</v>
      </c>
      <c r="C119" s="9">
        <v>612.0</v>
      </c>
      <c r="D119" s="10" t="s">
        <v>66</v>
      </c>
      <c r="E119" s="11">
        <v>190.0</v>
      </c>
      <c r="F119" s="12">
        <v>0.28055555555555556</v>
      </c>
      <c r="G119" s="13">
        <v>0.28125</v>
      </c>
      <c r="H119" s="14">
        <v>15.0</v>
      </c>
      <c r="I119" s="15">
        <v>0.3013888888888889</v>
      </c>
      <c r="J119" s="16">
        <v>0.3013888888888889</v>
      </c>
      <c r="K119" s="11">
        <v>191.0</v>
      </c>
      <c r="L119" s="12">
        <v>0.4395833333333333</v>
      </c>
      <c r="M119" s="13">
        <v>0.4444444444444444</v>
      </c>
      <c r="N119" s="17">
        <v>184.0</v>
      </c>
      <c r="O119" s="12">
        <v>0.54375</v>
      </c>
      <c r="P119" s="12">
        <v>0.5458333333333333</v>
      </c>
      <c r="Q119" s="11">
        <v>184.0</v>
      </c>
      <c r="R119" s="12">
        <v>0.6326388888888889</v>
      </c>
      <c r="S119" s="13">
        <v>0.6354166666666666</v>
      </c>
      <c r="T119" s="18">
        <v>183.0</v>
      </c>
      <c r="U119" s="12">
        <v>0.7180555555555556</v>
      </c>
      <c r="V119" s="13">
        <v>0.7194444444444444</v>
      </c>
      <c r="W119" s="11">
        <v>177.0</v>
      </c>
      <c r="X119" s="12">
        <v>0.7736111111111111</v>
      </c>
      <c r="Y119" s="13">
        <v>0.7819444444444444</v>
      </c>
      <c r="Z119" s="11">
        <v>172.0</v>
      </c>
      <c r="AA119" s="19"/>
      <c r="AB119" s="13">
        <v>0.9493055555555555</v>
      </c>
      <c r="AC119" s="20">
        <v>173.0</v>
      </c>
      <c r="AD119" s="44">
        <v>0.025</v>
      </c>
      <c r="AE119" s="22">
        <v>0.025</v>
      </c>
      <c r="AF119" s="18">
        <v>156.0</v>
      </c>
      <c r="AG119" s="12">
        <v>0.11736111111111111</v>
      </c>
      <c r="AH119" s="23">
        <v>0.12083333333333333</v>
      </c>
      <c r="AI119" s="11">
        <v>144.0</v>
      </c>
      <c r="AJ119" s="12">
        <v>0.1951388888888889</v>
      </c>
      <c r="AK119" s="13">
        <v>0.19722222222222222</v>
      </c>
      <c r="AL119" s="14">
        <v>137.0</v>
      </c>
      <c r="AM119" s="15">
        <v>0.30972222222222223</v>
      </c>
      <c r="AN119" s="16">
        <v>0.3076388888888889</v>
      </c>
      <c r="AO119" s="11">
        <v>124.0</v>
      </c>
      <c r="AP119" s="12">
        <v>0.36666666666666664</v>
      </c>
      <c r="AQ119" s="13">
        <v>0.3736111111111111</v>
      </c>
      <c r="AR119" s="11">
        <v>122.0</v>
      </c>
      <c r="AS119" s="12">
        <v>0.4465277777777778</v>
      </c>
      <c r="AT119" s="13">
        <v>0.44722222222222224</v>
      </c>
      <c r="AU119" s="11">
        <v>121.0</v>
      </c>
      <c r="AV119" s="12">
        <v>0.5548611111111111</v>
      </c>
      <c r="AW119" s="13">
        <v>0.55625</v>
      </c>
      <c r="AX119" s="11">
        <v>121.0</v>
      </c>
      <c r="AY119" s="12">
        <v>0.1375</v>
      </c>
      <c r="AZ119" s="13">
        <v>0.1388888888888889</v>
      </c>
      <c r="BA119" s="24">
        <v>118.0</v>
      </c>
      <c r="BB119" s="25">
        <v>44787.6886244213</v>
      </c>
      <c r="BC119" s="12"/>
    </row>
    <row r="120" ht="15.75" customHeight="1">
      <c r="A120" s="7"/>
      <c r="B120" s="8" t="s">
        <v>175</v>
      </c>
      <c r="C120" s="9">
        <v>676.0</v>
      </c>
      <c r="D120" s="10" t="s">
        <v>54</v>
      </c>
      <c r="E120" s="11">
        <v>130.0</v>
      </c>
      <c r="F120" s="12">
        <v>0.2708333333333333</v>
      </c>
      <c r="G120" s="13">
        <v>0.27152777777777776</v>
      </c>
      <c r="H120" s="14">
        <v>131.0</v>
      </c>
      <c r="I120" s="15">
        <v>0.3326388888888889</v>
      </c>
      <c r="J120" s="16">
        <v>0.3326388888888889</v>
      </c>
      <c r="K120" s="11">
        <v>127.0</v>
      </c>
      <c r="L120" s="12">
        <v>0.40555555555555556</v>
      </c>
      <c r="M120" s="13">
        <v>0.4076388888888889</v>
      </c>
      <c r="N120" s="17">
        <v>125.0</v>
      </c>
      <c r="O120" s="12">
        <v>0.5027777777777778</v>
      </c>
      <c r="P120" s="12">
        <v>0.5048611111111111</v>
      </c>
      <c r="Q120" s="11">
        <v>132.0</v>
      </c>
      <c r="R120" s="12">
        <v>0.5805555555555556</v>
      </c>
      <c r="S120" s="13">
        <v>0.5833333333333334</v>
      </c>
      <c r="T120" s="18">
        <v>138.0</v>
      </c>
      <c r="U120" s="12">
        <v>0.6652777777777777</v>
      </c>
      <c r="V120" s="13">
        <v>0.6673611111111111</v>
      </c>
      <c r="W120" s="11">
        <v>136.0</v>
      </c>
      <c r="X120" s="12">
        <v>0.71875</v>
      </c>
      <c r="Y120" s="13">
        <v>0.7256944444444444</v>
      </c>
      <c r="Z120" s="11">
        <v>127.0</v>
      </c>
      <c r="AA120" s="19"/>
      <c r="AB120" s="13">
        <v>0.8472222222222222</v>
      </c>
      <c r="AC120" s="20">
        <v>128.0</v>
      </c>
      <c r="AD120" s="21">
        <v>0.9194444444444444</v>
      </c>
      <c r="AE120" s="22">
        <v>0.9222222222222223</v>
      </c>
      <c r="AF120" s="18">
        <v>125.0</v>
      </c>
      <c r="AG120" s="12">
        <v>0.04652777777777778</v>
      </c>
      <c r="AH120" s="23">
        <v>0.05</v>
      </c>
      <c r="AI120" s="11">
        <v>121.0</v>
      </c>
      <c r="AJ120" s="12">
        <v>0.13402777777777777</v>
      </c>
      <c r="AK120" s="13">
        <v>0.1361111111111111</v>
      </c>
      <c r="AL120" s="14">
        <v>123.0</v>
      </c>
      <c r="AM120" s="15">
        <v>0.25833333333333336</v>
      </c>
      <c r="AN120" s="16">
        <v>0.2604166666666667</v>
      </c>
      <c r="AO120" s="11">
        <v>119.0</v>
      </c>
      <c r="AP120" s="12">
        <v>0.33055555555555555</v>
      </c>
      <c r="AQ120" s="13">
        <v>0.33611111111111114</v>
      </c>
      <c r="AR120" s="11">
        <v>118.0</v>
      </c>
      <c r="AS120" s="12">
        <v>0.41597222222222224</v>
      </c>
      <c r="AT120" s="13">
        <v>0.41875</v>
      </c>
      <c r="AU120" s="11">
        <v>117.0</v>
      </c>
      <c r="AV120" s="12">
        <v>0.5375</v>
      </c>
      <c r="AW120" s="13">
        <v>0.5388888888888889</v>
      </c>
      <c r="AX120" s="11">
        <v>119.0</v>
      </c>
      <c r="AY120" s="12">
        <v>0.12986111111111112</v>
      </c>
      <c r="AZ120" s="13">
        <v>0.13055555555555556</v>
      </c>
      <c r="BA120" s="24">
        <v>119.0</v>
      </c>
      <c r="BB120" s="25">
        <v>44787.68986689815</v>
      </c>
      <c r="BC120" s="12"/>
    </row>
    <row r="121" ht="15.75" customHeight="1">
      <c r="A121" s="7"/>
      <c r="B121" s="8" t="s">
        <v>176</v>
      </c>
      <c r="C121" s="9">
        <v>501.0</v>
      </c>
      <c r="D121" s="10" t="s">
        <v>66</v>
      </c>
      <c r="E121" s="11">
        <v>178.0</v>
      </c>
      <c r="F121" s="12">
        <v>0.2763888888888889</v>
      </c>
      <c r="G121" s="13">
        <v>0.27708333333333335</v>
      </c>
      <c r="H121" s="14">
        <v>178.0</v>
      </c>
      <c r="I121" s="15">
        <v>0.34444444444444444</v>
      </c>
      <c r="J121" s="16">
        <v>0.34444444444444444</v>
      </c>
      <c r="K121" s="11">
        <v>188.0</v>
      </c>
      <c r="L121" s="12">
        <v>0.4305555555555556</v>
      </c>
      <c r="M121" s="13">
        <v>0.4375</v>
      </c>
      <c r="N121" s="17">
        <v>170.0</v>
      </c>
      <c r="O121" s="12">
        <v>0.5305555555555556</v>
      </c>
      <c r="P121" s="12">
        <v>0.5347222222222222</v>
      </c>
      <c r="Q121" s="11">
        <v>168.0</v>
      </c>
      <c r="R121" s="12">
        <v>0.6118055555555556</v>
      </c>
      <c r="S121" s="13">
        <v>0.6173611111111111</v>
      </c>
      <c r="T121" s="18">
        <v>166.0</v>
      </c>
      <c r="U121" s="12">
        <v>0.6944444444444444</v>
      </c>
      <c r="V121" s="13">
        <v>0.6986111111111111</v>
      </c>
      <c r="W121" s="11">
        <v>165.0</v>
      </c>
      <c r="X121" s="12">
        <v>0.7506944444444444</v>
      </c>
      <c r="Y121" s="13">
        <v>0.7645833333333333</v>
      </c>
      <c r="Z121" s="11">
        <v>160.0</v>
      </c>
      <c r="AA121" s="19"/>
      <c r="AB121" s="13">
        <v>0.8930555555555556</v>
      </c>
      <c r="AC121" s="20">
        <v>161.0</v>
      </c>
      <c r="AD121" s="21">
        <v>0.9708333333333333</v>
      </c>
      <c r="AE121" s="22">
        <v>0.9736111111111111</v>
      </c>
      <c r="AF121" s="18">
        <v>154.0</v>
      </c>
      <c r="AG121" s="12">
        <v>0.09791666666666667</v>
      </c>
      <c r="AH121" s="23">
        <v>0.10972222222222222</v>
      </c>
      <c r="AI121" s="11">
        <v>141.0</v>
      </c>
      <c r="AJ121" s="12">
        <v>0.19305555555555556</v>
      </c>
      <c r="AK121" s="13">
        <v>0.19652777777777777</v>
      </c>
      <c r="AL121" s="14">
        <v>132.0</v>
      </c>
      <c r="AM121" s="15">
        <v>0.2965277777777778</v>
      </c>
      <c r="AN121" s="16">
        <v>0.3013888888888889</v>
      </c>
      <c r="AO121" s="11">
        <v>123.0</v>
      </c>
      <c r="AP121" s="12">
        <v>0.36180555555555555</v>
      </c>
      <c r="AQ121" s="13">
        <v>0.36875</v>
      </c>
      <c r="AR121" s="11">
        <v>120.0</v>
      </c>
      <c r="AS121" s="12">
        <v>0.43680555555555556</v>
      </c>
      <c r="AT121" s="13">
        <v>0.43819444444444444</v>
      </c>
      <c r="AU121" s="11">
        <v>120.0</v>
      </c>
      <c r="AV121" s="12">
        <v>0.5472222222222223</v>
      </c>
      <c r="AW121" s="13">
        <v>0.5506944444444445</v>
      </c>
      <c r="AX121" s="11">
        <v>120.0</v>
      </c>
      <c r="AY121" s="12">
        <v>0.1326388888888889</v>
      </c>
      <c r="AZ121" s="13">
        <v>0.1361111111111111</v>
      </c>
      <c r="BA121" s="24">
        <v>120.0</v>
      </c>
      <c r="BB121" s="25">
        <v>44787.69202002315</v>
      </c>
      <c r="BC121" s="12"/>
    </row>
    <row r="122" ht="15.75" customHeight="1">
      <c r="A122" s="7"/>
      <c r="B122" s="8" t="s">
        <v>177</v>
      </c>
      <c r="C122" s="9">
        <v>592.0</v>
      </c>
      <c r="D122" s="10" t="s">
        <v>54</v>
      </c>
      <c r="E122" s="11">
        <v>148.0</v>
      </c>
      <c r="F122" s="12">
        <v>0.27152777777777776</v>
      </c>
      <c r="G122" s="13">
        <v>0.2722222222222222</v>
      </c>
      <c r="H122" s="14">
        <v>142.0</v>
      </c>
      <c r="I122" s="15">
        <v>0.33611111111111114</v>
      </c>
      <c r="J122" s="16">
        <v>0.33611111111111114</v>
      </c>
      <c r="K122" s="11">
        <v>132.0</v>
      </c>
      <c r="L122" s="12">
        <v>0.4076388888888889</v>
      </c>
      <c r="M122" s="13">
        <v>0.4097222222222222</v>
      </c>
      <c r="N122" s="17">
        <v>118.0</v>
      </c>
      <c r="O122" s="12">
        <v>0.5</v>
      </c>
      <c r="P122" s="12">
        <v>0.5020833333333333</v>
      </c>
      <c r="Q122" s="11">
        <v>114.0</v>
      </c>
      <c r="R122" s="12">
        <v>0.5777777777777777</v>
      </c>
      <c r="S122" s="13">
        <v>0.5798611111111112</v>
      </c>
      <c r="T122" s="18">
        <v>121.0</v>
      </c>
      <c r="U122" s="12">
        <v>0.6555555555555556</v>
      </c>
      <c r="V122" s="13">
        <v>0.6590277777777778</v>
      </c>
      <c r="W122" s="11">
        <v>118.0</v>
      </c>
      <c r="X122" s="12">
        <v>0.7083333333333334</v>
      </c>
      <c r="Y122" s="13">
        <v>0.7173611111111111</v>
      </c>
      <c r="Z122" s="11">
        <v>117.0</v>
      </c>
      <c r="AA122" s="19"/>
      <c r="AB122" s="13">
        <v>0.8368055555555556</v>
      </c>
      <c r="AC122" s="20">
        <v>123.0</v>
      </c>
      <c r="AD122" s="21">
        <v>0.9152777777777777</v>
      </c>
      <c r="AE122" s="22">
        <v>0.9236111111111112</v>
      </c>
      <c r="AF122" s="18">
        <v>126.0</v>
      </c>
      <c r="AG122" s="12">
        <v>0.04722222222222222</v>
      </c>
      <c r="AH122" s="23">
        <v>0.05347222222222222</v>
      </c>
      <c r="AI122" s="11">
        <v>119.0</v>
      </c>
      <c r="AJ122" s="12">
        <v>0.1326388888888889</v>
      </c>
      <c r="AK122" s="13">
        <v>0.13819444444444445</v>
      </c>
      <c r="AL122" s="14">
        <v>116.0</v>
      </c>
      <c r="AM122" s="15">
        <v>0.24791666666666667</v>
      </c>
      <c r="AN122" s="16">
        <v>0.25</v>
      </c>
      <c r="AO122" s="11">
        <v>111.0</v>
      </c>
      <c r="AP122" s="12">
        <v>0.3090277777777778</v>
      </c>
      <c r="AQ122" s="13">
        <v>0.3173611111111111</v>
      </c>
      <c r="AR122" s="11">
        <v>108.0</v>
      </c>
      <c r="AS122" s="12">
        <v>0.3875</v>
      </c>
      <c r="AT122" s="13">
        <v>0.3902777777777778</v>
      </c>
      <c r="AU122" s="11">
        <v>109.0</v>
      </c>
      <c r="AV122" s="12">
        <v>0.5118055555555555</v>
      </c>
      <c r="AW122" s="13">
        <v>0.5131944444444444</v>
      </c>
      <c r="AX122" s="11">
        <v>115.0</v>
      </c>
      <c r="AY122" s="12">
        <v>0.11805555555555555</v>
      </c>
      <c r="AZ122" s="13">
        <v>0.12013888888888889</v>
      </c>
      <c r="BA122" s="24">
        <v>121.0</v>
      </c>
      <c r="BB122" s="25">
        <v>44787.69204178241</v>
      </c>
      <c r="BC122" s="12"/>
    </row>
    <row r="123" ht="15.75" customHeight="1">
      <c r="A123" s="7"/>
      <c r="B123" s="45"/>
      <c r="C123" s="46">
        <v>673.0</v>
      </c>
      <c r="D123" s="47"/>
      <c r="E123" s="11">
        <v>181.0</v>
      </c>
      <c r="F123" s="12">
        <v>0.2777777777777778</v>
      </c>
      <c r="G123" s="13">
        <v>0.27847222222222223</v>
      </c>
      <c r="H123" s="14">
        <v>181.0</v>
      </c>
      <c r="I123" s="15">
        <v>0.34444444444444444</v>
      </c>
      <c r="J123" s="16">
        <v>0.34444444444444444</v>
      </c>
      <c r="K123" s="11">
        <v>173.0</v>
      </c>
      <c r="L123" s="12">
        <v>0.4236111111111111</v>
      </c>
      <c r="M123" s="13">
        <v>0.43333333333333335</v>
      </c>
      <c r="N123" s="17">
        <v>165.0</v>
      </c>
      <c r="O123" s="12">
        <v>0.5284722222222222</v>
      </c>
      <c r="P123" s="12">
        <v>0.5319444444444444</v>
      </c>
      <c r="Q123" s="11">
        <v>165.0</v>
      </c>
      <c r="R123" s="12">
        <v>0.6083333333333333</v>
      </c>
      <c r="S123" s="13">
        <v>0.6125</v>
      </c>
      <c r="T123" s="18">
        <v>162.0</v>
      </c>
      <c r="U123" s="12">
        <v>0.6888888888888889</v>
      </c>
      <c r="V123" s="13">
        <v>0.6944444444444444</v>
      </c>
      <c r="W123" s="11">
        <v>160.0</v>
      </c>
      <c r="X123" s="12">
        <v>0.7472222222222222</v>
      </c>
      <c r="Y123" s="13">
        <v>0.7569444444444444</v>
      </c>
      <c r="Z123" s="11">
        <v>151.0</v>
      </c>
      <c r="AA123" s="19"/>
      <c r="AB123" s="13">
        <v>0.8777777777777778</v>
      </c>
      <c r="AC123" s="20">
        <v>152.0</v>
      </c>
      <c r="AD123" s="21">
        <v>0.95625</v>
      </c>
      <c r="AE123" s="22">
        <v>0.9611111111111111</v>
      </c>
      <c r="AF123" s="18">
        <v>149.0</v>
      </c>
      <c r="AG123" s="12">
        <v>0.08680555555555555</v>
      </c>
      <c r="AH123" s="23">
        <v>0.11458333333333333</v>
      </c>
      <c r="AI123" s="11">
        <v>142.0</v>
      </c>
      <c r="AJ123" s="12">
        <v>0.1951388888888889</v>
      </c>
      <c r="AK123" s="13">
        <v>0.19722222222222222</v>
      </c>
      <c r="AL123" s="14">
        <v>135.0</v>
      </c>
      <c r="AM123" s="15">
        <v>0.30277777777777776</v>
      </c>
      <c r="AN123" s="16">
        <v>0.3034722222222222</v>
      </c>
      <c r="AO123" s="11">
        <v>127.0</v>
      </c>
      <c r="AP123" s="12">
        <v>0.3701388888888889</v>
      </c>
      <c r="AQ123" s="13">
        <v>0.3784722222222222</v>
      </c>
      <c r="AR123" s="11">
        <v>121.0</v>
      </c>
      <c r="AS123" s="12">
        <v>0.4465277777777778</v>
      </c>
      <c r="AT123" s="13">
        <v>0.44722222222222224</v>
      </c>
      <c r="AU123" s="11">
        <v>122.0</v>
      </c>
      <c r="AV123" s="48" t="s">
        <v>178</v>
      </c>
      <c r="AW123" s="13"/>
      <c r="AX123" s="11"/>
      <c r="AY123" s="18"/>
      <c r="AZ123" s="13"/>
      <c r="BA123" s="34"/>
      <c r="BB123" s="49"/>
      <c r="BC123" s="12"/>
    </row>
    <row r="124" ht="15.75" customHeight="1">
      <c r="A124" s="7"/>
      <c r="B124" s="45"/>
      <c r="C124" s="46">
        <v>590.0</v>
      </c>
      <c r="D124" s="45"/>
      <c r="E124" s="11">
        <v>109.0</v>
      </c>
      <c r="F124" s="12">
        <v>0.26944444444444443</v>
      </c>
      <c r="G124" s="13">
        <v>0.2701388888888889</v>
      </c>
      <c r="H124" s="14">
        <v>111.0</v>
      </c>
      <c r="I124" s="15">
        <v>0.32569444444444445</v>
      </c>
      <c r="J124" s="16">
        <v>0.32569444444444445</v>
      </c>
      <c r="K124" s="11">
        <v>120.0</v>
      </c>
      <c r="L124" s="12">
        <v>0.40208333333333335</v>
      </c>
      <c r="M124" s="13">
        <v>0.4222222222222222</v>
      </c>
      <c r="N124" s="17">
        <v>119.0</v>
      </c>
      <c r="O124" s="12">
        <v>0.5</v>
      </c>
      <c r="P124" s="12">
        <v>0.5027777777777778</v>
      </c>
      <c r="Q124" s="11">
        <v>116.0</v>
      </c>
      <c r="R124" s="12">
        <v>0.5777777777777777</v>
      </c>
      <c r="S124" s="13">
        <v>0.58125</v>
      </c>
      <c r="T124" s="18">
        <v>132.0</v>
      </c>
      <c r="U124" s="12">
        <v>0.6604166666666667</v>
      </c>
      <c r="V124" s="13">
        <v>0.6638888888888889</v>
      </c>
      <c r="W124" s="11">
        <v>143.0</v>
      </c>
      <c r="X124" s="12">
        <v>0.7243055555555555</v>
      </c>
      <c r="Y124" s="13">
        <v>0.7381944444444445</v>
      </c>
      <c r="Z124" s="11">
        <v>131.0</v>
      </c>
      <c r="AA124" s="19"/>
      <c r="AB124" s="13">
        <v>0.8506944444444444</v>
      </c>
      <c r="AC124" s="20">
        <v>135.0</v>
      </c>
      <c r="AD124" s="21">
        <v>0.9298611111111111</v>
      </c>
      <c r="AE124" s="22">
        <v>0.9347222222222222</v>
      </c>
      <c r="AF124" s="18">
        <v>134.0</v>
      </c>
      <c r="AG124" s="12">
        <v>0.05763888888888889</v>
      </c>
      <c r="AH124" s="23">
        <v>0.08819444444444445</v>
      </c>
      <c r="AI124" s="11">
        <v>140.0</v>
      </c>
      <c r="AJ124" s="12">
        <v>0.18541666666666667</v>
      </c>
      <c r="AK124" s="13">
        <v>0.18611111111111112</v>
      </c>
      <c r="AL124" s="14">
        <v>134.0</v>
      </c>
      <c r="AM124" s="15">
        <v>0.29930555555555555</v>
      </c>
      <c r="AN124" s="16">
        <v>0.30625</v>
      </c>
      <c r="AO124" s="11">
        <v>126.0</v>
      </c>
      <c r="AP124" s="12">
        <v>0.36944444444444446</v>
      </c>
      <c r="AQ124" s="13">
        <v>0.38125</v>
      </c>
      <c r="AR124" s="11">
        <v>123.0</v>
      </c>
      <c r="AS124" s="12">
        <v>0.4465277777777778</v>
      </c>
      <c r="AT124" s="13">
        <v>0.44722222222222224</v>
      </c>
      <c r="AU124" s="11">
        <v>123.0</v>
      </c>
      <c r="AV124" s="48" t="s">
        <v>178</v>
      </c>
      <c r="AW124" s="13"/>
      <c r="AX124" s="11"/>
      <c r="AY124" s="18"/>
      <c r="AZ124" s="13"/>
      <c r="BA124" s="34"/>
      <c r="BB124" s="49"/>
      <c r="BC124" s="12"/>
    </row>
    <row r="125" ht="15.75" customHeight="1">
      <c r="A125" s="7"/>
      <c r="B125" s="45"/>
      <c r="C125" s="46">
        <v>615.0</v>
      </c>
      <c r="D125" s="45"/>
      <c r="E125" s="11">
        <v>48.0</v>
      </c>
      <c r="F125" s="12">
        <v>0.2611111111111111</v>
      </c>
      <c r="G125" s="13">
        <v>0.26180555555555557</v>
      </c>
      <c r="H125" s="14">
        <v>68.0</v>
      </c>
      <c r="I125" s="15">
        <v>0.3194444444444444</v>
      </c>
      <c r="J125" s="16">
        <v>0.3194444444444444</v>
      </c>
      <c r="K125" s="11">
        <v>73.0</v>
      </c>
      <c r="L125" s="12">
        <v>0.3875</v>
      </c>
      <c r="M125" s="13">
        <v>0.4013888888888889</v>
      </c>
      <c r="N125" s="17">
        <v>86.0</v>
      </c>
      <c r="O125" s="12">
        <v>0.48055555555555557</v>
      </c>
      <c r="P125" s="12">
        <v>0.4840277777777778</v>
      </c>
      <c r="Q125" s="11">
        <v>97.0</v>
      </c>
      <c r="R125" s="12">
        <v>0.5597222222222222</v>
      </c>
      <c r="S125" s="13">
        <v>0.5638888888888889</v>
      </c>
      <c r="T125" s="18">
        <v>103.0</v>
      </c>
      <c r="U125" s="12">
        <v>0.6381944444444444</v>
      </c>
      <c r="V125" s="13">
        <v>0.64375</v>
      </c>
      <c r="W125" s="11">
        <v>102.0</v>
      </c>
      <c r="X125" s="12">
        <v>0.69375</v>
      </c>
      <c r="Y125" s="13">
        <v>0.70625</v>
      </c>
      <c r="Z125" s="11">
        <v>116.0</v>
      </c>
      <c r="AA125" s="19"/>
      <c r="AB125" s="13">
        <v>0.8354166666666667</v>
      </c>
      <c r="AC125" s="20">
        <v>116.0</v>
      </c>
      <c r="AD125" s="21">
        <v>0.9090277777777778</v>
      </c>
      <c r="AE125" s="22">
        <v>0.9208333333333333</v>
      </c>
      <c r="AF125" s="18">
        <v>124.0</v>
      </c>
      <c r="AG125" s="12">
        <v>0.043055555555555555</v>
      </c>
      <c r="AH125" s="23">
        <v>0.059722222222222225</v>
      </c>
      <c r="AI125" s="11">
        <v>126.0</v>
      </c>
      <c r="AJ125" s="12">
        <v>0.15069444444444444</v>
      </c>
      <c r="AK125" s="13">
        <v>0.1673611111111111</v>
      </c>
      <c r="AL125" s="14">
        <v>130.0</v>
      </c>
      <c r="AM125" s="15">
        <v>0.2951388888888889</v>
      </c>
      <c r="AN125" s="16">
        <v>0.3013888888888889</v>
      </c>
      <c r="AO125" s="11">
        <v>129.0</v>
      </c>
      <c r="AP125" s="12">
        <v>0.3798611111111111</v>
      </c>
      <c r="AQ125" s="13">
        <v>0.38472222222222224</v>
      </c>
      <c r="AR125" s="11">
        <v>124.0</v>
      </c>
      <c r="AS125" s="12">
        <v>0.46875</v>
      </c>
      <c r="AT125" s="50" t="s">
        <v>178</v>
      </c>
      <c r="AU125" s="11"/>
      <c r="AV125" s="12"/>
      <c r="AW125" s="38"/>
      <c r="AX125" s="11"/>
      <c r="AY125" s="12"/>
      <c r="AZ125" s="38"/>
      <c r="BA125" s="34"/>
      <c r="BB125" s="49"/>
      <c r="BC125" s="12"/>
    </row>
    <row r="126" ht="15.75" customHeight="1">
      <c r="A126" s="7"/>
      <c r="B126" s="45"/>
      <c r="C126" s="46">
        <v>556.0</v>
      </c>
      <c r="D126" s="45"/>
      <c r="E126" s="11">
        <v>40.0</v>
      </c>
      <c r="F126" s="12">
        <v>0.2604166666666667</v>
      </c>
      <c r="G126" s="13">
        <v>0.26180555555555557</v>
      </c>
      <c r="H126" s="27"/>
      <c r="I126" s="28"/>
      <c r="J126" s="29"/>
      <c r="K126" s="11">
        <v>56.0</v>
      </c>
      <c r="L126" s="12">
        <v>0.3770833333333333</v>
      </c>
      <c r="M126" s="13">
        <v>0.38263888888888886</v>
      </c>
      <c r="N126" s="17">
        <v>76.0</v>
      </c>
      <c r="O126" s="12">
        <v>0.47430555555555554</v>
      </c>
      <c r="P126" s="12">
        <v>0.47638888888888886</v>
      </c>
      <c r="Q126" s="11">
        <v>80.0</v>
      </c>
      <c r="R126" s="12">
        <v>0.55</v>
      </c>
      <c r="S126" s="13">
        <v>0.5520833333333334</v>
      </c>
      <c r="T126" s="18">
        <v>92.0</v>
      </c>
      <c r="U126" s="12">
        <v>0.6284722222222222</v>
      </c>
      <c r="V126" s="13">
        <v>0.6305555555555555</v>
      </c>
      <c r="W126" s="11">
        <v>101.0</v>
      </c>
      <c r="X126" s="12">
        <v>0.6930555555555555</v>
      </c>
      <c r="Y126" s="13">
        <v>0.7055555555555556</v>
      </c>
      <c r="Z126" s="11">
        <v>115.0</v>
      </c>
      <c r="AA126" s="26"/>
      <c r="AB126" s="13">
        <v>0.8326388888888889</v>
      </c>
      <c r="AC126" s="20">
        <v>122.0</v>
      </c>
      <c r="AD126" s="21">
        <v>0.9152777777777777</v>
      </c>
      <c r="AE126" s="22">
        <v>0.9180555555555555</v>
      </c>
      <c r="AF126" s="18">
        <v>131.0</v>
      </c>
      <c r="AG126" s="12">
        <v>0.059027777777777776</v>
      </c>
      <c r="AH126" s="23">
        <v>0.06597222222222222</v>
      </c>
      <c r="AI126" s="11">
        <v>131.0</v>
      </c>
      <c r="AJ126" s="12">
        <v>0.16458333333333333</v>
      </c>
      <c r="AK126" s="13">
        <v>0.16875</v>
      </c>
      <c r="AL126" s="14">
        <v>138.0</v>
      </c>
      <c r="AM126" s="15">
        <v>0.31180555555555556</v>
      </c>
      <c r="AN126" s="16">
        <v>0.3138888888888889</v>
      </c>
      <c r="AO126" s="11">
        <v>130.0</v>
      </c>
      <c r="AP126" s="12">
        <v>0.3819444444444444</v>
      </c>
      <c r="AQ126" s="13">
        <v>0.38333333333333336</v>
      </c>
      <c r="AR126" s="11">
        <v>125.0</v>
      </c>
      <c r="AS126" s="12">
        <v>0.4722222222222222</v>
      </c>
      <c r="AT126" s="50" t="s">
        <v>178</v>
      </c>
      <c r="AU126" s="11"/>
      <c r="AV126" s="18"/>
      <c r="AW126" s="38"/>
      <c r="AX126" s="11"/>
      <c r="AY126" s="18"/>
      <c r="AZ126" s="38"/>
      <c r="BA126" s="34"/>
      <c r="BB126" s="49"/>
      <c r="BC126" s="12"/>
    </row>
    <row r="127" ht="15.75" customHeight="1">
      <c r="A127" s="7"/>
      <c r="B127" s="45"/>
      <c r="C127" s="46">
        <v>701.0</v>
      </c>
      <c r="D127" s="45"/>
      <c r="E127" s="11">
        <v>165.0</v>
      </c>
      <c r="F127" s="12">
        <v>0.2743055555555556</v>
      </c>
      <c r="G127" s="13">
        <v>0.275</v>
      </c>
      <c r="H127" s="14">
        <v>162.0</v>
      </c>
      <c r="I127" s="15">
        <v>0.3388888888888889</v>
      </c>
      <c r="J127" s="16">
        <v>0.3388888888888889</v>
      </c>
      <c r="K127" s="11">
        <v>165.0</v>
      </c>
      <c r="L127" s="12">
        <v>0.41944444444444445</v>
      </c>
      <c r="M127" s="13">
        <v>0.4222222222222222</v>
      </c>
      <c r="N127" s="17">
        <v>153.0</v>
      </c>
      <c r="O127" s="12">
        <v>0.5159722222222223</v>
      </c>
      <c r="P127" s="12">
        <v>0.5194444444444445</v>
      </c>
      <c r="Q127" s="11">
        <v>157.0</v>
      </c>
      <c r="R127" s="12">
        <v>0.5986111111111111</v>
      </c>
      <c r="S127" s="13">
        <v>0.6013888888888889</v>
      </c>
      <c r="T127" s="18">
        <v>155.0</v>
      </c>
      <c r="U127" s="12">
        <v>0.68125</v>
      </c>
      <c r="V127" s="13">
        <v>0.6847222222222222</v>
      </c>
      <c r="W127" s="11">
        <v>154.0</v>
      </c>
      <c r="X127" s="12">
        <v>0.7395833333333334</v>
      </c>
      <c r="Y127" s="13">
        <v>0.7541666666666667</v>
      </c>
      <c r="Z127" s="11">
        <v>146.0</v>
      </c>
      <c r="AA127" s="19"/>
      <c r="AB127" s="13">
        <v>0.8715277777777778</v>
      </c>
      <c r="AC127" s="20">
        <v>143.0</v>
      </c>
      <c r="AD127" s="21">
        <v>0.9444444444444444</v>
      </c>
      <c r="AE127" s="22">
        <v>0.95</v>
      </c>
      <c r="AF127" s="18">
        <v>140.0</v>
      </c>
      <c r="AG127" s="12">
        <v>0.06597222222222222</v>
      </c>
      <c r="AH127" s="23">
        <v>0.09027777777777778</v>
      </c>
      <c r="AI127" s="11">
        <v>133.0</v>
      </c>
      <c r="AJ127" s="12">
        <v>0.17083333333333334</v>
      </c>
      <c r="AK127" s="13">
        <v>0.17430555555555555</v>
      </c>
      <c r="AL127" s="14">
        <v>133.0</v>
      </c>
      <c r="AM127" s="15">
        <v>0.2986111111111111</v>
      </c>
      <c r="AN127" s="16">
        <v>0.3020833333333333</v>
      </c>
      <c r="AO127" s="11">
        <v>128.0</v>
      </c>
      <c r="AP127" s="12">
        <v>0.3763888888888889</v>
      </c>
      <c r="AQ127" s="13">
        <v>0.3784722222222222</v>
      </c>
      <c r="AR127" s="11">
        <v>126.0</v>
      </c>
      <c r="AS127" s="12">
        <v>0.4722222222222222</v>
      </c>
      <c r="AT127" s="50" t="s">
        <v>178</v>
      </c>
      <c r="AU127" s="11"/>
      <c r="AV127" s="18"/>
      <c r="AW127" s="38"/>
      <c r="AX127" s="11"/>
      <c r="AY127" s="18"/>
      <c r="AZ127" s="38"/>
      <c r="BA127" s="34"/>
      <c r="BB127" s="49"/>
      <c r="BC127" s="12"/>
    </row>
    <row r="128" ht="15.75" customHeight="1">
      <c r="A128" s="7"/>
      <c r="B128" s="45"/>
      <c r="C128" s="46">
        <v>711.0</v>
      </c>
      <c r="D128" s="45"/>
      <c r="E128" s="11">
        <v>102.0</v>
      </c>
      <c r="F128" s="12">
        <v>0.26875</v>
      </c>
      <c r="G128" s="13">
        <v>0.26944444444444443</v>
      </c>
      <c r="H128" s="14">
        <v>76.0</v>
      </c>
      <c r="I128" s="15">
        <v>0.32083333333333336</v>
      </c>
      <c r="J128" s="16">
        <v>0.32083333333333336</v>
      </c>
      <c r="K128" s="11">
        <v>59.0</v>
      </c>
      <c r="L128" s="12">
        <v>0.3798611111111111</v>
      </c>
      <c r="M128" s="13">
        <v>0.3840277777777778</v>
      </c>
      <c r="N128" s="17">
        <v>40.0</v>
      </c>
      <c r="O128" s="12">
        <v>0.45</v>
      </c>
      <c r="P128" s="12">
        <v>0.4534722222222222</v>
      </c>
      <c r="Q128" s="11">
        <v>42.0</v>
      </c>
      <c r="R128" s="12">
        <v>0.5125</v>
      </c>
      <c r="S128" s="13">
        <v>0.5194444444444445</v>
      </c>
      <c r="T128" s="18">
        <v>44.0</v>
      </c>
      <c r="U128" s="12">
        <v>0.5763888888888888</v>
      </c>
      <c r="V128" s="13">
        <v>0.5784722222222223</v>
      </c>
      <c r="W128" s="11">
        <v>40.0</v>
      </c>
      <c r="X128" s="12">
        <v>0.6138888888888889</v>
      </c>
      <c r="Y128" s="13">
        <v>0.625</v>
      </c>
      <c r="Z128" s="11">
        <v>41.0</v>
      </c>
      <c r="AA128" s="19"/>
      <c r="AB128" s="13">
        <v>0.7256944444444444</v>
      </c>
      <c r="AC128" s="20">
        <v>37.0</v>
      </c>
      <c r="AD128" s="21">
        <v>0.7756944444444445</v>
      </c>
      <c r="AE128" s="22">
        <v>0.7791666666666667</v>
      </c>
      <c r="AF128" s="18">
        <v>28.0</v>
      </c>
      <c r="AG128" s="12">
        <v>0.8451388888888889</v>
      </c>
      <c r="AH128" s="23">
        <v>0.8555555555555555</v>
      </c>
      <c r="AI128" s="11">
        <v>27.0</v>
      </c>
      <c r="AJ128" s="12">
        <v>0.9173611111111111</v>
      </c>
      <c r="AK128" s="13">
        <v>0.9229166666666667</v>
      </c>
      <c r="AL128" s="14">
        <v>27.0</v>
      </c>
      <c r="AM128" s="15">
        <v>0.022222222222222223</v>
      </c>
      <c r="AN128" s="16">
        <v>0.034722222222222224</v>
      </c>
      <c r="AO128" s="11">
        <v>39.0</v>
      </c>
      <c r="AP128" s="12">
        <v>0.13541666666666666</v>
      </c>
      <c r="AQ128" s="50" t="s">
        <v>178</v>
      </c>
      <c r="AR128" s="11"/>
      <c r="AS128" s="12"/>
      <c r="AT128" s="13"/>
      <c r="AU128" s="11"/>
      <c r="AV128" s="12"/>
      <c r="AW128" s="13"/>
      <c r="AX128" s="11"/>
      <c r="AY128" s="12"/>
      <c r="AZ128" s="13"/>
      <c r="BA128" s="34"/>
      <c r="BB128" s="49"/>
      <c r="BC128" s="12"/>
    </row>
    <row r="129" ht="15.75" customHeight="1">
      <c r="A129" s="7"/>
      <c r="B129" s="45"/>
      <c r="C129" s="46">
        <v>718.0</v>
      </c>
      <c r="D129" s="45"/>
      <c r="E129" s="11">
        <v>90.0</v>
      </c>
      <c r="F129" s="12">
        <v>0.2673611111111111</v>
      </c>
      <c r="G129" s="13">
        <v>0.26805555555555555</v>
      </c>
      <c r="H129" s="27"/>
      <c r="I129" s="28"/>
      <c r="J129" s="29"/>
      <c r="K129" s="11">
        <v>85.0</v>
      </c>
      <c r="L129" s="12">
        <v>0.3888888888888889</v>
      </c>
      <c r="M129" s="13">
        <v>0.39375</v>
      </c>
      <c r="N129" s="17">
        <v>80.0</v>
      </c>
      <c r="O129" s="12">
        <v>0.47638888888888886</v>
      </c>
      <c r="P129" s="12">
        <v>0.4791666666666667</v>
      </c>
      <c r="Q129" s="11">
        <v>69.0</v>
      </c>
      <c r="R129" s="12">
        <v>0.5423611111111111</v>
      </c>
      <c r="S129" s="13">
        <v>0.5451388888888888</v>
      </c>
      <c r="T129" s="18">
        <v>70.0</v>
      </c>
      <c r="U129" s="12">
        <v>0.6083333333333333</v>
      </c>
      <c r="V129" s="13">
        <v>0.6111111111111112</v>
      </c>
      <c r="W129" s="11">
        <v>82.0</v>
      </c>
      <c r="X129" s="12">
        <v>0.6701388888888888</v>
      </c>
      <c r="Y129" s="13">
        <v>0.69375</v>
      </c>
      <c r="Z129" s="11">
        <v>88.0</v>
      </c>
      <c r="AA129" s="19"/>
      <c r="AB129" s="13">
        <v>0.7951388888888888</v>
      </c>
      <c r="AC129" s="20">
        <v>89.0</v>
      </c>
      <c r="AD129" s="21">
        <v>0.8590277777777777</v>
      </c>
      <c r="AE129" s="22">
        <v>0.8645833333333334</v>
      </c>
      <c r="AF129" s="18">
        <v>86.0</v>
      </c>
      <c r="AG129" s="12">
        <v>0.96875</v>
      </c>
      <c r="AH129" s="23">
        <v>0.9916666666666667</v>
      </c>
      <c r="AI129" s="11">
        <v>86.0</v>
      </c>
      <c r="AJ129" s="12">
        <v>0.06666666666666667</v>
      </c>
      <c r="AK129" s="13">
        <v>0.07222222222222222</v>
      </c>
      <c r="AL129" s="14">
        <v>87.0</v>
      </c>
      <c r="AM129" s="15">
        <v>0.1875</v>
      </c>
      <c r="AN129" s="16">
        <v>0.1951388888888889</v>
      </c>
      <c r="AO129" s="11">
        <v>95.0</v>
      </c>
      <c r="AP129" s="12">
        <v>0.2763888888888889</v>
      </c>
      <c r="AQ129" s="50" t="s">
        <v>178</v>
      </c>
      <c r="AR129" s="11"/>
      <c r="AS129" s="12"/>
      <c r="AT129" s="13"/>
      <c r="AU129" s="11"/>
      <c r="AV129" s="12"/>
      <c r="AW129" s="13"/>
      <c r="AX129" s="11"/>
      <c r="AY129" s="12"/>
      <c r="AZ129" s="13"/>
      <c r="BA129" s="34"/>
      <c r="BB129" s="49"/>
      <c r="BC129" s="12"/>
    </row>
    <row r="130" ht="15.75" customHeight="1">
      <c r="A130" s="7"/>
      <c r="B130" s="45"/>
      <c r="C130" s="46">
        <v>721.0</v>
      </c>
      <c r="D130" s="45"/>
      <c r="E130" s="11">
        <v>57.0</v>
      </c>
      <c r="F130" s="12">
        <v>0.26319444444444445</v>
      </c>
      <c r="G130" s="13">
        <v>0.2638888888888889</v>
      </c>
      <c r="H130" s="14">
        <v>47.0</v>
      </c>
      <c r="I130" s="15">
        <v>0.3138888888888889</v>
      </c>
      <c r="J130" s="16">
        <v>0.3138888888888889</v>
      </c>
      <c r="K130" s="11">
        <v>39.0</v>
      </c>
      <c r="L130" s="12">
        <v>0.3715277777777778</v>
      </c>
      <c r="M130" s="13">
        <v>0.3736111111111111</v>
      </c>
      <c r="N130" s="17">
        <v>30.0</v>
      </c>
      <c r="O130" s="12">
        <v>0.44583333333333336</v>
      </c>
      <c r="P130" s="12">
        <v>0.44722222222222224</v>
      </c>
      <c r="Q130" s="11">
        <v>33.0</v>
      </c>
      <c r="R130" s="12">
        <v>0.5069444444444444</v>
      </c>
      <c r="S130" s="13">
        <v>0.5118055555555555</v>
      </c>
      <c r="T130" s="18">
        <v>40.0</v>
      </c>
      <c r="U130" s="12">
        <v>0.5708333333333333</v>
      </c>
      <c r="V130" s="13">
        <v>0.5729166666666666</v>
      </c>
      <c r="W130" s="11">
        <v>38.0</v>
      </c>
      <c r="X130" s="12">
        <v>0.6118055555555556</v>
      </c>
      <c r="Y130" s="13">
        <v>0.6152777777777778</v>
      </c>
      <c r="Z130" s="11">
        <v>43.0</v>
      </c>
      <c r="AA130" s="19"/>
      <c r="AB130" s="13">
        <v>0.7277777777777777</v>
      </c>
      <c r="AC130" s="20">
        <v>47.0</v>
      </c>
      <c r="AD130" s="21">
        <v>0.7944444444444444</v>
      </c>
      <c r="AE130" s="22">
        <v>0.7979166666666667</v>
      </c>
      <c r="AF130" s="18">
        <v>54.0</v>
      </c>
      <c r="AG130" s="12">
        <v>0.9104166666666667</v>
      </c>
      <c r="AH130" s="23">
        <v>0.9361111111111111</v>
      </c>
      <c r="AI130" s="11">
        <v>61.0</v>
      </c>
      <c r="AJ130" s="12">
        <v>0.019444444444444445</v>
      </c>
      <c r="AK130" s="13">
        <v>0.027777777777777776</v>
      </c>
      <c r="AL130" s="14">
        <v>81.0</v>
      </c>
      <c r="AM130" s="15">
        <v>0.17152777777777778</v>
      </c>
      <c r="AN130" s="16">
        <v>0.21666666666666667</v>
      </c>
      <c r="AO130" s="11">
        <v>110.0</v>
      </c>
      <c r="AP130" s="12">
        <v>0.3076388888888889</v>
      </c>
      <c r="AQ130" s="50" t="s">
        <v>178</v>
      </c>
      <c r="AR130" s="11"/>
      <c r="AS130" s="12"/>
      <c r="AT130" s="38"/>
      <c r="AU130" s="11"/>
      <c r="AV130" s="12"/>
      <c r="AW130" s="38"/>
      <c r="AX130" s="11"/>
      <c r="AY130" s="12"/>
      <c r="AZ130" s="38"/>
      <c r="BA130" s="34"/>
      <c r="BB130" s="49"/>
      <c r="BC130" s="12"/>
    </row>
    <row r="131" ht="15.75" customHeight="1">
      <c r="A131" s="7"/>
      <c r="B131" s="45"/>
      <c r="C131" s="46">
        <v>520.0</v>
      </c>
      <c r="D131" s="45"/>
      <c r="E131" s="11">
        <v>136.0</v>
      </c>
      <c r="F131" s="12">
        <v>0.27152777777777776</v>
      </c>
      <c r="G131" s="13">
        <v>0.2722222222222222</v>
      </c>
      <c r="H131" s="14">
        <v>130.0</v>
      </c>
      <c r="I131" s="15">
        <v>0.3326388888888889</v>
      </c>
      <c r="J131" s="16">
        <v>0.3326388888888889</v>
      </c>
      <c r="K131" s="11">
        <v>161.0</v>
      </c>
      <c r="L131" s="12">
        <v>0.41597222222222224</v>
      </c>
      <c r="M131" s="13">
        <v>0.4326388888888889</v>
      </c>
      <c r="N131" s="17">
        <v>172.0</v>
      </c>
      <c r="O131" s="12">
        <v>0.5319444444444444</v>
      </c>
      <c r="P131" s="12">
        <v>0.5402777777777777</v>
      </c>
      <c r="Q131" s="11">
        <v>177.0</v>
      </c>
      <c r="R131" s="12">
        <v>0.61875</v>
      </c>
      <c r="S131" s="13">
        <v>0.6236111111111111</v>
      </c>
      <c r="T131" s="18">
        <v>170.0</v>
      </c>
      <c r="U131" s="12">
        <v>0.6986111111111111</v>
      </c>
      <c r="V131" s="13">
        <v>0.7006944444444444</v>
      </c>
      <c r="W131" s="11">
        <v>169.0</v>
      </c>
      <c r="X131" s="12">
        <v>0.75625</v>
      </c>
      <c r="Y131" s="13">
        <v>0.7736111111111111</v>
      </c>
      <c r="Z131" s="11">
        <v>162.0</v>
      </c>
      <c r="AA131" s="26"/>
      <c r="AB131" s="13">
        <v>0.8965277777777778</v>
      </c>
      <c r="AC131" s="20">
        <v>160.0</v>
      </c>
      <c r="AD131" s="21">
        <v>0.9666666666666667</v>
      </c>
      <c r="AE131" s="22">
        <v>0.9694444444444444</v>
      </c>
      <c r="AF131" s="18">
        <v>146.0</v>
      </c>
      <c r="AG131" s="12">
        <v>0.08194444444444444</v>
      </c>
      <c r="AH131" s="23">
        <v>0.10069444444444445</v>
      </c>
      <c r="AI131" s="11">
        <v>145.0</v>
      </c>
      <c r="AJ131" s="12">
        <v>0.19583333333333333</v>
      </c>
      <c r="AK131" s="13">
        <v>0.20069444444444445</v>
      </c>
      <c r="AL131" s="14">
        <v>136.0</v>
      </c>
      <c r="AM131" s="15">
        <v>0.3055555555555556</v>
      </c>
      <c r="AN131" s="16">
        <v>0.30833333333333335</v>
      </c>
      <c r="AO131" s="11">
        <v>125.0</v>
      </c>
      <c r="AP131" s="12">
        <v>0.3680555555555556</v>
      </c>
      <c r="AQ131" s="50" t="s">
        <v>178</v>
      </c>
      <c r="AR131" s="11"/>
      <c r="AS131" s="18"/>
      <c r="AT131" s="38"/>
      <c r="AU131" s="11"/>
      <c r="AV131" s="18"/>
      <c r="AW131" s="38"/>
      <c r="AX131" s="11"/>
      <c r="AY131" s="18"/>
      <c r="AZ131" s="38"/>
      <c r="BA131" s="34"/>
      <c r="BB131" s="49"/>
      <c r="BC131" s="12"/>
    </row>
    <row r="132" ht="15.75" customHeight="1">
      <c r="A132" s="7"/>
      <c r="B132" s="45"/>
      <c r="C132" s="46">
        <v>504.0</v>
      </c>
      <c r="D132" s="45"/>
      <c r="E132" s="11">
        <v>15.0</v>
      </c>
      <c r="F132" s="12">
        <v>0.25555555555555554</v>
      </c>
      <c r="G132" s="13">
        <v>0.25555555555555554</v>
      </c>
      <c r="H132" s="14">
        <v>17.0</v>
      </c>
      <c r="I132" s="15">
        <v>0.3020833333333333</v>
      </c>
      <c r="J132" s="16">
        <v>0.3020833333333333</v>
      </c>
      <c r="K132" s="11">
        <v>42.0</v>
      </c>
      <c r="L132" s="12">
        <v>0.3729166666666667</v>
      </c>
      <c r="M132" s="13">
        <v>0.3784722222222222</v>
      </c>
      <c r="N132" s="17">
        <v>59.0</v>
      </c>
      <c r="O132" s="30">
        <v>0.46319444444444446</v>
      </c>
      <c r="P132" s="30">
        <v>0.46805555555555556</v>
      </c>
      <c r="Q132" s="11">
        <v>72.0</v>
      </c>
      <c r="R132" s="12">
        <v>0.54375</v>
      </c>
      <c r="S132" s="13">
        <v>0.5506944444444445</v>
      </c>
      <c r="T132" s="18">
        <v>81.0</v>
      </c>
      <c r="U132" s="12">
        <v>0.6201388888888889</v>
      </c>
      <c r="V132" s="13">
        <v>0.6256944444444444</v>
      </c>
      <c r="W132" s="11">
        <v>75.0</v>
      </c>
      <c r="X132" s="12">
        <v>0.6659722222222222</v>
      </c>
      <c r="Y132" s="13">
        <v>0.6791666666666667</v>
      </c>
      <c r="Z132" s="11">
        <v>98.0</v>
      </c>
      <c r="AA132" s="19"/>
      <c r="AB132" s="13">
        <v>0.8104166666666667</v>
      </c>
      <c r="AC132" s="20">
        <v>99.0</v>
      </c>
      <c r="AD132" s="21">
        <v>0.8840277777777777</v>
      </c>
      <c r="AE132" s="22">
        <v>0.8909722222222223</v>
      </c>
      <c r="AF132" s="18">
        <v>109.0</v>
      </c>
      <c r="AG132" s="12">
        <v>0.017361111111111112</v>
      </c>
      <c r="AH132" s="23">
        <v>0.03194444444444444</v>
      </c>
      <c r="AI132" s="11">
        <v>122.0</v>
      </c>
      <c r="AJ132" s="12">
        <v>0.1361111111111111</v>
      </c>
      <c r="AK132" s="13">
        <v>0.14791666666666667</v>
      </c>
      <c r="AL132" s="14">
        <v>131.0</v>
      </c>
      <c r="AM132" s="15">
        <v>0.2965277777777778</v>
      </c>
      <c r="AN132" s="16">
        <v>0.30833333333333335</v>
      </c>
      <c r="AO132" s="11">
        <v>131.0</v>
      </c>
      <c r="AP132" s="12">
        <v>0.38680555555555557</v>
      </c>
      <c r="AQ132" s="50" t="s">
        <v>178</v>
      </c>
      <c r="AR132" s="11"/>
      <c r="AS132" s="12"/>
      <c r="AT132" s="13"/>
      <c r="AU132" s="11"/>
      <c r="AV132" s="12"/>
      <c r="AW132" s="13"/>
      <c r="AX132" s="11"/>
      <c r="AY132" s="12"/>
      <c r="AZ132" s="13"/>
      <c r="BA132" s="34"/>
      <c r="BB132" s="49"/>
      <c r="BC132" s="12"/>
    </row>
    <row r="133" ht="15.75" customHeight="1">
      <c r="A133" s="7"/>
      <c r="B133" s="45"/>
      <c r="C133" s="46">
        <v>597.0</v>
      </c>
      <c r="D133" s="45"/>
      <c r="E133" s="11">
        <v>185.0</v>
      </c>
      <c r="F133" s="12">
        <v>0.27847222222222223</v>
      </c>
      <c r="G133" s="13">
        <v>0.2791666666666667</v>
      </c>
      <c r="H133" s="14">
        <v>186.0</v>
      </c>
      <c r="I133" s="15">
        <v>0.35138888888888886</v>
      </c>
      <c r="J133" s="16">
        <v>0.35138888888888886</v>
      </c>
      <c r="K133" s="11">
        <v>178.0</v>
      </c>
      <c r="L133" s="12">
        <v>0.425</v>
      </c>
      <c r="M133" s="13">
        <v>0.4388888888888889</v>
      </c>
      <c r="N133" s="17">
        <v>159.0</v>
      </c>
      <c r="O133" s="12">
        <v>0.5222222222222223</v>
      </c>
      <c r="P133" s="12">
        <v>0.5243055555555556</v>
      </c>
      <c r="Q133" s="11">
        <v>152.0</v>
      </c>
      <c r="R133" s="12">
        <v>0.5951388888888889</v>
      </c>
      <c r="S133" s="13">
        <v>0.5972222222222222</v>
      </c>
      <c r="T133" s="18">
        <v>145.0</v>
      </c>
      <c r="U133" s="12">
        <v>0.6673611111111111</v>
      </c>
      <c r="V133" s="13">
        <v>0.5854166666666667</v>
      </c>
      <c r="W133" s="11">
        <v>130.0</v>
      </c>
      <c r="X133" s="12">
        <v>0.7152777777777778</v>
      </c>
      <c r="Y133" s="13">
        <v>0.7305555555555555</v>
      </c>
      <c r="Z133" s="11">
        <v>120.0</v>
      </c>
      <c r="AA133" s="26"/>
      <c r="AB133" s="13">
        <v>0.8416666666666667</v>
      </c>
      <c r="AC133" s="20">
        <v>121.0</v>
      </c>
      <c r="AD133" s="21">
        <v>0.9138888888888889</v>
      </c>
      <c r="AE133" s="22">
        <v>0.9131944444444444</v>
      </c>
      <c r="AF133" s="18">
        <v>112.0</v>
      </c>
      <c r="AG133" s="12">
        <v>0.024305555555555556</v>
      </c>
      <c r="AH133" s="23">
        <v>0.03611111111111111</v>
      </c>
      <c r="AI133" s="11">
        <v>116.0</v>
      </c>
      <c r="AJ133" s="12">
        <v>0.12222222222222222</v>
      </c>
      <c r="AK133" s="13">
        <v>0.12430555555555556</v>
      </c>
      <c r="AL133" s="14">
        <v>126.0</v>
      </c>
      <c r="AM133" s="15">
        <v>0.27291666666666664</v>
      </c>
      <c r="AN133" s="16">
        <v>0.2791666666666667</v>
      </c>
      <c r="AO133" s="11">
        <v>132.0</v>
      </c>
      <c r="AP133" s="12">
        <v>0.39305555555555555</v>
      </c>
      <c r="AQ133" s="50" t="s">
        <v>178</v>
      </c>
      <c r="AR133" s="11"/>
      <c r="AS133" s="18"/>
      <c r="AT133" s="38"/>
      <c r="AU133" s="11"/>
      <c r="AV133" s="18"/>
      <c r="AW133" s="38"/>
      <c r="AX133" s="11"/>
      <c r="AY133" s="18"/>
      <c r="AZ133" s="38"/>
      <c r="BA133" s="34"/>
      <c r="BB133" s="49"/>
      <c r="BC133" s="12"/>
    </row>
    <row r="134" ht="15.75" customHeight="1">
      <c r="A134" s="7"/>
      <c r="B134" s="45"/>
      <c r="C134" s="46">
        <v>521.0</v>
      </c>
      <c r="D134" s="45"/>
      <c r="E134" s="11">
        <v>132.0</v>
      </c>
      <c r="F134" s="12">
        <v>0.27152777777777776</v>
      </c>
      <c r="G134" s="13">
        <v>0.2722222222222222</v>
      </c>
      <c r="H134" s="14">
        <v>106.0</v>
      </c>
      <c r="I134" s="15">
        <v>0.32569444444444445</v>
      </c>
      <c r="J134" s="16">
        <v>0.32569444444444445</v>
      </c>
      <c r="K134" s="11">
        <v>101.0</v>
      </c>
      <c r="L134" s="12">
        <v>0.39652777777777776</v>
      </c>
      <c r="M134" s="13">
        <v>0.4041666666666667</v>
      </c>
      <c r="N134" s="17">
        <v>117.0</v>
      </c>
      <c r="O134" s="12">
        <v>0.5</v>
      </c>
      <c r="P134" s="12">
        <v>0.50625</v>
      </c>
      <c r="Q134" s="11">
        <v>129.0</v>
      </c>
      <c r="R134" s="12">
        <v>0.5798611111111112</v>
      </c>
      <c r="S134" s="13">
        <v>0.5854166666666667</v>
      </c>
      <c r="T134" s="18">
        <v>135.0</v>
      </c>
      <c r="U134" s="12">
        <v>0.6645833333333333</v>
      </c>
      <c r="V134" s="13">
        <v>0.6729166666666667</v>
      </c>
      <c r="W134" s="11">
        <v>147.0</v>
      </c>
      <c r="X134" s="12">
        <v>0.73125</v>
      </c>
      <c r="Y134" s="13">
        <v>0.7583333333333333</v>
      </c>
      <c r="Z134" s="11">
        <v>156.0</v>
      </c>
      <c r="AA134" s="19"/>
      <c r="AB134" s="13">
        <v>0.88125</v>
      </c>
      <c r="AC134" s="20">
        <v>153.0</v>
      </c>
      <c r="AD134" s="21">
        <v>0.9583333333333334</v>
      </c>
      <c r="AE134" s="22">
        <v>0.9631944444444445</v>
      </c>
      <c r="AF134" s="18">
        <v>144.0</v>
      </c>
      <c r="AG134" s="12">
        <v>0.08055555555555556</v>
      </c>
      <c r="AH134" s="23">
        <v>0.09861111111111111</v>
      </c>
      <c r="AI134" s="11">
        <v>143.0</v>
      </c>
      <c r="AJ134" s="12">
        <v>0.1951388888888889</v>
      </c>
      <c r="AK134" s="13">
        <v>0.19722222222222222</v>
      </c>
      <c r="AL134" s="14">
        <v>139.0</v>
      </c>
      <c r="AM134" s="15">
        <v>0.32430555555555557</v>
      </c>
      <c r="AN134" s="16">
        <v>0.3298611111111111</v>
      </c>
      <c r="AO134" s="51" t="s">
        <v>178</v>
      </c>
      <c r="AP134" s="12"/>
      <c r="AQ134" s="13"/>
      <c r="AR134" s="11"/>
      <c r="AS134" s="12"/>
      <c r="AT134" s="13"/>
      <c r="AU134" s="11"/>
      <c r="AV134" s="12"/>
      <c r="AW134" s="13"/>
      <c r="AX134" s="11"/>
      <c r="AY134" s="12"/>
      <c r="AZ134" s="13"/>
      <c r="BA134" s="34"/>
      <c r="BB134" s="49"/>
      <c r="BC134" s="12"/>
    </row>
    <row r="135" ht="15.75" customHeight="1">
      <c r="A135" s="7"/>
      <c r="B135" s="45"/>
      <c r="C135" s="46">
        <v>584.0</v>
      </c>
      <c r="D135" s="45"/>
      <c r="E135" s="11">
        <v>160.0</v>
      </c>
      <c r="F135" s="12">
        <v>0.2743055555555556</v>
      </c>
      <c r="G135" s="13">
        <v>0.275</v>
      </c>
      <c r="H135" s="14">
        <v>172.0</v>
      </c>
      <c r="I135" s="15">
        <v>0.3416666666666667</v>
      </c>
      <c r="J135" s="16">
        <v>0.3416666666666667</v>
      </c>
      <c r="K135" s="11">
        <v>176.0</v>
      </c>
      <c r="L135" s="12">
        <v>0.42430555555555555</v>
      </c>
      <c r="M135" s="13">
        <v>0.43194444444444446</v>
      </c>
      <c r="N135" s="17">
        <v>166.0</v>
      </c>
      <c r="O135" s="12">
        <v>0.5284722222222222</v>
      </c>
      <c r="P135" s="12">
        <v>0.53125</v>
      </c>
      <c r="Q135" s="11">
        <v>160.0</v>
      </c>
      <c r="R135" s="12">
        <v>0.6055555555555555</v>
      </c>
      <c r="S135" s="13">
        <v>0.6097222222222223</v>
      </c>
      <c r="T135" s="18">
        <v>153.0</v>
      </c>
      <c r="U135" s="12">
        <v>0.68125</v>
      </c>
      <c r="V135" s="13">
        <v>0.6833333333333333</v>
      </c>
      <c r="W135" s="11">
        <v>149.0</v>
      </c>
      <c r="X135" s="12">
        <v>0.7375</v>
      </c>
      <c r="Y135" s="13">
        <v>0.7520833333333333</v>
      </c>
      <c r="Z135" s="11">
        <v>142.0</v>
      </c>
      <c r="AA135" s="19"/>
      <c r="AB135" s="13">
        <v>0.8694444444444445</v>
      </c>
      <c r="AC135" s="20">
        <v>149.0</v>
      </c>
      <c r="AD135" s="21">
        <v>0.9541666666666667</v>
      </c>
      <c r="AE135" s="22">
        <v>0.9590277777777778</v>
      </c>
      <c r="AF135" s="18">
        <v>150.0</v>
      </c>
      <c r="AG135" s="12">
        <v>0.08680555555555555</v>
      </c>
      <c r="AH135" s="23">
        <v>0.09722222222222222</v>
      </c>
      <c r="AI135" s="11">
        <v>138.0</v>
      </c>
      <c r="AJ135" s="12">
        <v>0.1840277777777778</v>
      </c>
      <c r="AK135" s="13">
        <v>0.18611111111111112</v>
      </c>
      <c r="AL135" s="14">
        <v>140.0</v>
      </c>
      <c r="AM135" s="15">
        <v>0.32430555555555557</v>
      </c>
      <c r="AN135" s="16">
        <v>0.3298611111111111</v>
      </c>
      <c r="AO135" s="51" t="s">
        <v>178</v>
      </c>
      <c r="AP135" s="18"/>
      <c r="AQ135" s="38"/>
      <c r="AR135" s="11"/>
      <c r="AS135" s="18"/>
      <c r="AT135" s="38"/>
      <c r="AU135" s="11"/>
      <c r="AV135" s="18"/>
      <c r="AW135" s="38"/>
      <c r="AX135" s="11"/>
      <c r="AY135" s="18"/>
      <c r="AZ135" s="38"/>
      <c r="BA135" s="34"/>
      <c r="BB135" s="49"/>
      <c r="BC135" s="12"/>
    </row>
    <row r="136" ht="15.75" customHeight="1">
      <c r="A136" s="7"/>
      <c r="B136" s="45"/>
      <c r="C136" s="46">
        <v>609.0</v>
      </c>
      <c r="D136" s="45"/>
      <c r="E136" s="32"/>
      <c r="F136" s="19"/>
      <c r="G136" s="33"/>
      <c r="H136" s="14">
        <v>11.0</v>
      </c>
      <c r="I136" s="15">
        <v>0.2986111111111111</v>
      </c>
      <c r="J136" s="16">
        <v>0.2986111111111111</v>
      </c>
      <c r="K136" s="11">
        <v>11.0</v>
      </c>
      <c r="L136" s="12">
        <v>0.3486111111111111</v>
      </c>
      <c r="M136" s="13">
        <v>0.34930555555555554</v>
      </c>
      <c r="N136" s="17">
        <v>5.0</v>
      </c>
      <c r="O136" s="30">
        <v>0.41458333333333336</v>
      </c>
      <c r="P136" s="30">
        <v>0.4152777777777778</v>
      </c>
      <c r="Q136" s="11">
        <v>5.0</v>
      </c>
      <c r="R136" s="12">
        <v>0.4666666666666667</v>
      </c>
      <c r="S136" s="13">
        <v>0.46805555555555556</v>
      </c>
      <c r="T136" s="18">
        <v>4.0</v>
      </c>
      <c r="U136" s="12">
        <v>0.5180555555555556</v>
      </c>
      <c r="V136" s="13">
        <v>0.51875</v>
      </c>
      <c r="W136" s="11">
        <v>5.0</v>
      </c>
      <c r="X136" s="12">
        <v>0.5520833333333334</v>
      </c>
      <c r="Y136" s="13">
        <v>0.5548611111111111</v>
      </c>
      <c r="Z136" s="11">
        <v>4.0</v>
      </c>
      <c r="AA136" s="19"/>
      <c r="AB136" s="13">
        <v>0.6409722222222223</v>
      </c>
      <c r="AC136" s="20">
        <v>4.0</v>
      </c>
      <c r="AD136" s="21">
        <v>0.6895833333333333</v>
      </c>
      <c r="AE136" s="22">
        <v>0.6909722222222222</v>
      </c>
      <c r="AF136" s="18">
        <v>4.0</v>
      </c>
      <c r="AG136" s="12">
        <v>0.7652777777777777</v>
      </c>
      <c r="AH136" s="23">
        <v>0.7666666666666667</v>
      </c>
      <c r="AI136" s="11">
        <v>5.0</v>
      </c>
      <c r="AJ136" s="12">
        <v>0.8388888888888889</v>
      </c>
      <c r="AK136" s="13">
        <v>0.8458333333333333</v>
      </c>
      <c r="AL136" s="14">
        <v>13.0</v>
      </c>
      <c r="AM136" s="15">
        <v>0.9631944444444445</v>
      </c>
      <c r="AN136" s="52" t="s">
        <v>178</v>
      </c>
      <c r="AO136" s="11"/>
      <c r="AP136" s="12"/>
      <c r="AQ136" s="38"/>
      <c r="AR136" s="11"/>
      <c r="AS136" s="12"/>
      <c r="AT136" s="38"/>
      <c r="AU136" s="11"/>
      <c r="AV136" s="12"/>
      <c r="AW136" s="38"/>
      <c r="AX136" s="11"/>
      <c r="AY136" s="12"/>
      <c r="AZ136" s="38"/>
      <c r="BA136" s="34"/>
      <c r="BB136" s="49"/>
      <c r="BC136" s="12"/>
    </row>
    <row r="137" ht="15.75" customHeight="1">
      <c r="A137" s="7"/>
      <c r="B137" s="45"/>
      <c r="C137" s="46">
        <v>736.0</v>
      </c>
      <c r="D137" s="45"/>
      <c r="E137" s="11">
        <v>5.0</v>
      </c>
      <c r="F137" s="12">
        <v>0.2513888888888889</v>
      </c>
      <c r="G137" s="13">
        <v>0.2520833333333333</v>
      </c>
      <c r="H137" s="14">
        <v>2.0</v>
      </c>
      <c r="I137" s="15">
        <v>0.2923611111111111</v>
      </c>
      <c r="J137" s="16">
        <v>0.2923611111111111</v>
      </c>
      <c r="K137" s="11">
        <v>1.0</v>
      </c>
      <c r="L137" s="12">
        <v>0.33958333333333335</v>
      </c>
      <c r="M137" s="13">
        <v>0.34375</v>
      </c>
      <c r="N137" s="17">
        <v>3.0</v>
      </c>
      <c r="O137" s="12">
        <v>0.40555555555555556</v>
      </c>
      <c r="P137" s="12">
        <v>0.40694444444444444</v>
      </c>
      <c r="Q137" s="11">
        <v>3.0</v>
      </c>
      <c r="R137" s="12">
        <v>0.46319444444444446</v>
      </c>
      <c r="S137" s="13">
        <v>0.46319444444444446</v>
      </c>
      <c r="T137" s="18">
        <v>6.0</v>
      </c>
      <c r="U137" s="12">
        <v>0.5194444444444445</v>
      </c>
      <c r="V137" s="13">
        <v>0.5201388888888889</v>
      </c>
      <c r="W137" s="11">
        <v>4.0</v>
      </c>
      <c r="X137" s="12">
        <v>0.55</v>
      </c>
      <c r="Y137" s="13">
        <v>0.5527777777777778</v>
      </c>
      <c r="Z137" s="11">
        <v>11.0</v>
      </c>
      <c r="AA137" s="19"/>
      <c r="AB137" s="13">
        <v>0.6763888888888889</v>
      </c>
      <c r="AC137" s="20">
        <v>13.0</v>
      </c>
      <c r="AD137" s="21">
        <v>0.7381944444444445</v>
      </c>
      <c r="AE137" s="22">
        <v>0.7472222222222222</v>
      </c>
      <c r="AF137" s="18">
        <v>14.0</v>
      </c>
      <c r="AG137" s="12">
        <v>0.8201388888888889</v>
      </c>
      <c r="AH137" s="47" t="s">
        <v>179</v>
      </c>
      <c r="AI137" s="11">
        <v>16.0</v>
      </c>
      <c r="AJ137" s="12">
        <v>0.8951388888888889</v>
      </c>
      <c r="AK137" s="13">
        <v>0.9013888888888889</v>
      </c>
      <c r="AL137" s="14">
        <v>25.0</v>
      </c>
      <c r="AM137" s="15">
        <v>0.0020833333333333333</v>
      </c>
      <c r="AN137" s="52" t="s">
        <v>178</v>
      </c>
      <c r="AO137" s="11"/>
      <c r="AP137" s="18"/>
      <c r="AQ137" s="38"/>
      <c r="AR137" s="11"/>
      <c r="AS137" s="18"/>
      <c r="AT137" s="38"/>
      <c r="AU137" s="11"/>
      <c r="AV137" s="18"/>
      <c r="AW137" s="38"/>
      <c r="AX137" s="11"/>
      <c r="AY137" s="18"/>
      <c r="AZ137" s="38"/>
      <c r="BA137" s="34"/>
      <c r="BB137" s="49"/>
      <c r="BC137" s="12"/>
    </row>
    <row r="138" ht="15.75" customHeight="1">
      <c r="A138" s="7"/>
      <c r="B138" s="45"/>
      <c r="C138" s="46">
        <v>599.0</v>
      </c>
      <c r="D138" s="45"/>
      <c r="E138" s="11">
        <v>2.0</v>
      </c>
      <c r="F138" s="12">
        <v>0.2513888888888889</v>
      </c>
      <c r="G138" s="13">
        <v>0.2520833333333333</v>
      </c>
      <c r="H138" s="14">
        <v>10.0</v>
      </c>
      <c r="I138" s="15">
        <v>0.29444444444444445</v>
      </c>
      <c r="J138" s="16">
        <v>0.29444444444444445</v>
      </c>
      <c r="K138" s="11">
        <v>10.0</v>
      </c>
      <c r="L138" s="12">
        <v>0.34652777777777777</v>
      </c>
      <c r="M138" s="13">
        <v>0.35</v>
      </c>
      <c r="N138" s="17">
        <v>10.0</v>
      </c>
      <c r="O138" s="12">
        <v>0.42083333333333334</v>
      </c>
      <c r="P138" s="12">
        <v>0.4222222222222222</v>
      </c>
      <c r="Q138" s="11">
        <v>11.0</v>
      </c>
      <c r="R138" s="12">
        <v>0.48194444444444445</v>
      </c>
      <c r="S138" s="13">
        <v>0.4826388888888889</v>
      </c>
      <c r="T138" s="18">
        <v>11.0</v>
      </c>
      <c r="U138" s="12">
        <v>0.5333333333333333</v>
      </c>
      <c r="V138" s="13">
        <v>0.5347222222222222</v>
      </c>
      <c r="W138" s="11">
        <v>10.0</v>
      </c>
      <c r="X138" s="12">
        <v>0.5729166666666666</v>
      </c>
      <c r="Y138" s="13">
        <v>0.5777777777777777</v>
      </c>
      <c r="Z138" s="11">
        <v>12.0</v>
      </c>
      <c r="AA138" s="26"/>
      <c r="AB138" s="13">
        <v>0.6798611111111111</v>
      </c>
      <c r="AC138" s="20">
        <v>11.0</v>
      </c>
      <c r="AD138" s="21">
        <v>0.7347222222222223</v>
      </c>
      <c r="AE138" s="22">
        <v>0.7361111111111112</v>
      </c>
      <c r="AF138" s="18">
        <v>20.0</v>
      </c>
      <c r="AG138" s="12">
        <v>0.8291666666666667</v>
      </c>
      <c r="AH138" s="23">
        <v>0.8486111111111111</v>
      </c>
      <c r="AI138" s="11">
        <v>26.0</v>
      </c>
      <c r="AJ138" s="12">
        <v>0.9166666666666666</v>
      </c>
      <c r="AK138" s="13">
        <v>0.9180555555555555</v>
      </c>
      <c r="AL138" s="14">
        <v>34.0</v>
      </c>
      <c r="AM138" s="15">
        <v>0.04097222222222222</v>
      </c>
      <c r="AN138" s="52" t="s">
        <v>178</v>
      </c>
      <c r="AO138" s="11"/>
      <c r="AP138" s="18"/>
      <c r="AQ138" s="38"/>
      <c r="AR138" s="11"/>
      <c r="AS138" s="18"/>
      <c r="AT138" s="38"/>
      <c r="AU138" s="11"/>
      <c r="AV138" s="18"/>
      <c r="AW138" s="38"/>
      <c r="AX138" s="11"/>
      <c r="AY138" s="18"/>
      <c r="AZ138" s="38"/>
      <c r="BA138" s="34"/>
      <c r="BB138" s="49"/>
      <c r="BC138" s="12"/>
    </row>
    <row r="139" ht="15.75" customHeight="1">
      <c r="A139" s="7"/>
      <c r="B139" s="45"/>
      <c r="C139" s="46">
        <v>568.0</v>
      </c>
      <c r="D139" s="45"/>
      <c r="E139" s="11">
        <v>30.0</v>
      </c>
      <c r="F139" s="12">
        <v>0.25972222222222224</v>
      </c>
      <c r="G139" s="13">
        <v>0.2604166666666667</v>
      </c>
      <c r="H139" s="14">
        <v>57.0</v>
      </c>
      <c r="I139" s="15">
        <v>0.3145833333333333</v>
      </c>
      <c r="J139" s="16">
        <v>0.3145833333333333</v>
      </c>
      <c r="K139" s="11">
        <v>54.0</v>
      </c>
      <c r="L139" s="12">
        <v>0.3763888888888889</v>
      </c>
      <c r="M139" s="13">
        <v>0.38263888888888886</v>
      </c>
      <c r="N139" s="17">
        <v>55.0</v>
      </c>
      <c r="O139" s="12">
        <v>0.4618055555555556</v>
      </c>
      <c r="P139" s="12">
        <v>0.4638888888888889</v>
      </c>
      <c r="Q139" s="11">
        <v>57.0</v>
      </c>
      <c r="R139" s="12">
        <v>0.5277777777777778</v>
      </c>
      <c r="S139" s="13">
        <v>0.5340277777777778</v>
      </c>
      <c r="T139" s="18">
        <v>59.0</v>
      </c>
      <c r="U139" s="12">
        <v>0.5958333333333333</v>
      </c>
      <c r="V139" s="13">
        <v>0.6006944444444444</v>
      </c>
      <c r="W139" s="11">
        <v>60.0</v>
      </c>
      <c r="X139" s="12">
        <v>0.6451388888888889</v>
      </c>
      <c r="Y139" s="13">
        <v>0.65625</v>
      </c>
      <c r="Z139" s="11">
        <v>60.0</v>
      </c>
      <c r="AA139" s="19"/>
      <c r="AB139" s="13">
        <v>0.7569444444444444</v>
      </c>
      <c r="AC139" s="20">
        <v>60.0</v>
      </c>
      <c r="AD139" s="21">
        <v>0.8180555555555555</v>
      </c>
      <c r="AE139" s="22">
        <v>0.8263888888888888</v>
      </c>
      <c r="AF139" s="18">
        <v>60.0</v>
      </c>
      <c r="AG139" s="12">
        <v>0.9305555555555556</v>
      </c>
      <c r="AH139" s="23">
        <v>0.9402777777777778</v>
      </c>
      <c r="AI139" s="11">
        <v>59.0</v>
      </c>
      <c r="AJ139" s="12">
        <v>0.013888888888888888</v>
      </c>
      <c r="AK139" s="13">
        <v>0.02013888888888889</v>
      </c>
      <c r="AL139" s="14">
        <v>66.0</v>
      </c>
      <c r="AM139" s="15">
        <v>0.13333333333333333</v>
      </c>
      <c r="AN139" s="52" t="s">
        <v>178</v>
      </c>
      <c r="AO139" s="11"/>
      <c r="AP139" s="12"/>
      <c r="AQ139" s="13"/>
      <c r="AR139" s="11"/>
      <c r="AS139" s="12"/>
      <c r="AT139" s="13"/>
      <c r="AU139" s="11"/>
      <c r="AV139" s="12"/>
      <c r="AW139" s="13"/>
      <c r="AX139" s="11"/>
      <c r="AY139" s="12"/>
      <c r="AZ139" s="13"/>
      <c r="BA139" s="34"/>
      <c r="BB139" s="49"/>
      <c r="BC139" s="12"/>
    </row>
    <row r="140" ht="15.75" customHeight="1">
      <c r="A140" s="7"/>
      <c r="B140" s="45"/>
      <c r="C140" s="46">
        <v>578.0</v>
      </c>
      <c r="D140" s="45"/>
      <c r="E140" s="11">
        <v>118.0</v>
      </c>
      <c r="F140" s="12">
        <v>0.26944444444444443</v>
      </c>
      <c r="G140" s="13">
        <v>0.2701388888888889</v>
      </c>
      <c r="H140" s="14">
        <v>122.0</v>
      </c>
      <c r="I140" s="15">
        <v>0.33125</v>
      </c>
      <c r="J140" s="16">
        <v>0.33125</v>
      </c>
      <c r="K140" s="11">
        <v>86.0</v>
      </c>
      <c r="L140" s="12">
        <v>0.3888888888888889</v>
      </c>
      <c r="M140" s="13">
        <v>0.3902777777777778</v>
      </c>
      <c r="N140" s="17">
        <v>60.0</v>
      </c>
      <c r="O140" s="12">
        <v>0.4638888888888889</v>
      </c>
      <c r="P140" s="12">
        <v>0.4673611111111111</v>
      </c>
      <c r="Q140" s="11">
        <v>55.0</v>
      </c>
      <c r="R140" s="12">
        <v>0.5270833333333333</v>
      </c>
      <c r="S140" s="13">
        <v>0.5375</v>
      </c>
      <c r="T140" s="18">
        <v>57.0</v>
      </c>
      <c r="U140" s="12">
        <v>0.5944444444444444</v>
      </c>
      <c r="V140" s="13">
        <v>0.5972222222222222</v>
      </c>
      <c r="W140" s="11">
        <v>56.0</v>
      </c>
      <c r="X140" s="12">
        <v>0.6409722222222223</v>
      </c>
      <c r="Y140" s="13">
        <v>0.6555555555555556</v>
      </c>
      <c r="Z140" s="11">
        <v>58.0</v>
      </c>
      <c r="AA140" s="26"/>
      <c r="AB140" s="13">
        <v>0.7569444444444444</v>
      </c>
      <c r="AC140" s="20">
        <v>56.0</v>
      </c>
      <c r="AD140" s="21">
        <v>0.8125</v>
      </c>
      <c r="AE140" s="22">
        <v>0.8215277777777777</v>
      </c>
      <c r="AF140" s="18">
        <v>53.0</v>
      </c>
      <c r="AG140" s="12">
        <v>0.9076388888888889</v>
      </c>
      <c r="AH140" s="23">
        <v>0.9270833333333334</v>
      </c>
      <c r="AI140" s="11">
        <v>52.0</v>
      </c>
      <c r="AJ140" s="12">
        <v>0.9986111111111111</v>
      </c>
      <c r="AK140" s="13">
        <v>0.011111111111111112</v>
      </c>
      <c r="AL140" s="14">
        <v>67.0</v>
      </c>
      <c r="AM140" s="15">
        <v>0.13402777777777777</v>
      </c>
      <c r="AN140" s="52" t="s">
        <v>178</v>
      </c>
      <c r="AO140" s="11"/>
      <c r="AP140" s="18"/>
      <c r="AQ140" s="38"/>
      <c r="AR140" s="11"/>
      <c r="AS140" s="18"/>
      <c r="AT140" s="38"/>
      <c r="AU140" s="11"/>
      <c r="AV140" s="18"/>
      <c r="AW140" s="38"/>
      <c r="AX140" s="11"/>
      <c r="AY140" s="18"/>
      <c r="AZ140" s="38"/>
      <c r="BA140" s="34"/>
      <c r="BB140" s="49"/>
      <c r="BC140" s="12"/>
    </row>
    <row r="141" ht="15.75" customHeight="1">
      <c r="A141" s="7"/>
      <c r="B141" s="45"/>
      <c r="C141" s="46">
        <v>628.0</v>
      </c>
      <c r="D141" s="45"/>
      <c r="E141" s="11">
        <v>135.0</v>
      </c>
      <c r="F141" s="12">
        <v>0.27152777777777776</v>
      </c>
      <c r="G141" s="13">
        <v>0.2722222222222222</v>
      </c>
      <c r="H141" s="14">
        <v>146.0</v>
      </c>
      <c r="I141" s="15">
        <v>0.3368055555555556</v>
      </c>
      <c r="J141" s="16">
        <v>0.3368055555555556</v>
      </c>
      <c r="K141" s="11">
        <v>157.0</v>
      </c>
      <c r="L141" s="12">
        <v>0.41458333333333336</v>
      </c>
      <c r="M141" s="13">
        <v>0.42083333333333334</v>
      </c>
      <c r="N141" s="17">
        <v>149.0</v>
      </c>
      <c r="O141" s="12">
        <v>0.5138888888888888</v>
      </c>
      <c r="P141" s="12">
        <v>0.5173611111111112</v>
      </c>
      <c r="Q141" s="11">
        <v>142.0</v>
      </c>
      <c r="R141" s="12">
        <v>0.5916666666666667</v>
      </c>
      <c r="S141" s="13">
        <v>0.5930555555555556</v>
      </c>
      <c r="T141" s="18">
        <v>146.0</v>
      </c>
      <c r="U141" s="12">
        <v>0.6680555555555555</v>
      </c>
      <c r="V141" s="13">
        <v>0.6701388888888888</v>
      </c>
      <c r="W141" s="11">
        <v>138.0</v>
      </c>
      <c r="X141" s="12">
        <v>0.7208333333333333</v>
      </c>
      <c r="Y141" s="13">
        <v>0.725</v>
      </c>
      <c r="Z141" s="11">
        <v>138.0</v>
      </c>
      <c r="AA141" s="19"/>
      <c r="AB141" s="13">
        <v>0.8590277777777777</v>
      </c>
      <c r="AC141" s="20">
        <v>137.0</v>
      </c>
      <c r="AD141" s="21">
        <v>0.9333333333333333</v>
      </c>
      <c r="AE141" s="22">
        <v>0.9388888888888889</v>
      </c>
      <c r="AF141" s="18">
        <v>127.0</v>
      </c>
      <c r="AG141" s="12">
        <v>0.050694444444444445</v>
      </c>
      <c r="AH141" s="23">
        <v>0.08194444444444444</v>
      </c>
      <c r="AI141" s="11">
        <v>127.0</v>
      </c>
      <c r="AJ141" s="12">
        <v>0.15208333333333332</v>
      </c>
      <c r="AK141" s="13">
        <v>0.16041666666666668</v>
      </c>
      <c r="AL141" s="14">
        <v>124.0</v>
      </c>
      <c r="AM141" s="15">
        <v>0.25972222222222224</v>
      </c>
      <c r="AN141" s="52" t="s">
        <v>178</v>
      </c>
      <c r="AO141" s="11"/>
      <c r="AP141" s="12"/>
      <c r="AQ141" s="38"/>
      <c r="AR141" s="11"/>
      <c r="AS141" s="12"/>
      <c r="AT141" s="38"/>
      <c r="AU141" s="11"/>
      <c r="AV141" s="12"/>
      <c r="AW141" s="38"/>
      <c r="AX141" s="11"/>
      <c r="AY141" s="12"/>
      <c r="AZ141" s="38"/>
      <c r="BA141" s="34"/>
      <c r="BB141" s="49"/>
      <c r="BC141" s="12"/>
    </row>
    <row r="142" ht="15.75" customHeight="1">
      <c r="A142" s="7"/>
      <c r="B142" s="45"/>
      <c r="C142" s="46">
        <v>708.0</v>
      </c>
      <c r="D142" s="45"/>
      <c r="E142" s="11">
        <v>62.0</v>
      </c>
      <c r="F142" s="12">
        <v>0.26319444444444445</v>
      </c>
      <c r="G142" s="13">
        <v>0.2638888888888889</v>
      </c>
      <c r="H142" s="14">
        <v>51.0</v>
      </c>
      <c r="I142" s="15">
        <v>0.3145833333333333</v>
      </c>
      <c r="J142" s="16">
        <v>0.3145833333333333</v>
      </c>
      <c r="K142" s="11">
        <v>35.0</v>
      </c>
      <c r="L142" s="12">
        <v>0.37083333333333335</v>
      </c>
      <c r="M142" s="13">
        <v>0.38055555555555554</v>
      </c>
      <c r="N142" s="17">
        <v>34.0</v>
      </c>
      <c r="O142" s="12">
        <v>0.44583333333333336</v>
      </c>
      <c r="P142" s="12">
        <v>0.4479166666666667</v>
      </c>
      <c r="Q142" s="11">
        <v>29.0</v>
      </c>
      <c r="R142" s="12">
        <v>0.5034722222222222</v>
      </c>
      <c r="S142" s="13">
        <v>0.5055555555555555</v>
      </c>
      <c r="T142" s="18">
        <v>25.0</v>
      </c>
      <c r="U142" s="12">
        <v>0.5604166666666667</v>
      </c>
      <c r="V142" s="13">
        <v>0.5625</v>
      </c>
      <c r="W142" s="11">
        <v>23.0</v>
      </c>
      <c r="X142" s="12">
        <v>0.6</v>
      </c>
      <c r="Y142" s="13">
        <v>0.6041666666666666</v>
      </c>
      <c r="Z142" s="11">
        <v>27.0</v>
      </c>
      <c r="AA142" s="19"/>
      <c r="AB142" s="13">
        <v>0.7013888888888888</v>
      </c>
      <c r="AC142" s="20">
        <v>28.0</v>
      </c>
      <c r="AD142" s="21">
        <v>0.7569444444444444</v>
      </c>
      <c r="AE142" s="22">
        <v>0.7611111111111111</v>
      </c>
      <c r="AF142" s="18">
        <v>30.0</v>
      </c>
      <c r="AG142" s="12">
        <v>0.8493055555555555</v>
      </c>
      <c r="AH142" s="23">
        <v>0.8625</v>
      </c>
      <c r="AI142" s="11">
        <v>29.0</v>
      </c>
      <c r="AJ142" s="12">
        <v>0.9347222222222222</v>
      </c>
      <c r="AK142" s="50" t="s">
        <v>178</v>
      </c>
      <c r="AL142" s="14"/>
      <c r="AM142" s="14"/>
      <c r="AN142" s="53"/>
      <c r="AO142" s="11"/>
      <c r="AP142" s="12"/>
      <c r="AQ142" s="38"/>
      <c r="AR142" s="11"/>
      <c r="AS142" s="12"/>
      <c r="AT142" s="38"/>
      <c r="AU142" s="11"/>
      <c r="AV142" s="12"/>
      <c r="AW142" s="38"/>
      <c r="AX142" s="11"/>
      <c r="AY142" s="12"/>
      <c r="AZ142" s="38"/>
      <c r="BA142" s="34"/>
      <c r="BB142" s="49"/>
      <c r="BC142" s="12"/>
    </row>
    <row r="143" ht="15.75" customHeight="1">
      <c r="A143" s="7"/>
      <c r="B143" s="45"/>
      <c r="C143" s="46">
        <v>589.0</v>
      </c>
      <c r="D143" s="45"/>
      <c r="E143" s="11">
        <v>22.0</v>
      </c>
      <c r="F143" s="12">
        <v>0.25763888888888886</v>
      </c>
      <c r="G143" s="13">
        <v>0.25833333333333336</v>
      </c>
      <c r="H143" s="14">
        <v>18.0</v>
      </c>
      <c r="I143" s="15">
        <v>0.3020833333333333</v>
      </c>
      <c r="J143" s="16">
        <v>0.3020833333333333</v>
      </c>
      <c r="K143" s="11">
        <v>22.0</v>
      </c>
      <c r="L143" s="12">
        <v>0.3638888888888889</v>
      </c>
      <c r="M143" s="13">
        <v>0.3659722222222222</v>
      </c>
      <c r="N143" s="17">
        <v>21.0</v>
      </c>
      <c r="O143" s="30">
        <v>0.4361111111111111</v>
      </c>
      <c r="P143" s="30">
        <v>0.43819444444444444</v>
      </c>
      <c r="Q143" s="11">
        <v>21.0</v>
      </c>
      <c r="R143" s="12">
        <v>0.49583333333333335</v>
      </c>
      <c r="S143" s="13">
        <v>0.5</v>
      </c>
      <c r="T143" s="18">
        <v>24.0</v>
      </c>
      <c r="U143" s="12">
        <v>0.5576388888888889</v>
      </c>
      <c r="V143" s="13">
        <v>0.5618055555555556</v>
      </c>
      <c r="W143" s="11">
        <v>27.0</v>
      </c>
      <c r="X143" s="12">
        <v>0.6020833333333333</v>
      </c>
      <c r="Y143" s="13">
        <v>0.6104166666666667</v>
      </c>
      <c r="Z143" s="11">
        <v>35.0</v>
      </c>
      <c r="AA143" s="19"/>
      <c r="AB143" s="13">
        <v>0.7159722222222222</v>
      </c>
      <c r="AC143" s="20">
        <v>35.0</v>
      </c>
      <c r="AD143" s="21">
        <v>0.7729166666666667</v>
      </c>
      <c r="AE143" s="22">
        <v>0.7854166666666667</v>
      </c>
      <c r="AF143" s="18">
        <v>43.0</v>
      </c>
      <c r="AG143" s="12">
        <v>0.8791666666666667</v>
      </c>
      <c r="AH143" s="23">
        <v>0.9298611111111111</v>
      </c>
      <c r="AI143" s="11">
        <v>62.0</v>
      </c>
      <c r="AJ143" s="12">
        <v>0.019444444444444445</v>
      </c>
      <c r="AK143" s="50" t="s">
        <v>178</v>
      </c>
      <c r="AL143" s="14"/>
      <c r="AM143" s="14"/>
      <c r="AN143" s="53"/>
      <c r="AO143" s="11"/>
      <c r="AP143" s="12"/>
      <c r="AQ143" s="13"/>
      <c r="AR143" s="11"/>
      <c r="AS143" s="12"/>
      <c r="AT143" s="13"/>
      <c r="AU143" s="11"/>
      <c r="AV143" s="12"/>
      <c r="AW143" s="13"/>
      <c r="AX143" s="11"/>
      <c r="AY143" s="12"/>
      <c r="AZ143" s="13"/>
      <c r="BA143" s="34"/>
      <c r="BB143" s="49"/>
      <c r="BC143" s="12"/>
    </row>
    <row r="144" ht="15.75" customHeight="1">
      <c r="A144" s="7"/>
      <c r="B144" s="45"/>
      <c r="C144" s="46">
        <v>712.0</v>
      </c>
      <c r="D144" s="45"/>
      <c r="E144" s="11">
        <v>47.0</v>
      </c>
      <c r="F144" s="12">
        <v>0.2611111111111111</v>
      </c>
      <c r="G144" s="13">
        <v>0.26180555555555557</v>
      </c>
      <c r="H144" s="14">
        <v>60.0</v>
      </c>
      <c r="I144" s="15">
        <v>0.3159722222222222</v>
      </c>
      <c r="J144" s="16">
        <v>0.3159722222222222</v>
      </c>
      <c r="K144" s="11">
        <v>68.0</v>
      </c>
      <c r="L144" s="12">
        <v>0.3861111111111111</v>
      </c>
      <c r="M144" s="13">
        <v>0.3875</v>
      </c>
      <c r="N144" s="17">
        <v>85.0</v>
      </c>
      <c r="O144" s="12">
        <v>0.48055555555555557</v>
      </c>
      <c r="P144" s="12">
        <v>0.48333333333333334</v>
      </c>
      <c r="Q144" s="11">
        <v>96.0</v>
      </c>
      <c r="R144" s="12">
        <v>0.5597222222222222</v>
      </c>
      <c r="S144" s="13">
        <v>0.5618055555555556</v>
      </c>
      <c r="T144" s="18">
        <v>105.0</v>
      </c>
      <c r="U144" s="12">
        <v>0.6416666666666667</v>
      </c>
      <c r="V144" s="13">
        <v>0.6444444444444445</v>
      </c>
      <c r="W144" s="32"/>
      <c r="X144" s="26"/>
      <c r="Y144" s="39"/>
      <c r="Z144" s="11">
        <v>111.0</v>
      </c>
      <c r="AA144" s="19"/>
      <c r="AB144" s="13">
        <v>0.8284722222222223</v>
      </c>
      <c r="AC144" s="20">
        <v>114.0</v>
      </c>
      <c r="AD144" s="21">
        <v>0.9055555555555556</v>
      </c>
      <c r="AE144" s="22">
        <v>0.9152777777777777</v>
      </c>
      <c r="AF144" s="18">
        <v>122.0</v>
      </c>
      <c r="AG144" s="12">
        <v>0.03819444444444445</v>
      </c>
      <c r="AH144" s="23">
        <v>0.05</v>
      </c>
      <c r="AI144" s="11">
        <v>120.0</v>
      </c>
      <c r="AJ144" s="12">
        <v>0.13402777777777777</v>
      </c>
      <c r="AK144" s="50" t="s">
        <v>178</v>
      </c>
      <c r="AL144" s="14"/>
      <c r="AM144" s="14"/>
      <c r="AN144" s="53"/>
      <c r="AO144" s="11"/>
      <c r="AP144" s="12"/>
      <c r="AQ144" s="38"/>
      <c r="AR144" s="11"/>
      <c r="AS144" s="12"/>
      <c r="AT144" s="38"/>
      <c r="AU144" s="11"/>
      <c r="AV144" s="12"/>
      <c r="AW144" s="38"/>
      <c r="AX144" s="11"/>
      <c r="AY144" s="12"/>
      <c r="AZ144" s="38"/>
      <c r="BA144" s="34"/>
      <c r="BB144" s="49"/>
      <c r="BC144" s="12"/>
    </row>
    <row r="145" ht="15.75" customHeight="1">
      <c r="A145" s="7"/>
      <c r="B145" s="45"/>
      <c r="C145" s="46">
        <v>570.0</v>
      </c>
      <c r="D145" s="45"/>
      <c r="E145" s="11">
        <v>147.0</v>
      </c>
      <c r="F145" s="12">
        <v>0.27152777777777776</v>
      </c>
      <c r="G145" s="13">
        <v>0.2722222222222222</v>
      </c>
      <c r="H145" s="14">
        <v>147.0</v>
      </c>
      <c r="I145" s="15">
        <v>0.3368055555555556</v>
      </c>
      <c r="J145" s="16">
        <v>0.3368055555555556</v>
      </c>
      <c r="K145" s="11">
        <v>144.0</v>
      </c>
      <c r="L145" s="12">
        <v>0.41180555555555554</v>
      </c>
      <c r="M145" s="13">
        <v>0.41875</v>
      </c>
      <c r="N145" s="17">
        <v>139.0</v>
      </c>
      <c r="O145" s="12">
        <v>0.50625</v>
      </c>
      <c r="P145" s="12">
        <v>0.5125</v>
      </c>
      <c r="Q145" s="11">
        <v>138.0</v>
      </c>
      <c r="R145" s="12">
        <v>0.5868055555555556</v>
      </c>
      <c r="S145" s="13">
        <v>0.5902777777777778</v>
      </c>
      <c r="T145" s="18">
        <v>129.0</v>
      </c>
      <c r="U145" s="12">
        <v>0.6576388888888889</v>
      </c>
      <c r="V145" s="13">
        <v>0.6625</v>
      </c>
      <c r="W145" s="11">
        <v>122.0</v>
      </c>
      <c r="X145" s="12">
        <v>0.7104166666666667</v>
      </c>
      <c r="Y145" s="13">
        <v>0.7194444444444444</v>
      </c>
      <c r="Z145" s="11">
        <v>134.0</v>
      </c>
      <c r="AA145" s="19"/>
      <c r="AB145" s="13">
        <v>0.8534722222222222</v>
      </c>
      <c r="AC145" s="20">
        <v>133.0</v>
      </c>
      <c r="AD145" s="21">
        <v>0.9291666666666667</v>
      </c>
      <c r="AE145" s="22">
        <v>0.9416666666666667</v>
      </c>
      <c r="AF145" s="18">
        <v>136.0</v>
      </c>
      <c r="AG145" s="12">
        <v>0.06041666666666667</v>
      </c>
      <c r="AH145" s="23">
        <v>0.0798611111111111</v>
      </c>
      <c r="AI145" s="11">
        <v>132.0</v>
      </c>
      <c r="AJ145" s="12">
        <v>0.16805555555555557</v>
      </c>
      <c r="AK145" s="50" t="s">
        <v>178</v>
      </c>
      <c r="AL145" s="14"/>
      <c r="AM145" s="14"/>
      <c r="AN145" s="53"/>
      <c r="AO145" s="11"/>
      <c r="AP145" s="12"/>
      <c r="AQ145" s="38"/>
      <c r="AR145" s="11"/>
      <c r="AS145" s="12"/>
      <c r="AT145" s="38"/>
      <c r="AU145" s="11"/>
      <c r="AV145" s="12"/>
      <c r="AW145" s="38"/>
      <c r="AX145" s="11"/>
      <c r="AY145" s="12"/>
      <c r="AZ145" s="38"/>
      <c r="BA145" s="34"/>
      <c r="BB145" s="49"/>
      <c r="BC145" s="12"/>
    </row>
    <row r="146" ht="15.75" customHeight="1">
      <c r="A146" s="7"/>
      <c r="B146" s="45"/>
      <c r="C146" s="46">
        <v>627.0</v>
      </c>
      <c r="D146" s="45"/>
      <c r="E146" s="11">
        <v>127.0</v>
      </c>
      <c r="F146" s="12">
        <v>0.2708333333333333</v>
      </c>
      <c r="G146" s="13">
        <v>0.27152777777777776</v>
      </c>
      <c r="H146" s="14">
        <v>144.0</v>
      </c>
      <c r="I146" s="15">
        <v>0.3368055555555556</v>
      </c>
      <c r="J146" s="16">
        <v>0.3368055555555556</v>
      </c>
      <c r="K146" s="11">
        <v>160.0</v>
      </c>
      <c r="L146" s="12">
        <v>0.41597222222222224</v>
      </c>
      <c r="M146" s="13">
        <v>0.4222222222222222</v>
      </c>
      <c r="N146" s="17">
        <v>150.0</v>
      </c>
      <c r="O146" s="12">
        <v>0.5145833333333333</v>
      </c>
      <c r="P146" s="12">
        <v>0.5159722222222223</v>
      </c>
      <c r="Q146" s="11">
        <v>147.0</v>
      </c>
      <c r="R146" s="12">
        <v>0.5923611111111111</v>
      </c>
      <c r="S146" s="13">
        <v>0.5944444444444444</v>
      </c>
      <c r="T146" s="18">
        <v>140.0</v>
      </c>
      <c r="U146" s="12">
        <v>0.6673611111111111</v>
      </c>
      <c r="V146" s="13">
        <v>0.6694444444444444</v>
      </c>
      <c r="W146" s="11">
        <v>140.0</v>
      </c>
      <c r="X146" s="12">
        <v>0.7229166666666667</v>
      </c>
      <c r="Y146" s="13">
        <v>0.7263888888888889</v>
      </c>
      <c r="Z146" s="11">
        <v>130.0</v>
      </c>
      <c r="AA146" s="19"/>
      <c r="AB146" s="13">
        <v>0.85</v>
      </c>
      <c r="AC146" s="20">
        <v>130.0</v>
      </c>
      <c r="AD146" s="21">
        <v>0.9256944444444445</v>
      </c>
      <c r="AE146" s="22">
        <v>0.9298611111111111</v>
      </c>
      <c r="AF146" s="18">
        <v>133.0</v>
      </c>
      <c r="AG146" s="12">
        <v>0.05763888888888889</v>
      </c>
      <c r="AH146" s="23">
        <v>0.06875</v>
      </c>
      <c r="AI146" s="11">
        <v>136.0</v>
      </c>
      <c r="AJ146" s="12">
        <v>0.1763888888888889</v>
      </c>
      <c r="AK146" s="50" t="s">
        <v>178</v>
      </c>
      <c r="AL146" s="14"/>
      <c r="AM146" s="14"/>
      <c r="AN146" s="53"/>
      <c r="AO146" s="11"/>
      <c r="AP146" s="12"/>
      <c r="AQ146" s="38"/>
      <c r="AR146" s="11"/>
      <c r="AS146" s="12"/>
      <c r="AT146" s="38"/>
      <c r="AU146" s="11"/>
      <c r="AV146" s="12"/>
      <c r="AW146" s="38"/>
      <c r="AX146" s="11"/>
      <c r="AY146" s="12"/>
      <c r="AZ146" s="38"/>
      <c r="BA146" s="34"/>
      <c r="BB146" s="49"/>
      <c r="BC146" s="12"/>
    </row>
    <row r="147" ht="15.75" customHeight="1">
      <c r="A147" s="7"/>
      <c r="B147" s="45"/>
      <c r="C147" s="46">
        <v>694.0</v>
      </c>
      <c r="D147" s="45"/>
      <c r="E147" s="11">
        <v>173.0</v>
      </c>
      <c r="F147" s="12">
        <v>0.2743055555555556</v>
      </c>
      <c r="G147" s="13">
        <v>0.275</v>
      </c>
      <c r="H147" s="14">
        <v>148.0</v>
      </c>
      <c r="I147" s="15">
        <v>0.3368055555555556</v>
      </c>
      <c r="J147" s="16">
        <v>0.3368055555555556</v>
      </c>
      <c r="K147" s="11">
        <v>145.0</v>
      </c>
      <c r="L147" s="12">
        <v>0.41180555555555554</v>
      </c>
      <c r="M147" s="13">
        <v>0.4173611111111111</v>
      </c>
      <c r="N147" s="17">
        <v>143.0</v>
      </c>
      <c r="O147" s="12">
        <v>0.5104166666666666</v>
      </c>
      <c r="P147" s="12">
        <v>0.5138888888888888</v>
      </c>
      <c r="Q147" s="11">
        <v>145.0</v>
      </c>
      <c r="R147" s="12">
        <v>0.59375</v>
      </c>
      <c r="S147" s="13">
        <v>0.5951388888888889</v>
      </c>
      <c r="T147" s="18">
        <v>147.0</v>
      </c>
      <c r="U147" s="12">
        <v>0.6701388888888888</v>
      </c>
      <c r="V147" s="13">
        <v>0.6722222222222223</v>
      </c>
      <c r="W147" s="11">
        <v>146.0</v>
      </c>
      <c r="X147" s="12">
        <v>0.73125</v>
      </c>
      <c r="Y147" s="13">
        <v>0.7534722222222222</v>
      </c>
      <c r="Z147" s="11">
        <v>144.0</v>
      </c>
      <c r="AA147" s="19"/>
      <c r="AB147" s="13">
        <v>0.8701388888888889</v>
      </c>
      <c r="AC147" s="20">
        <v>140.0</v>
      </c>
      <c r="AD147" s="21">
        <v>0.9423611111111111</v>
      </c>
      <c r="AE147" s="22">
        <v>0.9479166666666666</v>
      </c>
      <c r="AF147" s="18">
        <v>138.0</v>
      </c>
      <c r="AG147" s="12">
        <v>0.06527777777777778</v>
      </c>
      <c r="AH147" s="23">
        <v>0.08958333333333333</v>
      </c>
      <c r="AI147" s="11">
        <v>137.0</v>
      </c>
      <c r="AJ147" s="12">
        <v>0.1840277777777778</v>
      </c>
      <c r="AK147" s="50" t="s">
        <v>178</v>
      </c>
      <c r="AL147" s="14"/>
      <c r="AM147" s="14"/>
      <c r="AN147" s="53"/>
      <c r="AO147" s="11"/>
      <c r="AP147" s="12"/>
      <c r="AQ147" s="38"/>
      <c r="AR147" s="11"/>
      <c r="AS147" s="12"/>
      <c r="AT147" s="38"/>
      <c r="AU147" s="11"/>
      <c r="AV147" s="12"/>
      <c r="AW147" s="38"/>
      <c r="AX147" s="11"/>
      <c r="AY147" s="12"/>
      <c r="AZ147" s="38"/>
      <c r="BA147" s="34"/>
      <c r="BB147" s="49"/>
      <c r="BC147" s="12"/>
    </row>
    <row r="148" ht="15.75" customHeight="1">
      <c r="A148" s="7"/>
      <c r="B148" s="45"/>
      <c r="C148" s="46">
        <v>680.0</v>
      </c>
      <c r="D148" s="45"/>
      <c r="E148" s="11">
        <v>191.0</v>
      </c>
      <c r="F148" s="12">
        <v>0.28055555555555556</v>
      </c>
      <c r="G148" s="13">
        <v>0.28125</v>
      </c>
      <c r="H148" s="14">
        <v>177.0</v>
      </c>
      <c r="I148" s="15">
        <v>0.34444444444444444</v>
      </c>
      <c r="J148" s="16">
        <v>0.34444444444444444</v>
      </c>
      <c r="K148" s="11">
        <v>179.0</v>
      </c>
      <c r="L148" s="12">
        <v>0.425</v>
      </c>
      <c r="M148" s="13">
        <v>0.4388888888888889</v>
      </c>
      <c r="N148" s="17">
        <v>178.0</v>
      </c>
      <c r="O148" s="12">
        <v>0.5375</v>
      </c>
      <c r="P148" s="12">
        <v>0.5416666666666666</v>
      </c>
      <c r="Q148" s="11">
        <v>173.0</v>
      </c>
      <c r="R148" s="12">
        <v>0.6166666666666667</v>
      </c>
      <c r="S148" s="13">
        <v>0.6222222222222222</v>
      </c>
      <c r="T148" s="18">
        <v>168.0</v>
      </c>
      <c r="U148" s="12">
        <v>0.6958333333333333</v>
      </c>
      <c r="V148" s="13">
        <v>0.6993055555555555</v>
      </c>
      <c r="W148" s="11">
        <v>164.0</v>
      </c>
      <c r="X148" s="12">
        <v>0.75</v>
      </c>
      <c r="Y148" s="13">
        <v>0.7541666666666667</v>
      </c>
      <c r="Z148" s="11">
        <v>154.0</v>
      </c>
      <c r="AA148" s="19"/>
      <c r="AB148" s="13">
        <v>0.8805555555555555</v>
      </c>
      <c r="AC148" s="20">
        <v>151.0</v>
      </c>
      <c r="AD148" s="21">
        <v>0.95625</v>
      </c>
      <c r="AE148" s="22">
        <v>0.9611111111111111</v>
      </c>
      <c r="AF148" s="18">
        <v>147.0</v>
      </c>
      <c r="AG148" s="12">
        <v>0.08333333333333333</v>
      </c>
      <c r="AH148" s="23">
        <v>0.10416666666666667</v>
      </c>
      <c r="AI148" s="11">
        <v>147.0</v>
      </c>
      <c r="AJ148" s="12">
        <v>0.2013888888888889</v>
      </c>
      <c r="AK148" s="50" t="s">
        <v>178</v>
      </c>
      <c r="AL148" s="14"/>
      <c r="AM148" s="14"/>
      <c r="AN148" s="53"/>
      <c r="AO148" s="11"/>
      <c r="AP148" s="18"/>
      <c r="AQ148" s="38"/>
      <c r="AR148" s="11"/>
      <c r="AS148" s="18"/>
      <c r="AT148" s="38"/>
      <c r="AU148" s="11"/>
      <c r="AV148" s="18"/>
      <c r="AW148" s="38"/>
      <c r="AX148" s="11"/>
      <c r="AY148" s="18"/>
      <c r="AZ148" s="38"/>
      <c r="BA148" s="34"/>
      <c r="BB148" s="49"/>
      <c r="BC148" s="12"/>
    </row>
    <row r="149" ht="15.75" customHeight="1">
      <c r="A149" s="7"/>
      <c r="B149" s="45"/>
      <c r="C149" s="46">
        <v>535.0</v>
      </c>
      <c r="D149" s="45"/>
      <c r="E149" s="11">
        <v>52.0</v>
      </c>
      <c r="F149" s="12">
        <v>0.26319444444444445</v>
      </c>
      <c r="G149" s="13">
        <v>0.2638888888888889</v>
      </c>
      <c r="H149" s="14">
        <v>62.0</v>
      </c>
      <c r="I149" s="15">
        <v>0.3173611111111111</v>
      </c>
      <c r="J149" s="16">
        <v>0.3173611111111111</v>
      </c>
      <c r="K149" s="11">
        <v>79.0</v>
      </c>
      <c r="L149" s="12">
        <v>0.38819444444444445</v>
      </c>
      <c r="M149" s="13">
        <v>0.4</v>
      </c>
      <c r="N149" s="17">
        <v>101.0</v>
      </c>
      <c r="O149" s="12">
        <v>0.4888888888888889</v>
      </c>
      <c r="P149" s="12">
        <v>0.49583333333333335</v>
      </c>
      <c r="Q149" s="11">
        <v>111.0</v>
      </c>
      <c r="R149" s="12">
        <v>0.5729166666666666</v>
      </c>
      <c r="S149" s="13">
        <v>0.58125</v>
      </c>
      <c r="T149" s="18">
        <v>123.0</v>
      </c>
      <c r="U149" s="12">
        <v>0.65625</v>
      </c>
      <c r="V149" s="13">
        <v>0.6638888888888889</v>
      </c>
      <c r="W149" s="11">
        <v>132.0</v>
      </c>
      <c r="X149" s="12">
        <v>0.71875</v>
      </c>
      <c r="Y149" s="13">
        <v>0.7305555555555555</v>
      </c>
      <c r="Z149" s="11">
        <v>136.0</v>
      </c>
      <c r="AA149" s="19"/>
      <c r="AB149" s="13">
        <v>0.85625</v>
      </c>
      <c r="AC149" s="20">
        <v>134.0</v>
      </c>
      <c r="AD149" s="21">
        <v>0.9298611111111111</v>
      </c>
      <c r="AE149" s="22">
        <v>0.9388888888888889</v>
      </c>
      <c r="AF149" s="18">
        <v>129.0</v>
      </c>
      <c r="AG149" s="12">
        <v>0.05555555555555555</v>
      </c>
      <c r="AH149" s="23">
        <v>0.07916666666666666</v>
      </c>
      <c r="AI149" s="11">
        <v>148.0</v>
      </c>
      <c r="AJ149" s="12">
        <v>0.20277777777777778</v>
      </c>
      <c r="AK149" s="50" t="s">
        <v>178</v>
      </c>
      <c r="AL149" s="14"/>
      <c r="AM149" s="14"/>
      <c r="AN149" s="53"/>
      <c r="AO149" s="11"/>
      <c r="AP149" s="12"/>
      <c r="AQ149" s="38"/>
      <c r="AR149" s="11"/>
      <c r="AS149" s="12"/>
      <c r="AT149" s="38"/>
      <c r="AU149" s="11"/>
      <c r="AV149" s="12"/>
      <c r="AW149" s="38"/>
      <c r="AX149" s="11"/>
      <c r="AY149" s="12"/>
      <c r="AZ149" s="38"/>
      <c r="BA149" s="34"/>
      <c r="BB149" s="49"/>
      <c r="BC149" s="12"/>
    </row>
    <row r="150" ht="15.75" customHeight="1">
      <c r="A150" s="7"/>
      <c r="B150" s="45"/>
      <c r="C150" s="46">
        <v>733.0</v>
      </c>
      <c r="D150" s="45"/>
      <c r="E150" s="11">
        <v>110.0</v>
      </c>
      <c r="F150" s="12">
        <v>0.26944444444444443</v>
      </c>
      <c r="G150" s="13">
        <v>0.2701388888888889</v>
      </c>
      <c r="H150" s="14">
        <v>126.0</v>
      </c>
      <c r="I150" s="15">
        <v>0.33194444444444443</v>
      </c>
      <c r="J150" s="16">
        <v>0.33194444444444443</v>
      </c>
      <c r="K150" s="11">
        <v>141.0</v>
      </c>
      <c r="L150" s="12">
        <v>0.4097222222222222</v>
      </c>
      <c r="M150" s="13">
        <v>0.425</v>
      </c>
      <c r="N150" s="17">
        <v>152.0</v>
      </c>
      <c r="O150" s="12">
        <v>0.5152777777777777</v>
      </c>
      <c r="P150" s="12">
        <v>0.5222222222222223</v>
      </c>
      <c r="Q150" s="11">
        <v>153.0</v>
      </c>
      <c r="R150" s="12">
        <v>0.5972222222222222</v>
      </c>
      <c r="S150" s="13">
        <v>0.6104166666666667</v>
      </c>
      <c r="T150" s="18">
        <v>158.0</v>
      </c>
      <c r="U150" s="12">
        <v>0.6854166666666667</v>
      </c>
      <c r="V150" s="13">
        <v>0.6888888888888889</v>
      </c>
      <c r="W150" s="11">
        <v>159.0</v>
      </c>
      <c r="X150" s="12">
        <v>0.7465277777777778</v>
      </c>
      <c r="Y150" s="13">
        <v>0.7638888888888888</v>
      </c>
      <c r="Z150" s="11">
        <v>158.0</v>
      </c>
      <c r="AA150" s="19"/>
      <c r="AB150" s="13">
        <v>0.8875</v>
      </c>
      <c r="AC150" s="20">
        <v>158.0</v>
      </c>
      <c r="AD150" s="21">
        <v>0.9652777777777778</v>
      </c>
      <c r="AE150" s="22">
        <v>0.9701388888888889</v>
      </c>
      <c r="AF150" s="18">
        <v>151.0</v>
      </c>
      <c r="AG150" s="12">
        <v>0.0875</v>
      </c>
      <c r="AH150" s="23">
        <v>0.10902777777777778</v>
      </c>
      <c r="AI150" s="11">
        <v>149.0</v>
      </c>
      <c r="AJ150" s="12">
        <v>0.2222222222222222</v>
      </c>
      <c r="AK150" s="50" t="s">
        <v>178</v>
      </c>
      <c r="AL150" s="14"/>
      <c r="AM150" s="14"/>
      <c r="AN150" s="53"/>
      <c r="AO150" s="11"/>
      <c r="AP150" s="12"/>
      <c r="AQ150" s="13"/>
      <c r="AR150" s="11"/>
      <c r="AS150" s="12"/>
      <c r="AT150" s="13"/>
      <c r="AU150" s="11"/>
      <c r="AV150" s="12"/>
      <c r="AW150" s="13"/>
      <c r="AX150" s="11"/>
      <c r="AY150" s="12"/>
      <c r="AZ150" s="13"/>
      <c r="BA150" s="34"/>
      <c r="BB150" s="49"/>
      <c r="BC150" s="12"/>
    </row>
    <row r="151" ht="15.75" customHeight="1">
      <c r="A151" s="7"/>
      <c r="B151" s="45"/>
      <c r="C151" s="46">
        <v>623.0</v>
      </c>
      <c r="D151" s="45"/>
      <c r="E151" s="11">
        <v>51.0</v>
      </c>
      <c r="F151" s="12">
        <v>0.2625</v>
      </c>
      <c r="G151" s="13">
        <v>0.26319444444444445</v>
      </c>
      <c r="H151" s="14">
        <v>58.0</v>
      </c>
      <c r="I151" s="15">
        <v>0.3145833333333333</v>
      </c>
      <c r="J151" s="16">
        <v>0.3145833333333333</v>
      </c>
      <c r="K151" s="11">
        <v>37.0</v>
      </c>
      <c r="L151" s="12">
        <v>0.37083333333333335</v>
      </c>
      <c r="M151" s="13">
        <v>0.3736111111111111</v>
      </c>
      <c r="N151" s="17">
        <v>33.0</v>
      </c>
      <c r="O151" s="12">
        <v>0.44583333333333336</v>
      </c>
      <c r="P151" s="12">
        <v>0.44722222222222224</v>
      </c>
      <c r="Q151" s="11">
        <v>34.0</v>
      </c>
      <c r="R151" s="12">
        <v>0.5069444444444444</v>
      </c>
      <c r="S151" s="13">
        <v>0.5118055555555555</v>
      </c>
      <c r="T151" s="18">
        <v>30.0</v>
      </c>
      <c r="U151" s="12">
        <v>0.5645833333333333</v>
      </c>
      <c r="V151" s="13">
        <v>0.5666666666666667</v>
      </c>
      <c r="W151" s="11">
        <v>37.0</v>
      </c>
      <c r="X151" s="12">
        <v>0.6118055555555556</v>
      </c>
      <c r="Y151" s="13">
        <v>0.6118055555555556</v>
      </c>
      <c r="Z151" s="11">
        <v>28.0</v>
      </c>
      <c r="AA151" s="19"/>
      <c r="AB151" s="13">
        <v>0.7020833333333333</v>
      </c>
      <c r="AC151" s="20">
        <v>29.0</v>
      </c>
      <c r="AD151" s="21">
        <v>0.7631944444444444</v>
      </c>
      <c r="AE151" s="22">
        <v>0.7659722222222223</v>
      </c>
      <c r="AF151" s="18">
        <v>31.0</v>
      </c>
      <c r="AG151" s="12">
        <v>0.8541666666666666</v>
      </c>
      <c r="AH151" s="45" t="s">
        <v>178</v>
      </c>
      <c r="AI151" s="11"/>
      <c r="AJ151" s="12"/>
      <c r="AK151" s="38"/>
      <c r="AL151" s="14"/>
      <c r="AM151" s="14"/>
      <c r="AN151" s="53"/>
      <c r="AO151" s="11"/>
      <c r="AP151" s="12"/>
      <c r="AQ151" s="38"/>
      <c r="AR151" s="11"/>
      <c r="AS151" s="12"/>
      <c r="AT151" s="38"/>
      <c r="AU151" s="11"/>
      <c r="AV151" s="12"/>
      <c r="AW151" s="38"/>
      <c r="AX151" s="11"/>
      <c r="AY151" s="12"/>
      <c r="AZ151" s="38"/>
      <c r="BA151" s="34"/>
      <c r="BB151" s="49"/>
      <c r="BC151" s="12"/>
    </row>
    <row r="152" ht="15.75" customHeight="1">
      <c r="A152" s="7"/>
      <c r="B152" s="45"/>
      <c r="C152" s="46">
        <v>704.0</v>
      </c>
      <c r="D152" s="45"/>
      <c r="E152" s="11">
        <v>131.0</v>
      </c>
      <c r="F152" s="12">
        <v>0.2708333333333333</v>
      </c>
      <c r="G152" s="13">
        <v>0.27152777777777776</v>
      </c>
      <c r="H152" s="14">
        <v>132.0</v>
      </c>
      <c r="I152" s="15">
        <v>0.33402777777777776</v>
      </c>
      <c r="J152" s="16">
        <v>0.33402777777777776</v>
      </c>
      <c r="K152" s="11">
        <v>122.0</v>
      </c>
      <c r="L152" s="12">
        <v>0.40347222222222223</v>
      </c>
      <c r="M152" s="13">
        <v>0.4048611111111111</v>
      </c>
      <c r="N152" s="17">
        <v>102.0</v>
      </c>
      <c r="O152" s="12">
        <v>0.4895833333333333</v>
      </c>
      <c r="P152" s="12">
        <v>0.4909722222222222</v>
      </c>
      <c r="Q152" s="11">
        <v>99.0</v>
      </c>
      <c r="R152" s="12">
        <v>0.5625</v>
      </c>
      <c r="S152" s="13">
        <v>0.5638888888888889</v>
      </c>
      <c r="T152" s="18">
        <v>99.0</v>
      </c>
      <c r="U152" s="12">
        <v>0.6354166666666666</v>
      </c>
      <c r="V152" s="13">
        <v>0.6361111111111111</v>
      </c>
      <c r="W152" s="11">
        <v>103.0</v>
      </c>
      <c r="X152" s="12">
        <v>0.6944444444444444</v>
      </c>
      <c r="Y152" s="13">
        <v>0.70625</v>
      </c>
      <c r="Z152" s="11">
        <v>96.0</v>
      </c>
      <c r="AA152" s="19"/>
      <c r="AB152" s="13">
        <v>0.8055555555555556</v>
      </c>
      <c r="AC152" s="20">
        <v>102.0</v>
      </c>
      <c r="AD152" s="21">
        <v>0.8861111111111111</v>
      </c>
      <c r="AE152" s="22">
        <v>0.8881944444444444</v>
      </c>
      <c r="AF152" s="18">
        <v>118.0</v>
      </c>
      <c r="AG152" s="12">
        <v>0.02847222222222222</v>
      </c>
      <c r="AH152" s="45" t="s">
        <v>178</v>
      </c>
      <c r="AI152" s="11"/>
      <c r="AJ152" s="18"/>
      <c r="AK152" s="38"/>
      <c r="AL152" s="14"/>
      <c r="AM152" s="14"/>
      <c r="AN152" s="53"/>
      <c r="AO152" s="11"/>
      <c r="AP152" s="18"/>
      <c r="AQ152" s="38"/>
      <c r="AR152" s="11"/>
      <c r="AS152" s="18"/>
      <c r="AT152" s="38"/>
      <c r="AU152" s="11"/>
      <c r="AV152" s="18"/>
      <c r="AW152" s="38"/>
      <c r="AX152" s="11"/>
      <c r="AY152" s="18"/>
      <c r="AZ152" s="38"/>
      <c r="BA152" s="34"/>
      <c r="BB152" s="49"/>
      <c r="BC152" s="12"/>
    </row>
    <row r="153" ht="15.75" customHeight="1">
      <c r="A153" s="7"/>
      <c r="B153" s="45"/>
      <c r="C153" s="46">
        <v>643.0</v>
      </c>
      <c r="D153" s="45"/>
      <c r="E153" s="11">
        <v>66.0</v>
      </c>
      <c r="F153" s="12">
        <v>0.26319444444444445</v>
      </c>
      <c r="G153" s="13">
        <v>0.2638888888888889</v>
      </c>
      <c r="H153" s="14">
        <v>84.0</v>
      </c>
      <c r="I153" s="15">
        <v>0.3229166666666667</v>
      </c>
      <c r="J153" s="16">
        <v>0.3229166666666667</v>
      </c>
      <c r="K153" s="11">
        <v>106.0</v>
      </c>
      <c r="L153" s="12">
        <v>0.3972222222222222</v>
      </c>
      <c r="M153" s="13">
        <v>0.40347222222222223</v>
      </c>
      <c r="N153" s="17">
        <v>106.0</v>
      </c>
      <c r="O153" s="12">
        <v>0.49166666666666664</v>
      </c>
      <c r="P153" s="12">
        <v>0.49583333333333335</v>
      </c>
      <c r="Q153" s="11">
        <v>103.0</v>
      </c>
      <c r="R153" s="12">
        <v>0.5680555555555555</v>
      </c>
      <c r="S153" s="13">
        <v>0.5722222222222222</v>
      </c>
      <c r="T153" s="18">
        <v>108.0</v>
      </c>
      <c r="U153" s="12">
        <v>0.6465277777777778</v>
      </c>
      <c r="V153" s="13">
        <v>0.65</v>
      </c>
      <c r="W153" s="11">
        <v>112.0</v>
      </c>
      <c r="X153" s="12">
        <v>0.7</v>
      </c>
      <c r="Y153" s="13">
        <v>0.7180555555555556</v>
      </c>
      <c r="Z153" s="11">
        <v>119.0</v>
      </c>
      <c r="AA153" s="19"/>
      <c r="AB153" s="13">
        <v>0.8409722222222222</v>
      </c>
      <c r="AC153" s="20">
        <v>126.0</v>
      </c>
      <c r="AD153" s="21">
        <v>0.9180555555555555</v>
      </c>
      <c r="AE153" s="22">
        <v>0.9215277777777777</v>
      </c>
      <c r="AF153" s="18">
        <v>128.0</v>
      </c>
      <c r="AG153" s="12">
        <v>0.05555555555555555</v>
      </c>
      <c r="AH153" s="45" t="s">
        <v>178</v>
      </c>
      <c r="AI153" s="11"/>
      <c r="AJ153" s="12"/>
      <c r="AK153" s="38"/>
      <c r="AL153" s="14"/>
      <c r="AM153" s="14"/>
      <c r="AN153" s="53"/>
      <c r="AO153" s="11"/>
      <c r="AP153" s="12"/>
      <c r="AQ153" s="38"/>
      <c r="AR153" s="11"/>
      <c r="AS153" s="12"/>
      <c r="AT153" s="38"/>
      <c r="AU153" s="11"/>
      <c r="AV153" s="12"/>
      <c r="AW153" s="38"/>
      <c r="AX153" s="11"/>
      <c r="AY153" s="12"/>
      <c r="AZ153" s="38"/>
      <c r="BA153" s="34"/>
      <c r="BB153" s="49"/>
      <c r="BC153" s="12"/>
    </row>
    <row r="154" ht="15.75" customHeight="1">
      <c r="A154" s="7"/>
      <c r="B154" s="45"/>
      <c r="C154" s="46">
        <v>717.0</v>
      </c>
      <c r="D154" s="45"/>
      <c r="E154" s="11">
        <v>116.0</v>
      </c>
      <c r="F154" s="12">
        <v>0.26944444444444443</v>
      </c>
      <c r="G154" s="13">
        <v>0.2701388888888889</v>
      </c>
      <c r="H154" s="27"/>
      <c r="I154" s="28"/>
      <c r="J154" s="29"/>
      <c r="K154" s="11">
        <v>113.0</v>
      </c>
      <c r="L154" s="12">
        <v>0.40069444444444446</v>
      </c>
      <c r="M154" s="13">
        <v>0.4083333333333333</v>
      </c>
      <c r="N154" s="17">
        <v>110.0</v>
      </c>
      <c r="O154" s="12">
        <v>0.49722222222222223</v>
      </c>
      <c r="P154" s="12">
        <v>0.4986111111111111</v>
      </c>
      <c r="Q154" s="11">
        <v>109.0</v>
      </c>
      <c r="R154" s="12">
        <v>0.5715277777777777</v>
      </c>
      <c r="S154" s="13">
        <v>0.5736111111111111</v>
      </c>
      <c r="T154" s="18">
        <v>107.0</v>
      </c>
      <c r="U154" s="12">
        <v>0.64375</v>
      </c>
      <c r="V154" s="13">
        <v>0.6465277777777778</v>
      </c>
      <c r="W154" s="11">
        <v>110.0</v>
      </c>
      <c r="X154" s="12">
        <v>0.6993055555555555</v>
      </c>
      <c r="Y154" s="13">
        <v>0.7125</v>
      </c>
      <c r="Z154" s="11">
        <v>128.0</v>
      </c>
      <c r="AA154" s="19"/>
      <c r="AB154" s="13">
        <v>0.8479166666666667</v>
      </c>
      <c r="AC154" s="20">
        <v>131.0</v>
      </c>
      <c r="AD154" s="21">
        <v>0.9256944444444445</v>
      </c>
      <c r="AE154" s="22">
        <v>0.9354166666666667</v>
      </c>
      <c r="AF154" s="18">
        <v>137.0</v>
      </c>
      <c r="AG154" s="12">
        <v>0.0625</v>
      </c>
      <c r="AH154" s="45" t="s">
        <v>178</v>
      </c>
      <c r="AI154" s="11"/>
      <c r="AJ154" s="18"/>
      <c r="AK154" s="38"/>
      <c r="AL154" s="14"/>
      <c r="AM154" s="14"/>
      <c r="AN154" s="53"/>
      <c r="AO154" s="11"/>
      <c r="AP154" s="12"/>
      <c r="AQ154" s="13"/>
      <c r="AR154" s="11"/>
      <c r="AS154" s="12"/>
      <c r="AT154" s="13"/>
      <c r="AU154" s="11"/>
      <c r="AV154" s="12"/>
      <c r="AW154" s="13"/>
      <c r="AX154" s="11"/>
      <c r="AY154" s="12"/>
      <c r="AZ154" s="13"/>
      <c r="BA154" s="34"/>
      <c r="BB154" s="49"/>
      <c r="BC154" s="12"/>
    </row>
    <row r="155" ht="15.75" customHeight="1">
      <c r="A155" s="7"/>
      <c r="B155" s="45"/>
      <c r="C155" s="46">
        <v>723.0</v>
      </c>
      <c r="D155" s="45"/>
      <c r="E155" s="11">
        <v>162.0</v>
      </c>
      <c r="F155" s="12">
        <v>0.2743055555555556</v>
      </c>
      <c r="G155" s="13">
        <v>0.275</v>
      </c>
      <c r="H155" s="14">
        <v>145.0</v>
      </c>
      <c r="I155" s="15">
        <v>0.3368055555555556</v>
      </c>
      <c r="J155" s="16">
        <v>0.3368055555555556</v>
      </c>
      <c r="K155" s="11">
        <v>137.0</v>
      </c>
      <c r="L155" s="12">
        <v>0.4083333333333333</v>
      </c>
      <c r="M155" s="13">
        <v>0.4215277777777778</v>
      </c>
      <c r="N155" s="17">
        <v>135.0</v>
      </c>
      <c r="O155" s="12">
        <v>0.5055555555555555</v>
      </c>
      <c r="P155" s="12">
        <v>0.5097222222222222</v>
      </c>
      <c r="Q155" s="11">
        <v>133.0</v>
      </c>
      <c r="R155" s="12">
        <v>0.5805555555555556</v>
      </c>
      <c r="S155" s="13">
        <v>0.5861111111111111</v>
      </c>
      <c r="T155" s="18">
        <v>139.0</v>
      </c>
      <c r="U155" s="12">
        <v>0.6652777777777777</v>
      </c>
      <c r="V155" s="13">
        <v>0.6701388888888888</v>
      </c>
      <c r="W155" s="11">
        <v>142.0</v>
      </c>
      <c r="X155" s="12">
        <v>0.7243055555555555</v>
      </c>
      <c r="Y155" s="13">
        <v>0.7361111111111112</v>
      </c>
      <c r="Z155" s="11">
        <v>137.0</v>
      </c>
      <c r="AA155" s="19"/>
      <c r="AB155" s="13">
        <v>0.8569444444444444</v>
      </c>
      <c r="AC155" s="20">
        <v>136.0</v>
      </c>
      <c r="AD155" s="21">
        <v>0.9298611111111111</v>
      </c>
      <c r="AE155" s="22">
        <v>0.9333333333333333</v>
      </c>
      <c r="AF155" s="18">
        <v>142.0</v>
      </c>
      <c r="AG155" s="12">
        <v>0.07430555555555556</v>
      </c>
      <c r="AH155" s="45" t="s">
        <v>178</v>
      </c>
      <c r="AI155" s="11"/>
      <c r="AJ155" s="12"/>
      <c r="AK155" s="13"/>
      <c r="AL155" s="14"/>
      <c r="AM155" s="14"/>
      <c r="AN155" s="53"/>
      <c r="AO155" s="11"/>
      <c r="AP155" s="12"/>
      <c r="AQ155" s="13"/>
      <c r="AR155" s="11"/>
      <c r="AS155" s="12"/>
      <c r="AT155" s="13"/>
      <c r="AU155" s="11"/>
      <c r="AV155" s="12"/>
      <c r="AW155" s="13"/>
      <c r="AX155" s="11"/>
      <c r="AY155" s="12"/>
      <c r="AZ155" s="13"/>
      <c r="BA155" s="34"/>
      <c r="BB155" s="49"/>
      <c r="BC155" s="12"/>
    </row>
    <row r="156" ht="15.75" customHeight="1">
      <c r="A156" s="7"/>
      <c r="B156" s="45"/>
      <c r="C156" s="46">
        <v>664.0</v>
      </c>
      <c r="D156" s="45"/>
      <c r="E156" s="11">
        <v>158.0</v>
      </c>
      <c r="F156" s="12">
        <v>0.2743055555555556</v>
      </c>
      <c r="G156" s="13">
        <v>0.275</v>
      </c>
      <c r="H156" s="27"/>
      <c r="I156" s="28"/>
      <c r="J156" s="29"/>
      <c r="K156" s="11">
        <v>170.0</v>
      </c>
      <c r="L156" s="12">
        <v>0.4222222222222222</v>
      </c>
      <c r="M156" s="13">
        <v>0.42986111111111114</v>
      </c>
      <c r="N156" s="17">
        <v>162.0</v>
      </c>
      <c r="O156" s="12">
        <v>0.5270833333333333</v>
      </c>
      <c r="P156" s="12">
        <v>0.5305555555555556</v>
      </c>
      <c r="Q156" s="11">
        <v>161.0</v>
      </c>
      <c r="R156" s="12">
        <v>0.60625</v>
      </c>
      <c r="S156" s="13">
        <v>0.6097222222222223</v>
      </c>
      <c r="T156" s="18">
        <v>152.0</v>
      </c>
      <c r="U156" s="12">
        <v>0.68125</v>
      </c>
      <c r="V156" s="13">
        <v>0.6847222222222222</v>
      </c>
      <c r="W156" s="11">
        <v>152.0</v>
      </c>
      <c r="X156" s="12">
        <v>0.7395833333333334</v>
      </c>
      <c r="Y156" s="13">
        <v>0.75625</v>
      </c>
      <c r="Z156" s="11">
        <v>140.0</v>
      </c>
      <c r="AA156" s="19"/>
      <c r="AB156" s="13">
        <v>0.8673611111111111</v>
      </c>
      <c r="AC156" s="20">
        <v>144.0</v>
      </c>
      <c r="AD156" s="21">
        <v>0.9444444444444444</v>
      </c>
      <c r="AE156" s="22">
        <v>0.95</v>
      </c>
      <c r="AF156" s="18">
        <v>148.0</v>
      </c>
      <c r="AG156" s="12">
        <v>0.08611111111111111</v>
      </c>
      <c r="AH156" s="45" t="s">
        <v>178</v>
      </c>
      <c r="AI156" s="11"/>
      <c r="AJ156" s="12"/>
      <c r="AK156" s="38"/>
      <c r="AL156" s="14"/>
      <c r="AM156" s="14"/>
      <c r="AN156" s="53"/>
      <c r="AO156" s="11"/>
      <c r="AP156" s="12"/>
      <c r="AQ156" s="38"/>
      <c r="AR156" s="11"/>
      <c r="AS156" s="12"/>
      <c r="AT156" s="38"/>
      <c r="AU156" s="11"/>
      <c r="AV156" s="12"/>
      <c r="AW156" s="38"/>
      <c r="AX156" s="11"/>
      <c r="AY156" s="12"/>
      <c r="AZ156" s="38"/>
      <c r="BA156" s="34"/>
      <c r="BB156" s="49"/>
      <c r="BC156" s="12"/>
    </row>
    <row r="157" ht="15.75" customHeight="1">
      <c r="A157" s="7"/>
      <c r="B157" s="45"/>
      <c r="C157" s="46">
        <v>633.0</v>
      </c>
      <c r="D157" s="45"/>
      <c r="E157" s="11">
        <v>183.0</v>
      </c>
      <c r="F157" s="12">
        <v>0.2777777777777778</v>
      </c>
      <c r="G157" s="13">
        <v>0.27847222222222223</v>
      </c>
      <c r="H157" s="14">
        <v>88.0</v>
      </c>
      <c r="I157" s="15">
        <v>0.32430555555555557</v>
      </c>
      <c r="J157" s="16">
        <v>0.32430555555555557</v>
      </c>
      <c r="K157" s="11">
        <v>186.0</v>
      </c>
      <c r="L157" s="12">
        <v>0.4284722222222222</v>
      </c>
      <c r="M157" s="13">
        <v>0.4326388888888889</v>
      </c>
      <c r="N157" s="17">
        <v>168.0</v>
      </c>
      <c r="O157" s="12">
        <v>0.5298611111111111</v>
      </c>
      <c r="P157" s="12">
        <v>0.5326388888888889</v>
      </c>
      <c r="Q157" s="11">
        <v>164.0</v>
      </c>
      <c r="R157" s="12">
        <v>0.6083333333333333</v>
      </c>
      <c r="S157" s="13">
        <v>0.6118055555555556</v>
      </c>
      <c r="T157" s="18">
        <v>157.0</v>
      </c>
      <c r="U157" s="12">
        <v>0.6854166666666667</v>
      </c>
      <c r="V157" s="13">
        <v>0.6888888888888889</v>
      </c>
      <c r="W157" s="11">
        <v>155.0</v>
      </c>
      <c r="X157" s="12">
        <v>0.7409722222222223</v>
      </c>
      <c r="Y157" s="13">
        <v>0.7486111111111111</v>
      </c>
      <c r="Z157" s="11">
        <v>152.0</v>
      </c>
      <c r="AA157" s="19"/>
      <c r="AB157" s="13">
        <v>0.8784722222222222</v>
      </c>
      <c r="AC157" s="20">
        <v>155.0</v>
      </c>
      <c r="AD157" s="21">
        <v>0.9604166666666667</v>
      </c>
      <c r="AE157" s="22">
        <v>0.9722222222222222</v>
      </c>
      <c r="AF157" s="18">
        <v>153.0</v>
      </c>
      <c r="AG157" s="12">
        <v>0.09791666666666667</v>
      </c>
      <c r="AH157" s="45" t="s">
        <v>178</v>
      </c>
      <c r="AI157" s="11"/>
      <c r="AJ157" s="18"/>
      <c r="AK157" s="38"/>
      <c r="AL157" s="14"/>
      <c r="AM157" s="14"/>
      <c r="AN157" s="53"/>
      <c r="AO157" s="11"/>
      <c r="AP157" s="12"/>
      <c r="AQ157" s="13"/>
      <c r="AR157" s="11"/>
      <c r="AS157" s="12"/>
      <c r="AT157" s="13"/>
      <c r="AU157" s="11"/>
      <c r="AV157" s="12"/>
      <c r="AW157" s="13"/>
      <c r="AX157" s="11"/>
      <c r="AY157" s="12"/>
      <c r="AZ157" s="13"/>
      <c r="BA157" s="34"/>
      <c r="BB157" s="49"/>
      <c r="BC157" s="12"/>
    </row>
    <row r="158" ht="15.75" customHeight="1">
      <c r="A158" s="7"/>
      <c r="B158" s="45"/>
      <c r="C158" s="46">
        <v>639.0</v>
      </c>
      <c r="D158" s="45"/>
      <c r="E158" s="11">
        <v>83.0</v>
      </c>
      <c r="F158" s="12">
        <v>0.2659722222222222</v>
      </c>
      <c r="G158" s="13">
        <v>0.26666666666666666</v>
      </c>
      <c r="H158" s="14">
        <v>69.0</v>
      </c>
      <c r="I158" s="15">
        <v>0.32013888888888886</v>
      </c>
      <c r="J158" s="16">
        <v>0.32013888888888886</v>
      </c>
      <c r="K158" s="11">
        <v>105.0</v>
      </c>
      <c r="L158" s="12">
        <v>0.3972222222222222</v>
      </c>
      <c r="M158" s="13">
        <v>0.4041666666666667</v>
      </c>
      <c r="N158" s="17">
        <v>120.0</v>
      </c>
      <c r="O158" s="12">
        <v>0.5006944444444444</v>
      </c>
      <c r="P158" s="12">
        <v>0.5041666666666667</v>
      </c>
      <c r="Q158" s="11">
        <v>137.0</v>
      </c>
      <c r="R158" s="12">
        <v>0.5833333333333334</v>
      </c>
      <c r="S158" s="13">
        <v>0.5875</v>
      </c>
      <c r="T158" s="18">
        <v>136.0</v>
      </c>
      <c r="U158" s="12">
        <v>0.6645833333333333</v>
      </c>
      <c r="V158" s="13">
        <v>0.6694444444444444</v>
      </c>
      <c r="W158" s="11">
        <v>145.0</v>
      </c>
      <c r="X158" s="12">
        <v>0.7284722222222222</v>
      </c>
      <c r="Y158" s="13">
        <v>0.7402777777777778</v>
      </c>
      <c r="Z158" s="11">
        <v>139.0</v>
      </c>
      <c r="AA158" s="19"/>
      <c r="AB158" s="13">
        <v>0.8625</v>
      </c>
      <c r="AC158" s="20">
        <v>139.0</v>
      </c>
      <c r="AD158" s="21">
        <v>0.9423611111111111</v>
      </c>
      <c r="AE158" s="22">
        <v>0.9451388888888889</v>
      </c>
      <c r="AF158" s="48" t="s">
        <v>178</v>
      </c>
      <c r="AG158" s="18"/>
      <c r="AH158" s="47"/>
      <c r="AI158" s="11"/>
      <c r="AJ158" s="18"/>
      <c r="AK158" s="38"/>
      <c r="AL158" s="14"/>
      <c r="AM158" s="14"/>
      <c r="AN158" s="53"/>
      <c r="AO158" s="11"/>
      <c r="AP158" s="12"/>
      <c r="AQ158" s="13"/>
      <c r="AR158" s="11"/>
      <c r="AS158" s="12"/>
      <c r="AT158" s="13"/>
      <c r="AU158" s="11"/>
      <c r="AV158" s="12"/>
      <c r="AW158" s="13"/>
      <c r="AX158" s="11"/>
      <c r="AY158" s="12"/>
      <c r="AZ158" s="13"/>
      <c r="BA158" s="34"/>
      <c r="BB158" s="49"/>
      <c r="BC158" s="12"/>
    </row>
    <row r="159" ht="15.75" customHeight="1">
      <c r="A159" s="7"/>
      <c r="B159" s="45"/>
      <c r="C159" s="46">
        <v>566.0</v>
      </c>
      <c r="D159" s="45"/>
      <c r="E159" s="11">
        <v>20.0</v>
      </c>
      <c r="F159" s="12">
        <v>0.25763888888888886</v>
      </c>
      <c r="G159" s="13">
        <v>0.25833333333333336</v>
      </c>
      <c r="H159" s="27"/>
      <c r="I159" s="28"/>
      <c r="J159" s="29"/>
      <c r="K159" s="11">
        <v>75.0</v>
      </c>
      <c r="L159" s="12">
        <v>0.38819444444444445</v>
      </c>
      <c r="M159" s="13">
        <v>0.39305555555555555</v>
      </c>
      <c r="N159" s="17">
        <v>99.0</v>
      </c>
      <c r="O159" s="12">
        <v>0.48819444444444443</v>
      </c>
      <c r="P159" s="12">
        <v>0.4909722222222222</v>
      </c>
      <c r="Q159" s="11">
        <v>104.0</v>
      </c>
      <c r="R159" s="12">
        <v>0.5680555555555555</v>
      </c>
      <c r="S159" s="13">
        <v>0.5743055555555555</v>
      </c>
      <c r="T159" s="18">
        <v>115.0</v>
      </c>
      <c r="U159" s="12">
        <v>0.65</v>
      </c>
      <c r="V159" s="13">
        <v>0.6520833333333333</v>
      </c>
      <c r="W159" s="11">
        <v>115.0</v>
      </c>
      <c r="X159" s="12">
        <v>0.70625</v>
      </c>
      <c r="Y159" s="13">
        <v>0.7131944444444445</v>
      </c>
      <c r="Z159" s="11">
        <v>143.0</v>
      </c>
      <c r="AA159" s="19"/>
      <c r="AB159" s="13">
        <v>0.8694444444444445</v>
      </c>
      <c r="AC159" s="20">
        <v>148.0</v>
      </c>
      <c r="AD159" s="21">
        <v>0.9472222222222222</v>
      </c>
      <c r="AE159" s="22">
        <v>0.9506944444444444</v>
      </c>
      <c r="AF159" s="48" t="s">
        <v>178</v>
      </c>
      <c r="AG159" s="18"/>
      <c r="AH159" s="47"/>
      <c r="AI159" s="11"/>
      <c r="AJ159" s="12"/>
      <c r="AK159" s="13"/>
      <c r="AL159" s="14"/>
      <c r="AM159" s="14"/>
      <c r="AN159" s="53"/>
      <c r="AO159" s="11"/>
      <c r="AP159" s="12"/>
      <c r="AQ159" s="13"/>
      <c r="AR159" s="11"/>
      <c r="AS159" s="12"/>
      <c r="AT159" s="13"/>
      <c r="AU159" s="11"/>
      <c r="AV159" s="12"/>
      <c r="AW159" s="13"/>
      <c r="AX159" s="11"/>
      <c r="AY159" s="12"/>
      <c r="AZ159" s="13"/>
      <c r="BA159" s="34"/>
      <c r="BB159" s="49"/>
      <c r="BC159" s="12"/>
    </row>
    <row r="160" ht="15.75" customHeight="1">
      <c r="A160" s="7"/>
      <c r="B160" s="45"/>
      <c r="C160" s="46">
        <v>587.0</v>
      </c>
      <c r="D160" s="45"/>
      <c r="E160" s="11">
        <v>170.0</v>
      </c>
      <c r="F160" s="12">
        <v>0.2743055555555556</v>
      </c>
      <c r="G160" s="13">
        <v>0.275</v>
      </c>
      <c r="H160" s="27"/>
      <c r="I160" s="28"/>
      <c r="J160" s="29"/>
      <c r="K160" s="11">
        <v>142.0</v>
      </c>
      <c r="L160" s="12">
        <v>0.4097222222222222</v>
      </c>
      <c r="M160" s="13">
        <v>0.41597222222222224</v>
      </c>
      <c r="N160" s="17">
        <v>145.0</v>
      </c>
      <c r="O160" s="12">
        <v>0.5125</v>
      </c>
      <c r="P160" s="12">
        <v>0.5291666666666667</v>
      </c>
      <c r="Q160" s="11">
        <v>159.0</v>
      </c>
      <c r="R160" s="12">
        <v>0.6055555555555555</v>
      </c>
      <c r="S160" s="13">
        <v>0.6131944444444445</v>
      </c>
      <c r="T160" s="18">
        <v>163.0</v>
      </c>
      <c r="U160" s="12">
        <v>0.6888888888888889</v>
      </c>
      <c r="V160" s="13">
        <v>0.6993055555555555</v>
      </c>
      <c r="W160" s="11">
        <v>163.0</v>
      </c>
      <c r="X160" s="12">
        <v>0.7493055555555556</v>
      </c>
      <c r="Y160" s="13">
        <v>0.7743055555555556</v>
      </c>
      <c r="Z160" s="11">
        <v>163.0</v>
      </c>
      <c r="AA160" s="19"/>
      <c r="AB160" s="13">
        <v>0.8986111111111111</v>
      </c>
      <c r="AC160" s="20">
        <v>163.0</v>
      </c>
      <c r="AD160" s="21">
        <v>0.9798611111111111</v>
      </c>
      <c r="AE160" s="22">
        <v>0.0020833333333333333</v>
      </c>
      <c r="AF160" s="48" t="s">
        <v>178</v>
      </c>
      <c r="AG160" s="18"/>
      <c r="AH160" s="47"/>
      <c r="AI160" s="11"/>
      <c r="AJ160" s="18"/>
      <c r="AK160" s="38"/>
      <c r="AL160" s="14"/>
      <c r="AM160" s="14"/>
      <c r="AN160" s="53"/>
      <c r="AO160" s="11"/>
      <c r="AP160" s="12"/>
      <c r="AQ160" s="13"/>
      <c r="AR160" s="11"/>
      <c r="AS160" s="12"/>
      <c r="AT160" s="13"/>
      <c r="AU160" s="11"/>
      <c r="AV160" s="12"/>
      <c r="AW160" s="13"/>
      <c r="AX160" s="11"/>
      <c r="AY160" s="12"/>
      <c r="AZ160" s="13"/>
      <c r="BA160" s="34"/>
      <c r="BB160" s="49"/>
      <c r="BC160" s="12"/>
    </row>
    <row r="161" ht="15.75" customHeight="1">
      <c r="A161" s="7"/>
      <c r="B161" s="45"/>
      <c r="C161" s="46">
        <v>614.0</v>
      </c>
      <c r="D161" s="45"/>
      <c r="E161" s="11">
        <v>157.0</v>
      </c>
      <c r="F161" s="12">
        <v>0.2743055555555556</v>
      </c>
      <c r="G161" s="13">
        <v>0.275</v>
      </c>
      <c r="H161" s="14">
        <v>168.0</v>
      </c>
      <c r="I161" s="15">
        <v>0.3388888888888889</v>
      </c>
      <c r="J161" s="16">
        <v>0.3388888888888889</v>
      </c>
      <c r="K161" s="11">
        <v>182.0</v>
      </c>
      <c r="L161" s="12">
        <v>0.42777777777777776</v>
      </c>
      <c r="M161" s="13">
        <v>0.43333333333333335</v>
      </c>
      <c r="N161" s="17">
        <v>176.0</v>
      </c>
      <c r="O161" s="12">
        <v>0.5368055555555555</v>
      </c>
      <c r="P161" s="12">
        <v>0.5423611111111111</v>
      </c>
      <c r="Q161" s="11">
        <v>174.0</v>
      </c>
      <c r="R161" s="12">
        <v>0.6173611111111111</v>
      </c>
      <c r="S161" s="13">
        <v>0.6229166666666667</v>
      </c>
      <c r="T161" s="18">
        <v>173.0</v>
      </c>
      <c r="U161" s="12">
        <v>0.7020833333333333</v>
      </c>
      <c r="V161" s="13">
        <v>0.7131944444444445</v>
      </c>
      <c r="W161" s="11">
        <v>170.0</v>
      </c>
      <c r="X161" s="12">
        <v>0.7625</v>
      </c>
      <c r="Y161" s="13">
        <v>0.76875</v>
      </c>
      <c r="Z161" s="11">
        <v>159.0</v>
      </c>
      <c r="AA161" s="19"/>
      <c r="AB161" s="13">
        <v>0.8881944444444444</v>
      </c>
      <c r="AC161" s="20">
        <v>164.0</v>
      </c>
      <c r="AD161" s="21">
        <v>0.9881944444444445</v>
      </c>
      <c r="AE161" s="22">
        <v>0.0020833333333333333</v>
      </c>
      <c r="AF161" s="48" t="s">
        <v>178</v>
      </c>
      <c r="AG161" s="18"/>
      <c r="AH161" s="47"/>
      <c r="AI161" s="11"/>
      <c r="AJ161" s="18"/>
      <c r="AK161" s="38"/>
      <c r="AL161" s="14"/>
      <c r="AM161" s="14"/>
      <c r="AN161" s="53"/>
      <c r="AO161" s="11"/>
      <c r="AP161" s="12"/>
      <c r="AQ161" s="13"/>
      <c r="AR161" s="11"/>
      <c r="AS161" s="12"/>
      <c r="AT161" s="38"/>
      <c r="AU161" s="11"/>
      <c r="AV161" s="12"/>
      <c r="AW161" s="38"/>
      <c r="AX161" s="11"/>
      <c r="AY161" s="12"/>
      <c r="AZ161" s="38"/>
      <c r="BA161" s="34"/>
      <c r="BB161" s="49"/>
      <c r="BC161" s="12"/>
    </row>
    <row r="162" ht="15.75" customHeight="1">
      <c r="A162" s="7"/>
      <c r="B162" s="45"/>
      <c r="C162" s="46">
        <v>691.0</v>
      </c>
      <c r="D162" s="45"/>
      <c r="E162" s="11">
        <v>128.0</v>
      </c>
      <c r="F162" s="12">
        <v>0.2708333333333333</v>
      </c>
      <c r="G162" s="13">
        <v>0.27152777777777776</v>
      </c>
      <c r="H162" s="14">
        <v>149.0</v>
      </c>
      <c r="I162" s="15">
        <v>0.3368055555555556</v>
      </c>
      <c r="J162" s="16">
        <v>0.3368055555555556</v>
      </c>
      <c r="K162" s="11">
        <v>167.0</v>
      </c>
      <c r="L162" s="12">
        <v>0.42083333333333334</v>
      </c>
      <c r="M162" s="13">
        <v>0.4340277777777778</v>
      </c>
      <c r="N162" s="17">
        <v>174.0</v>
      </c>
      <c r="O162" s="12">
        <v>0.5333333333333333</v>
      </c>
      <c r="P162" s="12">
        <v>0.5381944444444444</v>
      </c>
      <c r="Q162" s="11">
        <v>175.0</v>
      </c>
      <c r="R162" s="12">
        <v>0.6173611111111111</v>
      </c>
      <c r="S162" s="13">
        <v>0.6243055555555556</v>
      </c>
      <c r="T162" s="18">
        <v>171.0</v>
      </c>
      <c r="U162" s="12">
        <v>0.6993055555555555</v>
      </c>
      <c r="V162" s="13">
        <v>0.7076388888888889</v>
      </c>
      <c r="W162" s="11">
        <v>171.0</v>
      </c>
      <c r="X162" s="12">
        <v>0.7625</v>
      </c>
      <c r="Y162" s="13">
        <v>0.7770833333333333</v>
      </c>
      <c r="Z162" s="11">
        <v>167.0</v>
      </c>
      <c r="AA162" s="19"/>
      <c r="AB162" s="13">
        <v>0.9180555555555555</v>
      </c>
      <c r="AC162" s="20">
        <v>166.0</v>
      </c>
      <c r="AD162" s="21">
        <v>0.5</v>
      </c>
      <c r="AE162" s="22">
        <v>0.009722222222222222</v>
      </c>
      <c r="AF162" s="48" t="s">
        <v>178</v>
      </c>
      <c r="AG162" s="18"/>
      <c r="AH162" s="47"/>
      <c r="AI162" s="11"/>
      <c r="AJ162" s="18"/>
      <c r="AK162" s="38"/>
      <c r="AL162" s="14"/>
      <c r="AM162" s="14"/>
      <c r="AN162" s="53"/>
      <c r="AO162" s="11"/>
      <c r="AP162" s="18"/>
      <c r="AQ162" s="38"/>
      <c r="AR162" s="11"/>
      <c r="AS162" s="18"/>
      <c r="AT162" s="38"/>
      <c r="AU162" s="11"/>
      <c r="AV162" s="18"/>
      <c r="AW162" s="38"/>
      <c r="AX162" s="11"/>
      <c r="AY162" s="18"/>
      <c r="AZ162" s="38"/>
      <c r="BA162" s="34"/>
      <c r="BB162" s="49"/>
      <c r="BC162" s="12"/>
    </row>
    <row r="163" ht="15.75" customHeight="1">
      <c r="A163" s="7"/>
      <c r="B163" s="45"/>
      <c r="C163" s="46">
        <v>502.0</v>
      </c>
      <c r="D163" s="45"/>
      <c r="E163" s="11">
        <v>103.0</v>
      </c>
      <c r="F163" s="12">
        <v>0.26875</v>
      </c>
      <c r="G163" s="13">
        <v>0.26944444444444443</v>
      </c>
      <c r="H163" s="14">
        <v>135.0</v>
      </c>
      <c r="I163" s="15">
        <v>0.33402777777777776</v>
      </c>
      <c r="J163" s="16">
        <v>0.33402777777777776</v>
      </c>
      <c r="K163" s="11">
        <v>168.0</v>
      </c>
      <c r="L163" s="12">
        <v>0.4215277777777778</v>
      </c>
      <c r="M163" s="13">
        <v>0.4326388888888889</v>
      </c>
      <c r="N163" s="17">
        <v>182.0</v>
      </c>
      <c r="O163" s="12">
        <v>0.5395833333333333</v>
      </c>
      <c r="P163" s="12">
        <v>0.5430555555555555</v>
      </c>
      <c r="Q163" s="11">
        <v>182.0</v>
      </c>
      <c r="R163" s="12">
        <v>0.625</v>
      </c>
      <c r="S163" s="13">
        <v>0.6284722222222222</v>
      </c>
      <c r="T163" s="18">
        <v>177.0</v>
      </c>
      <c r="U163" s="12">
        <v>0.7090277777777778</v>
      </c>
      <c r="V163" s="13">
        <v>0.7125</v>
      </c>
      <c r="W163" s="11">
        <v>181.0</v>
      </c>
      <c r="X163" s="12">
        <v>0.7784722222222222</v>
      </c>
      <c r="Y163" s="13">
        <v>0.79375</v>
      </c>
      <c r="Z163" s="11">
        <v>169.0</v>
      </c>
      <c r="AA163" s="19"/>
      <c r="AB163" s="13">
        <v>0.9291666666666667</v>
      </c>
      <c r="AC163" s="20">
        <v>168.0</v>
      </c>
      <c r="AD163" s="21">
        <v>0.00625</v>
      </c>
      <c r="AE163" s="22">
        <v>0.009722222222222222</v>
      </c>
      <c r="AF163" s="48" t="s">
        <v>178</v>
      </c>
      <c r="AG163" s="18"/>
      <c r="AH163" s="47"/>
      <c r="AI163" s="11"/>
      <c r="AJ163" s="18"/>
      <c r="AK163" s="38"/>
      <c r="AL163" s="14"/>
      <c r="AM163" s="14"/>
      <c r="AN163" s="53"/>
      <c r="AO163" s="11"/>
      <c r="AP163" s="12"/>
      <c r="AQ163" s="13"/>
      <c r="AR163" s="11"/>
      <c r="AS163" s="12"/>
      <c r="AT163" s="13"/>
      <c r="AU163" s="11"/>
      <c r="AV163" s="12"/>
      <c r="AW163" s="13"/>
      <c r="AX163" s="11"/>
      <c r="AY163" s="12"/>
      <c r="AZ163" s="13"/>
      <c r="BA163" s="34"/>
      <c r="BB163" s="49"/>
      <c r="BC163" s="12"/>
    </row>
    <row r="164" ht="15.75" customHeight="1">
      <c r="A164" s="7"/>
      <c r="B164" s="45"/>
      <c r="C164" s="46">
        <v>622.0</v>
      </c>
      <c r="D164" s="45"/>
      <c r="E164" s="11">
        <v>184.0</v>
      </c>
      <c r="F164" s="12">
        <v>0.2777777777777778</v>
      </c>
      <c r="G164" s="13">
        <v>0.27847222222222223</v>
      </c>
      <c r="H164" s="14">
        <v>183.0</v>
      </c>
      <c r="I164" s="15">
        <v>0.34444444444444444</v>
      </c>
      <c r="J164" s="16">
        <v>0.34444444444444444</v>
      </c>
      <c r="K164" s="11">
        <v>189.0</v>
      </c>
      <c r="L164" s="12">
        <v>0.4305555555555556</v>
      </c>
      <c r="M164" s="13">
        <v>0.4375</v>
      </c>
      <c r="N164" s="17">
        <v>185.0</v>
      </c>
      <c r="O164" s="12">
        <v>0.5444444444444444</v>
      </c>
      <c r="P164" s="12">
        <v>0.5472222222222223</v>
      </c>
      <c r="Q164" s="11">
        <v>183.0</v>
      </c>
      <c r="R164" s="12">
        <v>0.6284722222222222</v>
      </c>
      <c r="S164" s="13">
        <v>0.6305555555555555</v>
      </c>
      <c r="T164" s="18">
        <v>179.0</v>
      </c>
      <c r="U164" s="12">
        <v>0.7111111111111111</v>
      </c>
      <c r="V164" s="13">
        <v>0.7131944444444445</v>
      </c>
      <c r="W164" s="11">
        <v>178.0</v>
      </c>
      <c r="X164" s="12">
        <v>0.7756944444444445</v>
      </c>
      <c r="Y164" s="13">
        <v>0.7784722222222222</v>
      </c>
      <c r="Z164" s="11">
        <v>168.0</v>
      </c>
      <c r="AA164" s="26"/>
      <c r="AB164" s="13">
        <v>0.9284722222222223</v>
      </c>
      <c r="AC164" s="20">
        <v>169.0</v>
      </c>
      <c r="AD164" s="21">
        <v>0.007638888888888889</v>
      </c>
      <c r="AE164" s="22">
        <v>0.009722222222222222</v>
      </c>
      <c r="AF164" s="48" t="s">
        <v>178</v>
      </c>
      <c r="AG164" s="18"/>
      <c r="AH164" s="47"/>
      <c r="AI164" s="11"/>
      <c r="AJ164" s="18"/>
      <c r="AK164" s="38"/>
      <c r="AL164" s="14"/>
      <c r="AM164" s="14"/>
      <c r="AN164" s="53"/>
      <c r="AO164" s="11"/>
      <c r="AP164" s="18"/>
      <c r="AQ164" s="38"/>
      <c r="AR164" s="11"/>
      <c r="AS164" s="18"/>
      <c r="AT164" s="38"/>
      <c r="AU164" s="11"/>
      <c r="AV164" s="18"/>
      <c r="AW164" s="38"/>
      <c r="AX164" s="11"/>
      <c r="AY164" s="18"/>
      <c r="AZ164" s="38"/>
      <c r="BA164" s="34"/>
      <c r="BB164" s="49"/>
      <c r="BC164" s="12"/>
    </row>
    <row r="165" ht="15.75" customHeight="1">
      <c r="A165" s="7"/>
      <c r="B165" s="45"/>
      <c r="C165" s="46">
        <v>579.0</v>
      </c>
      <c r="D165" s="45"/>
      <c r="E165" s="11">
        <v>197.0</v>
      </c>
      <c r="F165" s="12">
        <v>0.2826388888888889</v>
      </c>
      <c r="G165" s="13">
        <v>0.2833333333333333</v>
      </c>
      <c r="H165" s="14">
        <v>196.0</v>
      </c>
      <c r="I165" s="15">
        <v>0.3770833333333333</v>
      </c>
      <c r="J165" s="16">
        <v>0.3770833333333333</v>
      </c>
      <c r="K165" s="11">
        <v>200.0</v>
      </c>
      <c r="L165" s="12">
        <v>0.44930555555555557</v>
      </c>
      <c r="M165" s="13">
        <v>0.45208333333333334</v>
      </c>
      <c r="N165" s="17">
        <v>192.0</v>
      </c>
      <c r="O165" s="12">
        <v>0.5680555555555555</v>
      </c>
      <c r="P165" s="12">
        <v>0.5701388888888889</v>
      </c>
      <c r="Q165" s="11">
        <v>191.0</v>
      </c>
      <c r="R165" s="12">
        <v>0.6548611111111111</v>
      </c>
      <c r="S165" s="13">
        <v>0.6569444444444444</v>
      </c>
      <c r="T165" s="18">
        <v>188.0</v>
      </c>
      <c r="U165" s="12">
        <v>0.7347222222222223</v>
      </c>
      <c r="V165" s="13">
        <v>0.7361111111111112</v>
      </c>
      <c r="W165" s="11">
        <v>184.0</v>
      </c>
      <c r="X165" s="12">
        <v>0.7965277777777777</v>
      </c>
      <c r="Y165" s="13">
        <v>0.8020833333333334</v>
      </c>
      <c r="Z165" s="11">
        <v>170.0</v>
      </c>
      <c r="AA165" s="19"/>
      <c r="AB165" s="13">
        <v>0.8465277777777778</v>
      </c>
      <c r="AC165" s="20">
        <v>171.0</v>
      </c>
      <c r="AD165" s="21">
        <v>0.021527777777777778</v>
      </c>
      <c r="AE165" s="22">
        <v>0.009722222222222222</v>
      </c>
      <c r="AF165" s="48" t="s">
        <v>178</v>
      </c>
      <c r="AG165" s="18"/>
      <c r="AH165" s="47"/>
      <c r="AI165" s="11"/>
      <c r="AJ165" s="12"/>
      <c r="AK165" s="13"/>
      <c r="AL165" s="14"/>
      <c r="AM165" s="14"/>
      <c r="AN165" s="53"/>
      <c r="AO165" s="11"/>
      <c r="AP165" s="12"/>
      <c r="AQ165" s="13"/>
      <c r="AR165" s="11"/>
      <c r="AS165" s="12"/>
      <c r="AT165" s="13"/>
      <c r="AU165" s="11"/>
      <c r="AV165" s="12"/>
      <c r="AW165" s="13"/>
      <c r="AX165" s="11"/>
      <c r="AY165" s="12"/>
      <c r="AZ165" s="13"/>
      <c r="BA165" s="34"/>
      <c r="BB165" s="49"/>
      <c r="BC165" s="12"/>
    </row>
    <row r="166" ht="15.75" customHeight="1">
      <c r="A166" s="7"/>
      <c r="B166" s="45"/>
      <c r="C166" s="46">
        <v>738.0</v>
      </c>
      <c r="D166" s="45"/>
      <c r="E166" s="11">
        <v>140.0</v>
      </c>
      <c r="F166" s="12">
        <v>0.27152777777777776</v>
      </c>
      <c r="G166" s="13">
        <v>0.2722222222222222</v>
      </c>
      <c r="H166" s="27"/>
      <c r="I166" s="28"/>
      <c r="J166" s="29"/>
      <c r="K166" s="11">
        <v>175.0</v>
      </c>
      <c r="L166" s="12">
        <v>0.42430555555555555</v>
      </c>
      <c r="M166" s="13">
        <v>0.4284722222222222</v>
      </c>
      <c r="N166" s="17">
        <v>181.0</v>
      </c>
      <c r="O166" s="12">
        <v>0.5388888888888889</v>
      </c>
      <c r="P166" s="12">
        <v>0.5423611111111111</v>
      </c>
      <c r="Q166" s="11">
        <v>179.0</v>
      </c>
      <c r="R166" s="12">
        <v>0.6229166666666667</v>
      </c>
      <c r="S166" s="13">
        <v>0.6256944444444444</v>
      </c>
      <c r="T166" s="18">
        <v>178.0</v>
      </c>
      <c r="U166" s="12">
        <v>0.7090277777777778</v>
      </c>
      <c r="V166" s="13">
        <v>0.7118055555555556</v>
      </c>
      <c r="W166" s="11">
        <v>180.0</v>
      </c>
      <c r="X166" s="12">
        <v>0.7777777777777778</v>
      </c>
      <c r="Y166" s="13">
        <v>0.7888888888888889</v>
      </c>
      <c r="Z166" s="11">
        <v>171.0</v>
      </c>
      <c r="AA166" s="19"/>
      <c r="AB166" s="13">
        <v>0.9416666666666667</v>
      </c>
      <c r="AC166" s="20">
        <v>172.0</v>
      </c>
      <c r="AD166" s="21">
        <v>0.02361111111111111</v>
      </c>
      <c r="AE166" s="22">
        <v>0.022916666666666665</v>
      </c>
      <c r="AF166" s="48" t="s">
        <v>178</v>
      </c>
      <c r="AG166" s="18"/>
      <c r="AH166" s="47"/>
      <c r="AI166" s="11"/>
      <c r="AJ166" s="12"/>
      <c r="AK166" s="38"/>
      <c r="AL166" s="14"/>
      <c r="AM166" s="14"/>
      <c r="AN166" s="53"/>
      <c r="AO166" s="11"/>
      <c r="AP166" s="12"/>
      <c r="AQ166" s="38"/>
      <c r="AR166" s="11"/>
      <c r="AS166" s="12"/>
      <c r="AT166" s="38"/>
      <c r="AU166" s="11"/>
      <c r="AV166" s="12"/>
      <c r="AW166" s="38"/>
      <c r="AX166" s="11"/>
      <c r="AY166" s="12"/>
      <c r="AZ166" s="38"/>
      <c r="BA166" s="34"/>
      <c r="BB166" s="49"/>
      <c r="BC166" s="12"/>
    </row>
    <row r="167" ht="15.75" customHeight="1">
      <c r="A167" s="7"/>
      <c r="B167" s="45"/>
      <c r="C167" s="46">
        <v>588.0</v>
      </c>
      <c r="D167" s="45"/>
      <c r="E167" s="11">
        <v>21.0</v>
      </c>
      <c r="F167" s="12">
        <v>0.25763888888888886</v>
      </c>
      <c r="G167" s="13">
        <v>0.25833333333333336</v>
      </c>
      <c r="H167" s="14">
        <v>21.0</v>
      </c>
      <c r="I167" s="15">
        <v>0.30625</v>
      </c>
      <c r="J167" s="16">
        <v>0.30625</v>
      </c>
      <c r="K167" s="11">
        <v>28.0</v>
      </c>
      <c r="L167" s="12">
        <v>0.3659722222222222</v>
      </c>
      <c r="M167" s="13">
        <v>0.37916666666666665</v>
      </c>
      <c r="N167" s="17">
        <v>38.0</v>
      </c>
      <c r="O167" s="30">
        <v>0.4479166666666667</v>
      </c>
      <c r="P167" s="30">
        <v>0.44930555555555557</v>
      </c>
      <c r="Q167" s="11">
        <v>36.0</v>
      </c>
      <c r="R167" s="12">
        <v>0.5083333333333333</v>
      </c>
      <c r="S167" s="13">
        <v>0.5104166666666666</v>
      </c>
      <c r="T167" s="18">
        <v>32.0</v>
      </c>
      <c r="U167" s="12">
        <v>0.5652777777777778</v>
      </c>
      <c r="V167" s="13">
        <v>0.5673611111111111</v>
      </c>
      <c r="W167" s="11">
        <v>33.0</v>
      </c>
      <c r="X167" s="12">
        <v>0.6076388888888888</v>
      </c>
      <c r="Y167" s="13">
        <v>0.61875</v>
      </c>
      <c r="Z167" s="11">
        <v>39.0</v>
      </c>
      <c r="AA167" s="19"/>
      <c r="AB167" s="13">
        <v>0.7215277777777778</v>
      </c>
      <c r="AC167" s="20">
        <v>43.0</v>
      </c>
      <c r="AD167" s="21">
        <v>0.7868055555555555</v>
      </c>
      <c r="AE167" s="54" t="s">
        <v>178</v>
      </c>
      <c r="AF167" s="18"/>
      <c r="AG167" s="18"/>
      <c r="AH167" s="47"/>
      <c r="AI167" s="11"/>
      <c r="AJ167" s="18"/>
      <c r="AK167" s="38"/>
      <c r="AL167" s="14"/>
      <c r="AM167" s="14"/>
      <c r="AN167" s="53"/>
      <c r="AO167" s="11"/>
      <c r="AP167" s="12"/>
      <c r="AQ167" s="13"/>
      <c r="AR167" s="11"/>
      <c r="AS167" s="12"/>
      <c r="AT167" s="13"/>
      <c r="AU167" s="11"/>
      <c r="AV167" s="12"/>
      <c r="AW167" s="13"/>
      <c r="AX167" s="11"/>
      <c r="AY167" s="12"/>
      <c r="AZ167" s="13"/>
      <c r="BA167" s="34"/>
      <c r="BB167" s="49"/>
      <c r="BC167" s="12"/>
    </row>
    <row r="168" ht="15.75" customHeight="1">
      <c r="A168" s="7"/>
      <c r="B168" s="45"/>
      <c r="C168" s="46">
        <v>581.0</v>
      </c>
      <c r="D168" s="45"/>
      <c r="E168" s="11">
        <v>104.0</v>
      </c>
      <c r="F168" s="12">
        <v>0.26875</v>
      </c>
      <c r="G168" s="13">
        <v>0.26944444444444443</v>
      </c>
      <c r="H168" s="14">
        <v>116.0</v>
      </c>
      <c r="I168" s="15">
        <v>0.3298611111111111</v>
      </c>
      <c r="J168" s="16">
        <v>0.3298611111111111</v>
      </c>
      <c r="K168" s="11">
        <v>107.0</v>
      </c>
      <c r="L168" s="12">
        <v>0.39861111111111114</v>
      </c>
      <c r="M168" s="13">
        <v>0.40208333333333335</v>
      </c>
      <c r="N168" s="17">
        <v>88.0</v>
      </c>
      <c r="O168" s="12">
        <v>0.48333333333333334</v>
      </c>
      <c r="P168" s="12">
        <v>0.4840277777777778</v>
      </c>
      <c r="Q168" s="11">
        <v>85.0</v>
      </c>
      <c r="R168" s="12">
        <v>0.5534722222222223</v>
      </c>
      <c r="S168" s="13">
        <v>0.55625</v>
      </c>
      <c r="T168" s="18">
        <v>80.0</v>
      </c>
      <c r="U168" s="12">
        <v>0.61875</v>
      </c>
      <c r="V168" s="13">
        <v>0.6208333333333333</v>
      </c>
      <c r="W168" s="11">
        <v>77.0</v>
      </c>
      <c r="X168" s="12">
        <v>0.6694444444444444</v>
      </c>
      <c r="Y168" s="13">
        <v>0.6736111111111112</v>
      </c>
      <c r="Z168" s="11">
        <v>75.0</v>
      </c>
      <c r="AA168" s="19"/>
      <c r="AB168" s="13">
        <v>0.78125</v>
      </c>
      <c r="AC168" s="20">
        <v>81.0</v>
      </c>
      <c r="AD168" s="21">
        <v>0.8534722222222222</v>
      </c>
      <c r="AE168" s="54" t="s">
        <v>178</v>
      </c>
      <c r="AF168" s="18"/>
      <c r="AG168" s="18"/>
      <c r="AH168" s="47"/>
      <c r="AI168" s="11"/>
      <c r="AJ168" s="18"/>
      <c r="AK168" s="38"/>
      <c r="AL168" s="14"/>
      <c r="AM168" s="14"/>
      <c r="AN168" s="53"/>
      <c r="AO168" s="11"/>
      <c r="AP168" s="12"/>
      <c r="AQ168" s="13"/>
      <c r="AR168" s="11"/>
      <c r="AS168" s="12"/>
      <c r="AT168" s="13"/>
      <c r="AU168" s="11"/>
      <c r="AV168" s="12"/>
      <c r="AW168" s="13"/>
      <c r="AX168" s="11"/>
      <c r="AY168" s="12"/>
      <c r="AZ168" s="13"/>
      <c r="BA168" s="34"/>
      <c r="BB168" s="49"/>
      <c r="BC168" s="12"/>
    </row>
    <row r="169" ht="15.75" customHeight="1">
      <c r="A169" s="7"/>
      <c r="B169" s="45"/>
      <c r="C169" s="46">
        <v>677.0</v>
      </c>
      <c r="D169" s="45"/>
      <c r="E169" s="11">
        <v>35.0</v>
      </c>
      <c r="F169" s="12">
        <v>0.2604166666666667</v>
      </c>
      <c r="G169" s="13">
        <v>0.26180555555555557</v>
      </c>
      <c r="H169" s="14">
        <v>53.0</v>
      </c>
      <c r="I169" s="15">
        <v>0.3145833333333333</v>
      </c>
      <c r="J169" s="16">
        <v>0.3145833333333333</v>
      </c>
      <c r="K169" s="11">
        <v>78.0</v>
      </c>
      <c r="L169" s="12">
        <v>0.38819444444444445</v>
      </c>
      <c r="M169" s="13">
        <v>0.3923611111111111</v>
      </c>
      <c r="N169" s="17">
        <v>98.0</v>
      </c>
      <c r="O169" s="12">
        <v>0.4875</v>
      </c>
      <c r="P169" s="12">
        <v>0.4930555555555556</v>
      </c>
      <c r="Q169" s="11">
        <v>105.0</v>
      </c>
      <c r="R169" s="12">
        <v>0.5680555555555555</v>
      </c>
      <c r="S169" s="13">
        <v>0.5770833333333333</v>
      </c>
      <c r="T169" s="18">
        <v>116.0</v>
      </c>
      <c r="U169" s="12">
        <v>0.6527777777777778</v>
      </c>
      <c r="V169" s="13">
        <v>0.6576388888888889</v>
      </c>
      <c r="W169" s="11">
        <v>129.0</v>
      </c>
      <c r="X169" s="12">
        <v>0.7138888888888889</v>
      </c>
      <c r="Y169" s="13">
        <v>0.7194444444444444</v>
      </c>
      <c r="Z169" s="11">
        <v>150.0</v>
      </c>
      <c r="AA169" s="19"/>
      <c r="AB169" s="13">
        <v>0.8770833333333333</v>
      </c>
      <c r="AC169" s="20">
        <v>154.0</v>
      </c>
      <c r="AD169" s="21">
        <v>0.9597222222222223</v>
      </c>
      <c r="AE169" s="54" t="s">
        <v>178</v>
      </c>
      <c r="AF169" s="18"/>
      <c r="AG169" s="18"/>
      <c r="AH169" s="47"/>
      <c r="AI169" s="11"/>
      <c r="AJ169" s="18"/>
      <c r="AK169" s="38"/>
      <c r="AL169" s="14"/>
      <c r="AM169" s="14"/>
      <c r="AN169" s="53"/>
      <c r="AO169" s="11"/>
      <c r="AP169" s="12"/>
      <c r="AQ169" s="13"/>
      <c r="AR169" s="11"/>
      <c r="AS169" s="12"/>
      <c r="AT169" s="13"/>
      <c r="AU169" s="11"/>
      <c r="AV169" s="12"/>
      <c r="AW169" s="13"/>
      <c r="AX169" s="11"/>
      <c r="AY169" s="12"/>
      <c r="AZ169" s="13"/>
      <c r="BA169" s="34"/>
      <c r="BB169" s="49"/>
      <c r="BC169" s="12"/>
    </row>
    <row r="170" ht="15.75" customHeight="1">
      <c r="A170" s="7"/>
      <c r="B170" s="45"/>
      <c r="C170" s="46">
        <v>510.0</v>
      </c>
      <c r="D170" s="45"/>
      <c r="E170" s="11">
        <v>177.0</v>
      </c>
      <c r="F170" s="12">
        <v>0.275</v>
      </c>
      <c r="G170" s="13">
        <v>0.27569444444444446</v>
      </c>
      <c r="H170" s="14">
        <v>167.0</v>
      </c>
      <c r="I170" s="15">
        <v>0.3388888888888889</v>
      </c>
      <c r="J170" s="16">
        <v>0.3388888888888889</v>
      </c>
      <c r="K170" s="11">
        <v>163.0</v>
      </c>
      <c r="L170" s="12">
        <v>0.4173611111111111</v>
      </c>
      <c r="M170" s="13">
        <v>0.42291666666666666</v>
      </c>
      <c r="N170" s="17">
        <v>146.0</v>
      </c>
      <c r="O170" s="12">
        <v>0.5131944444444444</v>
      </c>
      <c r="P170" s="12">
        <v>0.5145833333333333</v>
      </c>
      <c r="Q170" s="11">
        <v>139.0</v>
      </c>
      <c r="R170" s="12">
        <v>0.5888888888888889</v>
      </c>
      <c r="S170" s="13">
        <v>0.5909722222222222</v>
      </c>
      <c r="T170" s="18">
        <v>142.0</v>
      </c>
      <c r="U170" s="12">
        <v>0.6673611111111111</v>
      </c>
      <c r="V170" s="13">
        <v>0.6694444444444444</v>
      </c>
      <c r="W170" s="11">
        <v>144.0</v>
      </c>
      <c r="X170" s="12">
        <v>0.725</v>
      </c>
      <c r="Y170" s="13">
        <v>0.7381944444444445</v>
      </c>
      <c r="Z170" s="11">
        <v>149.0</v>
      </c>
      <c r="AA170" s="19"/>
      <c r="AB170" s="13">
        <v>0.8743055555555556</v>
      </c>
      <c r="AC170" s="20">
        <v>159.0</v>
      </c>
      <c r="AD170" s="21">
        <v>0.9652777777777778</v>
      </c>
      <c r="AE170" s="54" t="s">
        <v>178</v>
      </c>
      <c r="AF170" s="18"/>
      <c r="AG170" s="18"/>
      <c r="AH170" s="47"/>
      <c r="AI170" s="11"/>
      <c r="AJ170" s="12"/>
      <c r="AK170" s="13"/>
      <c r="AL170" s="14"/>
      <c r="AM170" s="14"/>
      <c r="AN170" s="53"/>
      <c r="AO170" s="11"/>
      <c r="AP170" s="12"/>
      <c r="AQ170" s="13"/>
      <c r="AR170" s="11"/>
      <c r="AS170" s="12"/>
      <c r="AT170" s="13"/>
      <c r="AU170" s="11"/>
      <c r="AV170" s="12"/>
      <c r="AW170" s="13"/>
      <c r="AX170" s="11"/>
      <c r="AY170" s="12"/>
      <c r="AZ170" s="13"/>
      <c r="BA170" s="34"/>
      <c r="BB170" s="49"/>
      <c r="BC170" s="12"/>
    </row>
    <row r="171" ht="15.75" customHeight="1">
      <c r="A171" s="7"/>
      <c r="B171" s="45"/>
      <c r="C171" s="46">
        <v>690.0</v>
      </c>
      <c r="D171" s="45"/>
      <c r="E171" s="11">
        <v>97.0</v>
      </c>
      <c r="F171" s="12">
        <v>0.26805555555555555</v>
      </c>
      <c r="G171" s="13">
        <v>0.26875</v>
      </c>
      <c r="H171" s="14">
        <v>95.0</v>
      </c>
      <c r="I171" s="15">
        <v>0.32430555555555557</v>
      </c>
      <c r="J171" s="16">
        <v>0.32430555555555557</v>
      </c>
      <c r="K171" s="11">
        <v>89.0</v>
      </c>
      <c r="L171" s="12">
        <v>0.3902777777777778</v>
      </c>
      <c r="M171" s="13">
        <v>0.39305555555555555</v>
      </c>
      <c r="N171" s="17">
        <v>84.0</v>
      </c>
      <c r="O171" s="12">
        <v>0.48055555555555557</v>
      </c>
      <c r="P171" s="12">
        <v>0.48333333333333334</v>
      </c>
      <c r="Q171" s="11">
        <v>90.0</v>
      </c>
      <c r="R171" s="12">
        <v>0.5555555555555556</v>
      </c>
      <c r="S171" s="13">
        <v>0.55625</v>
      </c>
      <c r="T171" s="18">
        <v>86.0</v>
      </c>
      <c r="U171" s="12">
        <v>0.625</v>
      </c>
      <c r="V171" s="13">
        <v>0.6263888888888889</v>
      </c>
      <c r="W171" s="11">
        <v>88.0</v>
      </c>
      <c r="X171" s="12">
        <v>0.6784722222222223</v>
      </c>
      <c r="Y171" s="13">
        <v>0.6902777777777778</v>
      </c>
      <c r="Z171" s="11">
        <v>161.0</v>
      </c>
      <c r="AA171" s="26"/>
      <c r="AB171" s="13">
        <v>0.8958333333333334</v>
      </c>
      <c r="AC171" s="20">
        <v>162.0</v>
      </c>
      <c r="AD171" s="21">
        <v>0.9729166666666667</v>
      </c>
      <c r="AE171" s="54" t="s">
        <v>178</v>
      </c>
      <c r="AF171" s="18"/>
      <c r="AG171" s="18"/>
      <c r="AH171" s="47"/>
      <c r="AI171" s="11"/>
      <c r="AJ171" s="18"/>
      <c r="AK171" s="38"/>
      <c r="AL171" s="14"/>
      <c r="AM171" s="14"/>
      <c r="AN171" s="53"/>
      <c r="AO171" s="11"/>
      <c r="AP171" s="18"/>
      <c r="AQ171" s="38"/>
      <c r="AR171" s="11"/>
      <c r="AS171" s="18"/>
      <c r="AT171" s="38"/>
      <c r="AU171" s="11"/>
      <c r="AV171" s="18"/>
      <c r="AW171" s="38"/>
      <c r="AX171" s="11"/>
      <c r="AY171" s="18"/>
      <c r="AZ171" s="38"/>
      <c r="BA171" s="34"/>
      <c r="BB171" s="49"/>
      <c r="BC171" s="12"/>
    </row>
    <row r="172" ht="15.75" customHeight="1">
      <c r="A172" s="7"/>
      <c r="B172" s="45"/>
      <c r="C172" s="46">
        <v>531.0</v>
      </c>
      <c r="D172" s="45"/>
      <c r="E172" s="11">
        <v>174.0</v>
      </c>
      <c r="F172" s="12">
        <v>0.275</v>
      </c>
      <c r="G172" s="13">
        <v>0.27569444444444446</v>
      </c>
      <c r="H172" s="14">
        <v>160.0</v>
      </c>
      <c r="I172" s="15">
        <v>0.3388888888888889</v>
      </c>
      <c r="J172" s="16">
        <v>0.3388888888888889</v>
      </c>
      <c r="K172" s="11">
        <v>153.0</v>
      </c>
      <c r="L172" s="12">
        <v>0.41388888888888886</v>
      </c>
      <c r="M172" s="13">
        <v>0.4222222222222222</v>
      </c>
      <c r="N172" s="17">
        <v>154.0</v>
      </c>
      <c r="O172" s="12">
        <v>0.5166666666666667</v>
      </c>
      <c r="P172" s="12">
        <v>0.5180555555555556</v>
      </c>
      <c r="Q172" s="11">
        <v>155.0</v>
      </c>
      <c r="R172" s="12">
        <v>0.5986111111111111</v>
      </c>
      <c r="S172" s="13">
        <v>0.6076388888888888</v>
      </c>
      <c r="T172" s="18">
        <v>161.0</v>
      </c>
      <c r="U172" s="12">
        <v>0.6861111111111111</v>
      </c>
      <c r="V172" s="13">
        <v>0.6895833333333333</v>
      </c>
      <c r="W172" s="11">
        <v>162.0</v>
      </c>
      <c r="X172" s="12">
        <v>0.7486111111111111</v>
      </c>
      <c r="Y172" s="13">
        <v>0.7715277777777778</v>
      </c>
      <c r="Z172" s="11">
        <v>164.0</v>
      </c>
      <c r="AA172" s="19"/>
      <c r="AB172" s="13">
        <v>0.90625</v>
      </c>
      <c r="AC172" s="20">
        <v>167.0</v>
      </c>
      <c r="AD172" s="21">
        <v>0.003472222222222222</v>
      </c>
      <c r="AE172" s="54" t="s">
        <v>178</v>
      </c>
      <c r="AF172" s="18"/>
      <c r="AG172" s="18"/>
      <c r="AH172" s="47"/>
      <c r="AI172" s="11"/>
      <c r="AJ172" s="12"/>
      <c r="AK172" s="13"/>
      <c r="AL172" s="14"/>
      <c r="AM172" s="14"/>
      <c r="AN172" s="53"/>
      <c r="AO172" s="11"/>
      <c r="AP172" s="12"/>
      <c r="AQ172" s="13"/>
      <c r="AR172" s="11"/>
      <c r="AS172" s="12"/>
      <c r="AT172" s="13"/>
      <c r="AU172" s="11"/>
      <c r="AV172" s="12"/>
      <c r="AW172" s="13"/>
      <c r="AX172" s="11"/>
      <c r="AY172" s="12"/>
      <c r="AZ172" s="13"/>
      <c r="BA172" s="34"/>
      <c r="BB172" s="49"/>
      <c r="BC172" s="12"/>
    </row>
    <row r="173" ht="15.75" customHeight="1">
      <c r="A173" s="7"/>
      <c r="B173" s="45"/>
      <c r="C173" s="46">
        <v>630.0</v>
      </c>
      <c r="D173" s="45"/>
      <c r="E173" s="11">
        <v>149.0</v>
      </c>
      <c r="F173" s="12">
        <v>0.27152777777777776</v>
      </c>
      <c r="G173" s="13">
        <v>0.2722222222222222</v>
      </c>
      <c r="H173" s="14">
        <v>154.0</v>
      </c>
      <c r="I173" s="15">
        <v>0.33819444444444446</v>
      </c>
      <c r="J173" s="16">
        <v>0.33819444444444446</v>
      </c>
      <c r="K173" s="11">
        <v>164.0</v>
      </c>
      <c r="L173" s="12">
        <v>0.41875</v>
      </c>
      <c r="M173" s="13">
        <v>0.43472222222222223</v>
      </c>
      <c r="N173" s="17">
        <v>167.0</v>
      </c>
      <c r="O173" s="12">
        <v>0.5291666666666667</v>
      </c>
      <c r="P173" s="12">
        <v>0.5333333333333333</v>
      </c>
      <c r="Q173" s="11">
        <v>171.0</v>
      </c>
      <c r="R173" s="12">
        <v>0.6138888888888889</v>
      </c>
      <c r="S173" s="13">
        <v>0.6222222222222222</v>
      </c>
      <c r="T173" s="18">
        <v>175.0</v>
      </c>
      <c r="U173" s="12">
        <v>0.7055555555555556</v>
      </c>
      <c r="V173" s="13">
        <v>0.7097222222222223</v>
      </c>
      <c r="W173" s="11">
        <v>172.0</v>
      </c>
      <c r="X173" s="12">
        <v>0.7625</v>
      </c>
      <c r="Y173" s="13">
        <v>0.7819444444444444</v>
      </c>
      <c r="Z173" s="11">
        <v>166.0</v>
      </c>
      <c r="AA173" s="19"/>
      <c r="AB173" s="13">
        <v>0.9125</v>
      </c>
      <c r="AC173" s="20">
        <v>170.0</v>
      </c>
      <c r="AD173" s="21">
        <v>0.008333333333333333</v>
      </c>
      <c r="AE173" s="54" t="s">
        <v>178</v>
      </c>
      <c r="AF173" s="18"/>
      <c r="AG173" s="18"/>
      <c r="AH173" s="47"/>
      <c r="AI173" s="11"/>
      <c r="AJ173" s="18"/>
      <c r="AK173" s="38"/>
      <c r="AL173" s="14"/>
      <c r="AM173" s="14"/>
      <c r="AN173" s="53"/>
      <c r="AO173" s="11"/>
      <c r="AP173" s="12"/>
      <c r="AQ173" s="13"/>
      <c r="AR173" s="11"/>
      <c r="AS173" s="12"/>
      <c r="AT173" s="13"/>
      <c r="AU173" s="11"/>
      <c r="AV173" s="12"/>
      <c r="AW173" s="13"/>
      <c r="AX173" s="11"/>
      <c r="AY173" s="12"/>
      <c r="AZ173" s="13"/>
      <c r="BA173" s="34"/>
      <c r="BB173" s="49"/>
      <c r="BC173" s="12"/>
    </row>
    <row r="174" ht="15.75" customHeight="1">
      <c r="A174" s="7"/>
      <c r="B174" s="45"/>
      <c r="C174" s="46">
        <v>678.0</v>
      </c>
      <c r="D174" s="45"/>
      <c r="E174" s="11">
        <v>195.0</v>
      </c>
      <c r="F174" s="12">
        <v>0.28125</v>
      </c>
      <c r="G174" s="13">
        <v>0.28194444444444444</v>
      </c>
      <c r="H174" s="14">
        <v>193.0</v>
      </c>
      <c r="I174" s="15">
        <v>0.3541666666666667</v>
      </c>
      <c r="J174" s="16">
        <v>0.3541666666666667</v>
      </c>
      <c r="K174" s="11">
        <v>193.0</v>
      </c>
      <c r="L174" s="12">
        <v>0.4409722222222222</v>
      </c>
      <c r="M174" s="13">
        <v>0.45</v>
      </c>
      <c r="N174" s="17">
        <v>191.0</v>
      </c>
      <c r="O174" s="12">
        <v>0.5638888888888889</v>
      </c>
      <c r="P174" s="12">
        <v>0.5659722222222222</v>
      </c>
      <c r="Q174" s="11">
        <v>187.0</v>
      </c>
      <c r="R174" s="12">
        <v>0.6486111111111111</v>
      </c>
      <c r="S174" s="13">
        <v>0.6513888888888889</v>
      </c>
      <c r="T174" s="18">
        <v>186.0</v>
      </c>
      <c r="U174" s="12">
        <v>0.7319444444444444</v>
      </c>
      <c r="V174" s="13">
        <v>0.7340277777777777</v>
      </c>
      <c r="W174" s="11">
        <v>183.0</v>
      </c>
      <c r="X174" s="12">
        <v>0.7951388888888888</v>
      </c>
      <c r="Y174" s="13">
        <v>0.8145833333333333</v>
      </c>
      <c r="Z174" s="11">
        <v>173.0</v>
      </c>
      <c r="AA174" s="19"/>
      <c r="AB174" s="13">
        <v>0.9513888888888888</v>
      </c>
      <c r="AC174" s="55" t="s">
        <v>178</v>
      </c>
      <c r="AD174" s="20"/>
      <c r="AE174" s="56"/>
      <c r="AF174" s="18"/>
      <c r="AG174" s="18"/>
      <c r="AH174" s="47"/>
      <c r="AI174" s="11"/>
      <c r="AJ174" s="18"/>
      <c r="AK174" s="38"/>
      <c r="AL174" s="14"/>
      <c r="AM174" s="14"/>
      <c r="AN174" s="53"/>
      <c r="AO174" s="11"/>
      <c r="AP174" s="18"/>
      <c r="AQ174" s="38"/>
      <c r="AR174" s="11"/>
      <c r="AS174" s="18"/>
      <c r="AT174" s="38"/>
      <c r="AU174" s="11"/>
      <c r="AV174" s="18"/>
      <c r="AW174" s="38"/>
      <c r="AX174" s="11"/>
      <c r="AY174" s="18"/>
      <c r="AZ174" s="38"/>
      <c r="BA174" s="34"/>
      <c r="BB174" s="49"/>
      <c r="BC174" s="12"/>
    </row>
    <row r="175" ht="15.75" customHeight="1">
      <c r="A175" s="7"/>
      <c r="B175" s="45"/>
      <c r="C175" s="46">
        <v>540.0</v>
      </c>
      <c r="D175" s="45"/>
      <c r="E175" s="11">
        <v>193.0</v>
      </c>
      <c r="F175" s="12">
        <v>0.28125</v>
      </c>
      <c r="G175" s="13">
        <v>0.28194444444444444</v>
      </c>
      <c r="H175" s="14">
        <v>189.0</v>
      </c>
      <c r="I175" s="15">
        <v>0.35347222222222224</v>
      </c>
      <c r="J175" s="16">
        <v>0.35347222222222224</v>
      </c>
      <c r="K175" s="11">
        <v>194.0</v>
      </c>
      <c r="L175" s="12">
        <v>0.44305555555555554</v>
      </c>
      <c r="M175" s="13">
        <v>0.45208333333333334</v>
      </c>
      <c r="N175" s="17">
        <v>188.0</v>
      </c>
      <c r="O175" s="12">
        <v>0.5576388888888889</v>
      </c>
      <c r="P175" s="12">
        <v>0.5597222222222222</v>
      </c>
      <c r="Q175" s="11">
        <v>188.0</v>
      </c>
      <c r="R175" s="12">
        <v>0.6486111111111111</v>
      </c>
      <c r="S175" s="13">
        <v>0.65</v>
      </c>
      <c r="T175" s="18">
        <v>185.0</v>
      </c>
      <c r="U175" s="12">
        <v>0.7305555555555555</v>
      </c>
      <c r="V175" s="13">
        <v>0.7326388888888888</v>
      </c>
      <c r="W175" s="11">
        <v>182.0</v>
      </c>
      <c r="X175" s="12">
        <v>0.7951388888888888</v>
      </c>
      <c r="Y175" s="13">
        <v>0.8104166666666667</v>
      </c>
      <c r="Z175" s="11">
        <v>174.0</v>
      </c>
      <c r="AA175" s="19"/>
      <c r="AB175" s="13">
        <v>0.9527777777777777</v>
      </c>
      <c r="AC175" s="55" t="s">
        <v>178</v>
      </c>
      <c r="AD175" s="20"/>
      <c r="AE175" s="56"/>
      <c r="AF175" s="18"/>
      <c r="AG175" s="18"/>
      <c r="AH175" s="47"/>
      <c r="AI175" s="11"/>
      <c r="AJ175" s="18"/>
      <c r="AK175" s="38"/>
      <c r="AL175" s="14"/>
      <c r="AM175" s="14"/>
      <c r="AN175" s="53"/>
      <c r="AO175" s="11"/>
      <c r="AP175" s="12"/>
      <c r="AQ175" s="13"/>
      <c r="AR175" s="11"/>
      <c r="AS175" s="12"/>
      <c r="AT175" s="13"/>
      <c r="AU175" s="11"/>
      <c r="AV175" s="12"/>
      <c r="AW175" s="13"/>
      <c r="AX175" s="11"/>
      <c r="AY175" s="12"/>
      <c r="AZ175" s="13"/>
      <c r="BA175" s="34"/>
      <c r="BB175" s="49"/>
      <c r="BC175" s="12"/>
    </row>
    <row r="176" ht="15.75" customHeight="1">
      <c r="A176" s="7"/>
      <c r="B176" s="45"/>
      <c r="C176" s="46">
        <v>517.0</v>
      </c>
      <c r="D176" s="45"/>
      <c r="E176" s="11">
        <v>75.0</v>
      </c>
      <c r="F176" s="12">
        <v>0.2652777777777778</v>
      </c>
      <c r="G176" s="13">
        <v>0.2659722222222222</v>
      </c>
      <c r="H176" s="14">
        <v>74.0</v>
      </c>
      <c r="I176" s="15">
        <v>0.32083333333333336</v>
      </c>
      <c r="J176" s="16">
        <v>0.32083333333333336</v>
      </c>
      <c r="K176" s="11">
        <v>121.0</v>
      </c>
      <c r="L176" s="12">
        <v>0.4027777777777778</v>
      </c>
      <c r="M176" s="13">
        <v>0.40902777777777777</v>
      </c>
      <c r="N176" s="17">
        <v>124.0</v>
      </c>
      <c r="O176" s="12">
        <v>0.5020833333333333</v>
      </c>
      <c r="P176" s="12">
        <v>0.5097222222222222</v>
      </c>
      <c r="Q176" s="11">
        <v>148.0</v>
      </c>
      <c r="R176" s="12">
        <v>0.5944444444444444</v>
      </c>
      <c r="S176" s="13">
        <v>0.6006944444444444</v>
      </c>
      <c r="T176" s="18">
        <v>165.0</v>
      </c>
      <c r="U176" s="12">
        <v>0.6930555555555555</v>
      </c>
      <c r="V176" s="13">
        <v>0.7166666666666667</v>
      </c>
      <c r="W176" s="11">
        <v>176.0</v>
      </c>
      <c r="X176" s="12">
        <v>0.7708333333333334</v>
      </c>
      <c r="Y176" s="13">
        <v>0.78125</v>
      </c>
      <c r="Z176" s="11">
        <v>175.0</v>
      </c>
      <c r="AA176" s="19"/>
      <c r="AB176" s="13">
        <v>0.9534722222222223</v>
      </c>
      <c r="AC176" s="55" t="s">
        <v>178</v>
      </c>
      <c r="AD176" s="20"/>
      <c r="AE176" s="56"/>
      <c r="AF176" s="18"/>
      <c r="AG176" s="18"/>
      <c r="AH176" s="47"/>
      <c r="AI176" s="11"/>
      <c r="AJ176" s="12"/>
      <c r="AK176" s="38"/>
      <c r="AL176" s="14"/>
      <c r="AM176" s="14"/>
      <c r="AN176" s="53"/>
      <c r="AO176" s="11"/>
      <c r="AP176" s="12"/>
      <c r="AQ176" s="38"/>
      <c r="AR176" s="11"/>
      <c r="AS176" s="12"/>
      <c r="AT176" s="38"/>
      <c r="AU176" s="11"/>
      <c r="AV176" s="12"/>
      <c r="AW176" s="38"/>
      <c r="AX176" s="11"/>
      <c r="AY176" s="12"/>
      <c r="AZ176" s="38"/>
      <c r="BA176" s="34"/>
      <c r="BB176" s="49"/>
      <c r="BC176" s="12"/>
    </row>
    <row r="177" ht="15.75" customHeight="1">
      <c r="A177" s="7"/>
      <c r="B177" s="45"/>
      <c r="C177" s="46">
        <v>707.0</v>
      </c>
      <c r="D177" s="45"/>
      <c r="E177" s="11">
        <v>151.0</v>
      </c>
      <c r="F177" s="12">
        <v>0.2743055555555556</v>
      </c>
      <c r="G177" s="13">
        <v>0.275</v>
      </c>
      <c r="H177" s="14">
        <v>153.0</v>
      </c>
      <c r="I177" s="15">
        <v>0.33819444444444446</v>
      </c>
      <c r="J177" s="16">
        <v>0.33819444444444446</v>
      </c>
      <c r="K177" s="11">
        <v>149.0</v>
      </c>
      <c r="L177" s="12">
        <v>0.4125</v>
      </c>
      <c r="M177" s="13">
        <v>0.4215277777777778</v>
      </c>
      <c r="N177" s="17">
        <v>132.0</v>
      </c>
      <c r="O177" s="12">
        <v>0.5048611111111111</v>
      </c>
      <c r="P177" s="12">
        <v>0.5076388888888889</v>
      </c>
      <c r="Q177" s="11">
        <v>126.0</v>
      </c>
      <c r="R177" s="12">
        <v>0.5798611111111112</v>
      </c>
      <c r="S177" s="13">
        <v>0.5833333333333334</v>
      </c>
      <c r="T177" s="18">
        <v>118.0</v>
      </c>
      <c r="U177" s="12">
        <v>0.6527777777777778</v>
      </c>
      <c r="V177" s="13">
        <v>0.65625</v>
      </c>
      <c r="W177" s="11">
        <v>121.0</v>
      </c>
      <c r="X177" s="12">
        <v>0.7097222222222223</v>
      </c>
      <c r="Y177" s="13">
        <v>0.725</v>
      </c>
      <c r="Z177" s="57" t="s">
        <v>178</v>
      </c>
      <c r="AA177" s="12"/>
      <c r="AB177" s="13"/>
      <c r="AC177" s="20"/>
      <c r="AD177" s="20"/>
      <c r="AE177" s="56"/>
      <c r="AF177" s="18"/>
      <c r="AG177" s="18"/>
      <c r="AH177" s="47"/>
      <c r="AI177" s="11"/>
      <c r="AJ177" s="18"/>
      <c r="AK177" s="38"/>
      <c r="AL177" s="14"/>
      <c r="AM177" s="14"/>
      <c r="AN177" s="53"/>
      <c r="AO177" s="11"/>
      <c r="AP177" s="12"/>
      <c r="AQ177" s="13"/>
      <c r="AR177" s="11"/>
      <c r="AS177" s="12"/>
      <c r="AT177" s="13"/>
      <c r="AU177" s="11"/>
      <c r="AV177" s="12"/>
      <c r="AW177" s="38"/>
      <c r="AX177" s="11"/>
      <c r="AY177" s="12"/>
      <c r="AZ177" s="38"/>
      <c r="BA177" s="34"/>
      <c r="BB177" s="49"/>
      <c r="BC177" s="12"/>
    </row>
    <row r="178" ht="15.75" customHeight="1">
      <c r="A178" s="7"/>
      <c r="B178" s="45"/>
      <c r="C178" s="46">
        <v>542.0</v>
      </c>
      <c r="D178" s="45"/>
      <c r="E178" s="11">
        <v>145.0</v>
      </c>
      <c r="F178" s="12">
        <v>0.27152777777777776</v>
      </c>
      <c r="G178" s="13">
        <v>0.2722222222222222</v>
      </c>
      <c r="H178" s="14">
        <v>156.0</v>
      </c>
      <c r="I178" s="15">
        <v>0.33819444444444446</v>
      </c>
      <c r="J178" s="16">
        <v>0.33819444444444446</v>
      </c>
      <c r="K178" s="11">
        <v>114.0</v>
      </c>
      <c r="L178" s="12">
        <v>0.40069444444444446</v>
      </c>
      <c r="M178" s="13">
        <v>0.4097222222222222</v>
      </c>
      <c r="N178" s="17">
        <v>138.0</v>
      </c>
      <c r="O178" s="12">
        <v>0.5055555555555555</v>
      </c>
      <c r="P178" s="12">
        <v>0.5118055555555555</v>
      </c>
      <c r="Q178" s="11">
        <v>150.0</v>
      </c>
      <c r="R178" s="12">
        <v>0.5944444444444444</v>
      </c>
      <c r="S178" s="13">
        <v>0.5993055555555555</v>
      </c>
      <c r="T178" s="18">
        <v>148.0</v>
      </c>
      <c r="U178" s="12">
        <v>0.6770833333333334</v>
      </c>
      <c r="V178" s="13">
        <v>0.6868055555555556</v>
      </c>
      <c r="W178" s="11">
        <v>158.0</v>
      </c>
      <c r="X178" s="12">
        <v>0.74375</v>
      </c>
      <c r="Y178" s="13">
        <v>0.7631944444444444</v>
      </c>
      <c r="Z178" s="57" t="s">
        <v>178</v>
      </c>
      <c r="AA178" s="12"/>
      <c r="AB178" s="13"/>
      <c r="AC178" s="20"/>
      <c r="AD178" s="20"/>
      <c r="AE178" s="56"/>
      <c r="AF178" s="18"/>
      <c r="AG178" s="18"/>
      <c r="AH178" s="47"/>
      <c r="AI178" s="11"/>
      <c r="AJ178" s="12"/>
      <c r="AK178" s="13"/>
      <c r="AL178" s="14"/>
      <c r="AM178" s="14"/>
      <c r="AN178" s="53"/>
      <c r="AO178" s="11"/>
      <c r="AP178" s="12"/>
      <c r="AQ178" s="13"/>
      <c r="AR178" s="11"/>
      <c r="AS178" s="12"/>
      <c r="AT178" s="13"/>
      <c r="AU178" s="11"/>
      <c r="AV178" s="12"/>
      <c r="AW178" s="13"/>
      <c r="AX178" s="11"/>
      <c r="AY178" s="12"/>
      <c r="AZ178" s="13"/>
      <c r="BA178" s="34"/>
      <c r="BB178" s="49"/>
      <c r="BC178" s="12"/>
    </row>
    <row r="179" ht="15.75" customHeight="1">
      <c r="A179" s="7"/>
      <c r="B179" s="45"/>
      <c r="C179" s="46">
        <v>532.0</v>
      </c>
      <c r="D179" s="45"/>
      <c r="E179" s="11">
        <v>163.0</v>
      </c>
      <c r="F179" s="12">
        <v>0.2743055555555556</v>
      </c>
      <c r="G179" s="13">
        <v>0.275</v>
      </c>
      <c r="H179" s="14">
        <v>165.0</v>
      </c>
      <c r="I179" s="15">
        <v>0.3388888888888889</v>
      </c>
      <c r="J179" s="16">
        <v>0.3388888888888889</v>
      </c>
      <c r="K179" s="11">
        <v>154.0</v>
      </c>
      <c r="L179" s="12">
        <v>0.41388888888888886</v>
      </c>
      <c r="M179" s="13">
        <v>0.4222222222222222</v>
      </c>
      <c r="N179" s="17">
        <v>151.0</v>
      </c>
      <c r="O179" s="12">
        <v>0.5145833333333333</v>
      </c>
      <c r="P179" s="12">
        <v>0.5180555555555556</v>
      </c>
      <c r="Q179" s="11">
        <v>154.0</v>
      </c>
      <c r="R179" s="12">
        <v>0.5986111111111111</v>
      </c>
      <c r="S179" s="13">
        <v>0.6076388888888888</v>
      </c>
      <c r="T179" s="18">
        <v>159.0</v>
      </c>
      <c r="U179" s="12">
        <v>0.6861111111111111</v>
      </c>
      <c r="V179" s="13">
        <v>0.6888888888888889</v>
      </c>
      <c r="W179" s="11">
        <v>161.0</v>
      </c>
      <c r="X179" s="12">
        <v>0.7486111111111111</v>
      </c>
      <c r="Y179" s="13">
        <v>0.7715277777777778</v>
      </c>
      <c r="Z179" s="57" t="s">
        <v>178</v>
      </c>
      <c r="AA179" s="12"/>
      <c r="AB179" s="13"/>
      <c r="AC179" s="20"/>
      <c r="AD179" s="20"/>
      <c r="AE179" s="56"/>
      <c r="AF179" s="18"/>
      <c r="AG179" s="18"/>
      <c r="AH179" s="47"/>
      <c r="AI179" s="11"/>
      <c r="AJ179" s="12"/>
      <c r="AK179" s="13"/>
      <c r="AL179" s="14"/>
      <c r="AM179" s="14"/>
      <c r="AN179" s="53"/>
      <c r="AO179" s="11"/>
      <c r="AP179" s="12"/>
      <c r="AQ179" s="13"/>
      <c r="AR179" s="11"/>
      <c r="AS179" s="12"/>
      <c r="AT179" s="13"/>
      <c r="AU179" s="11"/>
      <c r="AV179" s="12"/>
      <c r="AW179" s="13"/>
      <c r="AX179" s="11"/>
      <c r="AY179" s="12"/>
      <c r="AZ179" s="13"/>
      <c r="BA179" s="34"/>
      <c r="BB179" s="49"/>
      <c r="BC179" s="12"/>
    </row>
    <row r="180" ht="15.75" customHeight="1">
      <c r="A180" s="7"/>
      <c r="B180" s="45"/>
      <c r="C180" s="46">
        <v>506.0</v>
      </c>
      <c r="D180" s="45"/>
      <c r="E180" s="11">
        <v>88.0</v>
      </c>
      <c r="F180" s="12">
        <v>0.2673611111111111</v>
      </c>
      <c r="G180" s="13">
        <v>0.26805555555555555</v>
      </c>
      <c r="H180" s="14">
        <v>117.0</v>
      </c>
      <c r="I180" s="15">
        <v>0.3298611111111111</v>
      </c>
      <c r="J180" s="16">
        <v>0.3298611111111111</v>
      </c>
      <c r="K180" s="11">
        <v>133.0</v>
      </c>
      <c r="L180" s="12">
        <v>0.4076388888888889</v>
      </c>
      <c r="M180" s="13">
        <v>0.41180555555555554</v>
      </c>
      <c r="N180" s="17">
        <v>142.0</v>
      </c>
      <c r="O180" s="12">
        <v>0.5083333333333333</v>
      </c>
      <c r="P180" s="12">
        <v>0.5138888888888888</v>
      </c>
      <c r="Q180" s="11">
        <v>146.0</v>
      </c>
      <c r="R180" s="12">
        <v>0.59375</v>
      </c>
      <c r="S180" s="13">
        <v>0.5993055555555555</v>
      </c>
      <c r="T180" s="18">
        <v>156.0</v>
      </c>
      <c r="U180" s="12">
        <v>0.6854166666666667</v>
      </c>
      <c r="V180" s="13">
        <v>0.7013888888888888</v>
      </c>
      <c r="W180" s="11">
        <v>168.0</v>
      </c>
      <c r="X180" s="12">
        <v>0.75625</v>
      </c>
      <c r="Y180" s="13">
        <v>0.7680555555555556</v>
      </c>
      <c r="Z180" s="57" t="s">
        <v>178</v>
      </c>
      <c r="AA180" s="12"/>
      <c r="AB180" s="13"/>
      <c r="AC180" s="20"/>
      <c r="AD180" s="20"/>
      <c r="AE180" s="56"/>
      <c r="AF180" s="18"/>
      <c r="AG180" s="18"/>
      <c r="AH180" s="47"/>
      <c r="AI180" s="11"/>
      <c r="AJ180" s="18"/>
      <c r="AK180" s="38"/>
      <c r="AL180" s="14"/>
      <c r="AM180" s="14"/>
      <c r="AN180" s="53"/>
      <c r="AO180" s="11"/>
      <c r="AP180" s="18"/>
      <c r="AQ180" s="38"/>
      <c r="AR180" s="11"/>
      <c r="AS180" s="18"/>
      <c r="AT180" s="38"/>
      <c r="AU180" s="11"/>
      <c r="AV180" s="18"/>
      <c r="AW180" s="38"/>
      <c r="AX180" s="11"/>
      <c r="AY180" s="18"/>
      <c r="AZ180" s="38"/>
      <c r="BA180" s="34"/>
      <c r="BB180" s="49"/>
      <c r="BC180" s="12"/>
    </row>
    <row r="181" ht="15.75" customHeight="1">
      <c r="A181" s="7"/>
      <c r="B181" s="45"/>
      <c r="C181" s="46">
        <v>508.0</v>
      </c>
      <c r="D181" s="45"/>
      <c r="E181" s="11">
        <v>187.0</v>
      </c>
      <c r="F181" s="12">
        <v>0.2798611111111111</v>
      </c>
      <c r="G181" s="13">
        <v>0.28055555555555556</v>
      </c>
      <c r="H181" s="14">
        <v>195.0</v>
      </c>
      <c r="I181" s="15">
        <v>0.3576388888888889</v>
      </c>
      <c r="J181" s="16">
        <v>0.3576388888888889</v>
      </c>
      <c r="K181" s="11">
        <v>197.0</v>
      </c>
      <c r="L181" s="12">
        <v>0.4465277777777778</v>
      </c>
      <c r="M181" s="13">
        <v>0.4534722222222222</v>
      </c>
      <c r="N181" s="17">
        <v>190.0</v>
      </c>
      <c r="O181" s="12">
        <v>0.5618055555555556</v>
      </c>
      <c r="P181" s="12">
        <v>0.5652777777777778</v>
      </c>
      <c r="Q181" s="11">
        <v>190.0</v>
      </c>
      <c r="R181" s="12">
        <v>0.6534722222222222</v>
      </c>
      <c r="S181" s="13">
        <v>0.6604166666666667</v>
      </c>
      <c r="T181" s="18">
        <v>190.0</v>
      </c>
      <c r="U181" s="12">
        <v>0.7444444444444445</v>
      </c>
      <c r="V181" s="13">
        <v>0.7493055555555556</v>
      </c>
      <c r="W181" s="11">
        <v>187.0</v>
      </c>
      <c r="X181" s="12">
        <v>0.8013888888888889</v>
      </c>
      <c r="Y181" s="13">
        <v>0.8215277777777777</v>
      </c>
      <c r="Z181" s="57" t="s">
        <v>178</v>
      </c>
      <c r="AA181" s="12"/>
      <c r="AB181" s="13"/>
      <c r="AC181" s="20"/>
      <c r="AD181" s="20"/>
      <c r="AE181" s="56"/>
      <c r="AF181" s="18"/>
      <c r="AG181" s="18"/>
      <c r="AH181" s="47"/>
      <c r="AI181" s="11"/>
      <c r="AJ181" s="18"/>
      <c r="AK181" s="38"/>
      <c r="AL181" s="14"/>
      <c r="AM181" s="14"/>
      <c r="AN181" s="53"/>
      <c r="AO181" s="11"/>
      <c r="AP181" s="18"/>
      <c r="AQ181" s="38"/>
      <c r="AR181" s="11"/>
      <c r="AS181" s="18"/>
      <c r="AT181" s="38"/>
      <c r="AU181" s="11"/>
      <c r="AV181" s="18"/>
      <c r="AW181" s="38"/>
      <c r="AX181" s="11"/>
      <c r="AY181" s="18"/>
      <c r="AZ181" s="38"/>
      <c r="BA181" s="34"/>
      <c r="BB181" s="49"/>
      <c r="BC181" s="12"/>
    </row>
    <row r="182" ht="15.75" customHeight="1">
      <c r="A182" s="7"/>
      <c r="B182" s="45"/>
      <c r="C182" s="46">
        <v>667.0</v>
      </c>
      <c r="D182" s="45"/>
      <c r="E182" s="11">
        <v>188.0</v>
      </c>
      <c r="F182" s="12">
        <v>0.2798611111111111</v>
      </c>
      <c r="G182" s="13">
        <v>0.28055555555555556</v>
      </c>
      <c r="H182" s="14">
        <v>174.0</v>
      </c>
      <c r="I182" s="15">
        <v>0.3416666666666667</v>
      </c>
      <c r="J182" s="16">
        <v>0.3416666666666667</v>
      </c>
      <c r="K182" s="11">
        <v>180.0</v>
      </c>
      <c r="L182" s="12">
        <v>0.425</v>
      </c>
      <c r="M182" s="13">
        <v>0.43472222222222223</v>
      </c>
      <c r="N182" s="17">
        <v>180.0</v>
      </c>
      <c r="O182" s="12">
        <v>0.5388888888888889</v>
      </c>
      <c r="P182" s="12">
        <v>0.54375</v>
      </c>
      <c r="Q182" s="11">
        <v>181.0</v>
      </c>
      <c r="R182" s="12">
        <v>0.6243055555555556</v>
      </c>
      <c r="S182" s="13">
        <v>0.6291666666666667</v>
      </c>
      <c r="T182" s="18">
        <v>182.0</v>
      </c>
      <c r="U182" s="12">
        <v>0.7173611111111111</v>
      </c>
      <c r="V182" s="13">
        <v>0.7236111111111111</v>
      </c>
      <c r="W182" s="11">
        <v>188.0</v>
      </c>
      <c r="X182" s="12">
        <v>0.8034722222222223</v>
      </c>
      <c r="Y182" s="13">
        <v>0.8104166666666667</v>
      </c>
      <c r="Z182" s="57" t="s">
        <v>178</v>
      </c>
      <c r="AA182" s="12"/>
      <c r="AB182" s="13"/>
      <c r="AC182" s="20"/>
      <c r="AD182" s="20"/>
      <c r="AE182" s="56"/>
      <c r="AF182" s="18"/>
      <c r="AG182" s="18"/>
      <c r="AH182" s="47"/>
      <c r="AI182" s="11"/>
      <c r="AJ182" s="18"/>
      <c r="AK182" s="38"/>
      <c r="AL182" s="14"/>
      <c r="AM182" s="14"/>
      <c r="AN182" s="53"/>
      <c r="AO182" s="11"/>
      <c r="AP182" s="12"/>
      <c r="AQ182" s="13"/>
      <c r="AR182" s="11"/>
      <c r="AS182" s="12"/>
      <c r="AT182" s="13"/>
      <c r="AU182" s="11"/>
      <c r="AV182" s="12"/>
      <c r="AW182" s="13"/>
      <c r="AX182" s="11"/>
      <c r="AY182" s="12"/>
      <c r="AZ182" s="13"/>
      <c r="BA182" s="34"/>
      <c r="BB182" s="49"/>
      <c r="BC182" s="12"/>
    </row>
    <row r="183" ht="15.75" customHeight="1">
      <c r="A183" s="7"/>
      <c r="B183" s="45"/>
      <c r="C183" s="46">
        <v>539.0</v>
      </c>
      <c r="D183" s="45"/>
      <c r="E183" s="11">
        <v>182.0</v>
      </c>
      <c r="F183" s="12">
        <v>0.2777777777777778</v>
      </c>
      <c r="G183" s="13">
        <v>0.27847222222222223</v>
      </c>
      <c r="H183" s="14">
        <v>184.0</v>
      </c>
      <c r="I183" s="15">
        <v>0.3458333333333333</v>
      </c>
      <c r="J183" s="16">
        <v>0.3458333333333333</v>
      </c>
      <c r="K183" s="11">
        <v>177.0</v>
      </c>
      <c r="L183" s="12">
        <v>0.42430555555555555</v>
      </c>
      <c r="M183" s="13">
        <v>0.42986111111111114</v>
      </c>
      <c r="N183" s="17">
        <v>163.0</v>
      </c>
      <c r="O183" s="12">
        <v>0.5270833333333333</v>
      </c>
      <c r="P183" s="12">
        <v>0.5298611111111111</v>
      </c>
      <c r="Q183" s="11">
        <v>169.0</v>
      </c>
      <c r="R183" s="12">
        <v>0.6131944444444445</v>
      </c>
      <c r="S183" s="13">
        <v>0.625</v>
      </c>
      <c r="T183" s="18">
        <v>181.0</v>
      </c>
      <c r="U183" s="12">
        <v>0.7166666666666667</v>
      </c>
      <c r="V183" s="13">
        <v>0.7208333333333333</v>
      </c>
      <c r="W183" s="11">
        <v>189.0</v>
      </c>
      <c r="X183" s="12">
        <v>0.80625</v>
      </c>
      <c r="Y183" s="13">
        <v>0.8277777777777777</v>
      </c>
      <c r="Z183" s="57" t="s">
        <v>178</v>
      </c>
      <c r="AA183" s="12"/>
      <c r="AB183" s="13"/>
      <c r="AC183" s="20"/>
      <c r="AD183" s="20"/>
      <c r="AE183" s="56"/>
      <c r="AF183" s="18"/>
      <c r="AG183" s="18"/>
      <c r="AH183" s="47"/>
      <c r="AI183" s="11"/>
      <c r="AJ183" s="18"/>
      <c r="AK183" s="38"/>
      <c r="AL183" s="14"/>
      <c r="AM183" s="14"/>
      <c r="AN183" s="53"/>
      <c r="AO183" s="11"/>
      <c r="AP183" s="12"/>
      <c r="AQ183" s="13"/>
      <c r="AR183" s="11"/>
      <c r="AS183" s="12"/>
      <c r="AT183" s="13"/>
      <c r="AU183" s="11"/>
      <c r="AV183" s="12"/>
      <c r="AW183" s="13"/>
      <c r="AX183" s="11"/>
      <c r="AY183" s="12"/>
      <c r="AZ183" s="13"/>
      <c r="BA183" s="34"/>
      <c r="BB183" s="49"/>
      <c r="BC183" s="12"/>
    </row>
    <row r="184" ht="15.75" customHeight="1">
      <c r="A184" s="7"/>
      <c r="B184" s="45"/>
      <c r="C184" s="46">
        <v>576.0</v>
      </c>
      <c r="D184" s="45"/>
      <c r="E184" s="11">
        <v>186.0</v>
      </c>
      <c r="F184" s="12">
        <v>0.2791666666666667</v>
      </c>
      <c r="G184" s="13">
        <v>0.2798611111111111</v>
      </c>
      <c r="H184" s="14">
        <v>192.0</v>
      </c>
      <c r="I184" s="15">
        <v>0.3541666666666667</v>
      </c>
      <c r="J184" s="16">
        <v>0.3541666666666667</v>
      </c>
      <c r="K184" s="11">
        <v>192.0</v>
      </c>
      <c r="L184" s="12">
        <v>0.44027777777777777</v>
      </c>
      <c r="M184" s="13">
        <v>0.44375</v>
      </c>
      <c r="N184" s="17">
        <v>189.0</v>
      </c>
      <c r="O184" s="12">
        <v>0.5597222222222222</v>
      </c>
      <c r="P184" s="12">
        <v>0.5638888888888889</v>
      </c>
      <c r="Q184" s="11">
        <v>189.0</v>
      </c>
      <c r="R184" s="12">
        <v>0.6527777777777778</v>
      </c>
      <c r="S184" s="13">
        <v>0.6569444444444444</v>
      </c>
      <c r="T184" s="18">
        <v>189.0</v>
      </c>
      <c r="U184" s="12">
        <v>0.74375</v>
      </c>
      <c r="V184" s="13">
        <v>0.7479166666666667</v>
      </c>
      <c r="W184" s="11">
        <v>190.0</v>
      </c>
      <c r="X184" s="12">
        <v>0.8104166666666667</v>
      </c>
      <c r="Y184" s="13">
        <v>0.8298611111111112</v>
      </c>
      <c r="Z184" s="57" t="s">
        <v>178</v>
      </c>
      <c r="AA184" s="12"/>
      <c r="AB184" s="13"/>
      <c r="AC184" s="20"/>
      <c r="AD184" s="20"/>
      <c r="AE184" s="56"/>
      <c r="AF184" s="18"/>
      <c r="AG184" s="18"/>
      <c r="AH184" s="47"/>
      <c r="AI184" s="11"/>
      <c r="AJ184" s="18"/>
      <c r="AK184" s="38"/>
      <c r="AL184" s="14"/>
      <c r="AM184" s="14"/>
      <c r="AN184" s="53"/>
      <c r="AO184" s="11"/>
      <c r="AP184" s="12"/>
      <c r="AQ184" s="13"/>
      <c r="AR184" s="11"/>
      <c r="AS184" s="12"/>
      <c r="AT184" s="13"/>
      <c r="AU184" s="11"/>
      <c r="AV184" s="12"/>
      <c r="AW184" s="13"/>
      <c r="AX184" s="11"/>
      <c r="AY184" s="12"/>
      <c r="AZ184" s="13"/>
      <c r="BA184" s="34"/>
      <c r="BB184" s="49"/>
      <c r="BC184" s="12"/>
    </row>
    <row r="185" ht="15.75" customHeight="1">
      <c r="A185" s="7"/>
      <c r="B185" s="45"/>
      <c r="C185" s="46">
        <v>640.0</v>
      </c>
      <c r="D185" s="45"/>
      <c r="E185" s="11">
        <v>25.0</v>
      </c>
      <c r="F185" s="12">
        <v>0.2590277777777778</v>
      </c>
      <c r="G185" s="13">
        <v>0.25972222222222224</v>
      </c>
      <c r="H185" s="14">
        <v>30.0</v>
      </c>
      <c r="I185" s="15">
        <v>0.30694444444444446</v>
      </c>
      <c r="J185" s="16">
        <v>0.30694444444444446</v>
      </c>
      <c r="K185" s="11">
        <v>25.0</v>
      </c>
      <c r="L185" s="12">
        <v>0.3638888888888889</v>
      </c>
      <c r="M185" s="13">
        <v>0.3680555555555556</v>
      </c>
      <c r="N185" s="17">
        <v>28.0</v>
      </c>
      <c r="O185" s="12">
        <v>0.4444444444444444</v>
      </c>
      <c r="P185" s="12">
        <v>0.44722222222222224</v>
      </c>
      <c r="Q185" s="11">
        <v>32.0</v>
      </c>
      <c r="R185" s="12">
        <v>0.5048611111111111</v>
      </c>
      <c r="S185" s="13">
        <v>0.5069444444444444</v>
      </c>
      <c r="T185" s="18">
        <v>34.0</v>
      </c>
      <c r="U185" s="12">
        <v>0.5666666666666667</v>
      </c>
      <c r="V185" s="13">
        <v>0.5701388888888889</v>
      </c>
      <c r="W185" s="11">
        <v>42.0</v>
      </c>
      <c r="X185" s="12">
        <v>0.6145833333333334</v>
      </c>
      <c r="Y185" s="50" t="s">
        <v>178</v>
      </c>
      <c r="Z185" s="11"/>
      <c r="AA185" s="12"/>
      <c r="AB185" s="13"/>
      <c r="AC185" s="20"/>
      <c r="AD185" s="20"/>
      <c r="AE185" s="56"/>
      <c r="AF185" s="18"/>
      <c r="AG185" s="18"/>
      <c r="AH185" s="47"/>
      <c r="AI185" s="11"/>
      <c r="AJ185" s="18"/>
      <c r="AK185" s="38"/>
      <c r="AL185" s="14"/>
      <c r="AM185" s="14"/>
      <c r="AN185" s="53"/>
      <c r="AO185" s="11"/>
      <c r="AP185" s="12"/>
      <c r="AQ185" s="13"/>
      <c r="AR185" s="11"/>
      <c r="AS185" s="12"/>
      <c r="AT185" s="13"/>
      <c r="AU185" s="11"/>
      <c r="AV185" s="12"/>
      <c r="AW185" s="13"/>
      <c r="AX185" s="11"/>
      <c r="AY185" s="12"/>
      <c r="AZ185" s="13"/>
      <c r="BA185" s="34"/>
      <c r="BB185" s="49"/>
      <c r="BC185" s="12"/>
    </row>
    <row r="186" ht="15.75" customHeight="1">
      <c r="A186" s="7"/>
      <c r="B186" s="45"/>
      <c r="C186" s="46">
        <v>600.0</v>
      </c>
      <c r="D186" s="45"/>
      <c r="E186" s="11">
        <v>55.0</v>
      </c>
      <c r="F186" s="12">
        <v>0.26319444444444445</v>
      </c>
      <c r="G186" s="13">
        <v>0.2638888888888889</v>
      </c>
      <c r="H186" s="14">
        <v>73.0</v>
      </c>
      <c r="I186" s="15">
        <v>0.32083333333333336</v>
      </c>
      <c r="J186" s="16">
        <v>0.32083333333333336</v>
      </c>
      <c r="K186" s="11">
        <v>97.0</v>
      </c>
      <c r="L186" s="12">
        <v>0.3958333333333333</v>
      </c>
      <c r="M186" s="13">
        <v>0.40347222222222223</v>
      </c>
      <c r="N186" s="17">
        <v>116.0</v>
      </c>
      <c r="O186" s="12">
        <v>0.5</v>
      </c>
      <c r="P186" s="12">
        <v>0.5034722222222222</v>
      </c>
      <c r="Q186" s="11">
        <v>122.0</v>
      </c>
      <c r="R186" s="12">
        <v>0.5798611111111112</v>
      </c>
      <c r="S186" s="13">
        <v>0.5909722222222222</v>
      </c>
      <c r="T186" s="18">
        <v>149.0</v>
      </c>
      <c r="U186" s="12">
        <v>0.6770833333333334</v>
      </c>
      <c r="V186" s="13">
        <v>0.6868055555555556</v>
      </c>
      <c r="W186" s="11">
        <v>157.0</v>
      </c>
      <c r="X186" s="12">
        <v>0.74375</v>
      </c>
      <c r="Y186" s="50" t="s">
        <v>178</v>
      </c>
      <c r="Z186" s="11"/>
      <c r="AA186" s="12"/>
      <c r="AB186" s="13"/>
      <c r="AC186" s="20"/>
      <c r="AD186" s="20"/>
      <c r="AE186" s="56"/>
      <c r="AF186" s="18"/>
      <c r="AG186" s="18"/>
      <c r="AH186" s="47"/>
      <c r="AI186" s="11"/>
      <c r="AJ186" s="12"/>
      <c r="AK186" s="38"/>
      <c r="AL186" s="14"/>
      <c r="AM186" s="14"/>
      <c r="AN186" s="53"/>
      <c r="AO186" s="11"/>
      <c r="AP186" s="12"/>
      <c r="AQ186" s="38"/>
      <c r="AR186" s="11"/>
      <c r="AS186" s="12"/>
      <c r="AT186" s="38"/>
      <c r="AU186" s="11"/>
      <c r="AV186" s="12"/>
      <c r="AW186" s="38"/>
      <c r="AX186" s="11"/>
      <c r="AY186" s="12"/>
      <c r="AZ186" s="38"/>
      <c r="BA186" s="34"/>
      <c r="BB186" s="49"/>
      <c r="BC186" s="12"/>
    </row>
    <row r="187" ht="15.75" customHeight="1">
      <c r="A187" s="7"/>
      <c r="B187" s="45"/>
      <c r="C187" s="46">
        <v>558.0</v>
      </c>
      <c r="D187" s="45"/>
      <c r="E187" s="11">
        <v>156.0</v>
      </c>
      <c r="F187" s="12">
        <v>0.2743055555555556</v>
      </c>
      <c r="G187" s="13">
        <v>0.275</v>
      </c>
      <c r="H187" s="14">
        <v>157.0</v>
      </c>
      <c r="I187" s="15">
        <v>0.3388888888888889</v>
      </c>
      <c r="J187" s="16">
        <v>0.3388888888888889</v>
      </c>
      <c r="K187" s="11">
        <v>184.0</v>
      </c>
      <c r="L187" s="12">
        <v>0.42777777777777776</v>
      </c>
      <c r="M187" s="13">
        <v>0.43333333333333335</v>
      </c>
      <c r="N187" s="17">
        <v>177.0</v>
      </c>
      <c r="O187" s="12">
        <v>0.5368055555555555</v>
      </c>
      <c r="P187" s="12">
        <v>0.5423611111111111</v>
      </c>
      <c r="Q187" s="11">
        <v>178.0</v>
      </c>
      <c r="R187" s="12">
        <v>0.6215277777777778</v>
      </c>
      <c r="S187" s="13">
        <v>0.6236111111111111</v>
      </c>
      <c r="T187" s="18">
        <v>180.0</v>
      </c>
      <c r="U187" s="12">
        <v>0.7111111111111111</v>
      </c>
      <c r="V187" s="13">
        <v>0.7131944444444445</v>
      </c>
      <c r="W187" s="11">
        <v>174.0</v>
      </c>
      <c r="X187" s="12">
        <v>0.7673611111111112</v>
      </c>
      <c r="Y187" s="50" t="s">
        <v>178</v>
      </c>
      <c r="Z187" s="11"/>
      <c r="AA187" s="12"/>
      <c r="AB187" s="13"/>
      <c r="AC187" s="20"/>
      <c r="AD187" s="20"/>
      <c r="AE187" s="56"/>
      <c r="AF187" s="18"/>
      <c r="AG187" s="18"/>
      <c r="AH187" s="47"/>
      <c r="AI187" s="11"/>
      <c r="AJ187" s="12"/>
      <c r="AK187" s="13"/>
      <c r="AL187" s="14"/>
      <c r="AM187" s="14"/>
      <c r="AN187" s="53"/>
      <c r="AO187" s="11"/>
      <c r="AP187" s="12"/>
      <c r="AQ187" s="13"/>
      <c r="AR187" s="11"/>
      <c r="AS187" s="12"/>
      <c r="AT187" s="13"/>
      <c r="AU187" s="11"/>
      <c r="AV187" s="12"/>
      <c r="AW187" s="13"/>
      <c r="AX187" s="11"/>
      <c r="AY187" s="12"/>
      <c r="AZ187" s="13"/>
      <c r="BA187" s="34"/>
      <c r="BB187" s="49"/>
      <c r="BC187" s="12"/>
    </row>
    <row r="188" ht="15.75" customHeight="1">
      <c r="A188" s="7"/>
      <c r="B188" s="45"/>
      <c r="C188" s="46">
        <v>574.0</v>
      </c>
      <c r="D188" s="45"/>
      <c r="E188" s="11">
        <v>111.0</v>
      </c>
      <c r="F188" s="12">
        <v>0.26944444444444443</v>
      </c>
      <c r="G188" s="13">
        <v>0.2701388888888889</v>
      </c>
      <c r="H188" s="27"/>
      <c r="I188" s="28"/>
      <c r="J188" s="29"/>
      <c r="K188" s="11">
        <v>159.0</v>
      </c>
      <c r="L188" s="12">
        <v>0.41458333333333336</v>
      </c>
      <c r="M188" s="13">
        <v>0.4215277777777778</v>
      </c>
      <c r="N188" s="17">
        <v>173.0</v>
      </c>
      <c r="O188" s="12">
        <v>0.5326388888888889</v>
      </c>
      <c r="P188" s="12">
        <v>0.5381944444444444</v>
      </c>
      <c r="Q188" s="11">
        <v>180.0</v>
      </c>
      <c r="R188" s="12">
        <v>0.6243055555555556</v>
      </c>
      <c r="S188" s="13">
        <v>0.6305555555555555</v>
      </c>
      <c r="T188" s="18">
        <v>176.0</v>
      </c>
      <c r="U188" s="12">
        <v>0.7083333333333334</v>
      </c>
      <c r="V188" s="13">
        <v>0.7131944444444445</v>
      </c>
      <c r="W188" s="11">
        <v>175.0</v>
      </c>
      <c r="X188" s="12">
        <v>0.76875</v>
      </c>
      <c r="Y188" s="50" t="s">
        <v>178</v>
      </c>
      <c r="Z188" s="11"/>
      <c r="AA188" s="12"/>
      <c r="AB188" s="13"/>
      <c r="AC188" s="20"/>
      <c r="AD188" s="20"/>
      <c r="AE188" s="56"/>
      <c r="AF188" s="18"/>
      <c r="AG188" s="18"/>
      <c r="AH188" s="47"/>
      <c r="AI188" s="11"/>
      <c r="AJ188" s="12"/>
      <c r="AK188" s="13"/>
      <c r="AL188" s="14"/>
      <c r="AM188" s="14"/>
      <c r="AN188" s="53"/>
      <c r="AO188" s="11"/>
      <c r="AP188" s="12"/>
      <c r="AQ188" s="13"/>
      <c r="AR188" s="11"/>
      <c r="AS188" s="12"/>
      <c r="AT188" s="13"/>
      <c r="AU188" s="11"/>
      <c r="AV188" s="12"/>
      <c r="AW188" s="13"/>
      <c r="AX188" s="11"/>
      <c r="AY188" s="12"/>
      <c r="AZ188" s="13"/>
      <c r="BA188" s="34"/>
      <c r="BB188" s="49"/>
      <c r="BC188" s="12"/>
    </row>
    <row r="189" ht="15.75" customHeight="1">
      <c r="A189" s="7"/>
      <c r="B189" s="45"/>
      <c r="C189" s="46">
        <v>726.0</v>
      </c>
      <c r="D189" s="45"/>
      <c r="E189" s="11">
        <v>168.0</v>
      </c>
      <c r="F189" s="12">
        <v>0.2743055555555556</v>
      </c>
      <c r="G189" s="13">
        <v>0.275</v>
      </c>
      <c r="H189" s="14">
        <v>161.0</v>
      </c>
      <c r="I189" s="15">
        <v>0.3388888888888889</v>
      </c>
      <c r="J189" s="16">
        <v>0.3388888888888889</v>
      </c>
      <c r="K189" s="11">
        <v>158.0</v>
      </c>
      <c r="L189" s="12">
        <v>0.41458333333333336</v>
      </c>
      <c r="M189" s="13">
        <v>0.4236111111111111</v>
      </c>
      <c r="N189" s="17">
        <v>158.0</v>
      </c>
      <c r="O189" s="12">
        <v>0.5208333333333334</v>
      </c>
      <c r="P189" s="12">
        <v>0.525</v>
      </c>
      <c r="Q189" s="11">
        <v>166.0</v>
      </c>
      <c r="R189" s="12">
        <v>0.6083333333333333</v>
      </c>
      <c r="S189" s="13">
        <v>0.6215277777777778</v>
      </c>
      <c r="T189" s="18">
        <v>172.0</v>
      </c>
      <c r="U189" s="12">
        <v>0.7</v>
      </c>
      <c r="V189" s="13">
        <v>0.7076388888888889</v>
      </c>
      <c r="W189" s="11">
        <v>179.0</v>
      </c>
      <c r="X189" s="12">
        <v>0.7756944444444445</v>
      </c>
      <c r="Y189" s="50" t="s">
        <v>178</v>
      </c>
      <c r="Z189" s="11"/>
      <c r="AA189" s="12"/>
      <c r="AB189" s="13"/>
      <c r="AC189" s="20"/>
      <c r="AD189" s="20"/>
      <c r="AE189" s="56"/>
      <c r="AF189" s="18"/>
      <c r="AG189" s="18"/>
      <c r="AH189" s="47"/>
      <c r="AI189" s="11"/>
      <c r="AJ189" s="12"/>
      <c r="AK189" s="13"/>
      <c r="AL189" s="14"/>
      <c r="AM189" s="14"/>
      <c r="AN189" s="53"/>
      <c r="AO189" s="11"/>
      <c r="AP189" s="12"/>
      <c r="AQ189" s="13"/>
      <c r="AR189" s="11"/>
      <c r="AS189" s="12"/>
      <c r="AT189" s="13"/>
      <c r="AU189" s="11"/>
      <c r="AV189" s="12"/>
      <c r="AW189" s="13"/>
      <c r="AX189" s="11"/>
      <c r="AY189" s="12"/>
      <c r="AZ189" s="13"/>
      <c r="BA189" s="34"/>
      <c r="BB189" s="49"/>
      <c r="BC189" s="12"/>
    </row>
    <row r="190" ht="15.75" customHeight="1">
      <c r="A190" s="7"/>
      <c r="B190" s="45"/>
      <c r="C190" s="46">
        <v>541.0</v>
      </c>
      <c r="D190" s="45"/>
      <c r="E190" s="11">
        <v>155.0</v>
      </c>
      <c r="F190" s="12">
        <v>0.2743055555555556</v>
      </c>
      <c r="G190" s="13">
        <v>0.275</v>
      </c>
      <c r="H190" s="14">
        <v>103.0</v>
      </c>
      <c r="I190" s="15">
        <v>0.32569444444444445</v>
      </c>
      <c r="J190" s="16">
        <v>0.32569444444444445</v>
      </c>
      <c r="K190" s="11">
        <v>183.0</v>
      </c>
      <c r="L190" s="12">
        <v>0.42777777777777776</v>
      </c>
      <c r="M190" s="13">
        <v>0.4326388888888889</v>
      </c>
      <c r="N190" s="17">
        <v>187.0</v>
      </c>
      <c r="O190" s="12">
        <v>0.5493055555555556</v>
      </c>
      <c r="P190" s="12">
        <v>0.5527777777777778</v>
      </c>
      <c r="Q190" s="11">
        <v>186.0</v>
      </c>
      <c r="R190" s="12">
        <v>0.6375</v>
      </c>
      <c r="S190" s="13">
        <v>0.6416666666666667</v>
      </c>
      <c r="T190" s="18">
        <v>184.0</v>
      </c>
      <c r="U190" s="12">
        <v>0.7277777777777777</v>
      </c>
      <c r="V190" s="13">
        <v>0.7305555555555555</v>
      </c>
      <c r="W190" s="11">
        <v>185.0</v>
      </c>
      <c r="X190" s="12">
        <v>0.7972222222222223</v>
      </c>
      <c r="Y190" s="50" t="s">
        <v>178</v>
      </c>
      <c r="Z190" s="11"/>
      <c r="AA190" s="12"/>
      <c r="AB190" s="13"/>
      <c r="AC190" s="20"/>
      <c r="AD190" s="20"/>
      <c r="AE190" s="56"/>
      <c r="AF190" s="18"/>
      <c r="AG190" s="18"/>
      <c r="AH190" s="47"/>
      <c r="AI190" s="11"/>
      <c r="AJ190" s="18"/>
      <c r="AK190" s="38"/>
      <c r="AL190" s="14"/>
      <c r="AM190" s="14"/>
      <c r="AN190" s="53"/>
      <c r="AO190" s="11"/>
      <c r="AP190" s="12"/>
      <c r="AQ190" s="13"/>
      <c r="AR190" s="11"/>
      <c r="AS190" s="12"/>
      <c r="AT190" s="13"/>
      <c r="AU190" s="11"/>
      <c r="AV190" s="12"/>
      <c r="AW190" s="13"/>
      <c r="AX190" s="11"/>
      <c r="AY190" s="12"/>
      <c r="AZ190" s="13"/>
      <c r="BA190" s="34"/>
      <c r="BB190" s="49"/>
      <c r="BC190" s="12"/>
    </row>
    <row r="191" ht="15.75" customHeight="1">
      <c r="A191" s="7"/>
      <c r="B191" s="45"/>
      <c r="C191" s="46">
        <v>641.0</v>
      </c>
      <c r="D191" s="45"/>
      <c r="E191" s="11">
        <v>171.0</v>
      </c>
      <c r="F191" s="12">
        <v>0.2743055555555556</v>
      </c>
      <c r="G191" s="13">
        <v>0.275</v>
      </c>
      <c r="H191" s="14">
        <v>158.0</v>
      </c>
      <c r="I191" s="15">
        <v>0.3388888888888889</v>
      </c>
      <c r="J191" s="16">
        <v>0.3388888888888889</v>
      </c>
      <c r="K191" s="11">
        <v>150.0</v>
      </c>
      <c r="L191" s="12">
        <v>0.4125</v>
      </c>
      <c r="M191" s="13">
        <v>0.4305555555555556</v>
      </c>
      <c r="N191" s="17">
        <v>171.0</v>
      </c>
      <c r="O191" s="12">
        <v>0.53125</v>
      </c>
      <c r="P191" s="12">
        <v>0.5361111111111111</v>
      </c>
      <c r="Q191" s="11">
        <v>185.0</v>
      </c>
      <c r="R191" s="12">
        <v>0.6326388888888889</v>
      </c>
      <c r="S191" s="13">
        <v>0.6381944444444444</v>
      </c>
      <c r="T191" s="18">
        <v>187.0</v>
      </c>
      <c r="U191" s="12">
        <v>0.7319444444444444</v>
      </c>
      <c r="V191" s="13">
        <v>0.7354166666666667</v>
      </c>
      <c r="W191" s="11">
        <v>186.0</v>
      </c>
      <c r="X191" s="12">
        <v>0.7979166666666667</v>
      </c>
      <c r="Y191" s="50" t="s">
        <v>178</v>
      </c>
      <c r="Z191" s="11"/>
      <c r="AA191" s="12"/>
      <c r="AB191" s="13"/>
      <c r="AC191" s="20"/>
      <c r="AD191" s="20"/>
      <c r="AE191" s="56"/>
      <c r="AF191" s="18"/>
      <c r="AG191" s="18"/>
      <c r="AH191" s="47"/>
      <c r="AI191" s="11"/>
      <c r="AJ191" s="12"/>
      <c r="AK191" s="13"/>
      <c r="AL191" s="14"/>
      <c r="AM191" s="14"/>
      <c r="AN191" s="53"/>
      <c r="AO191" s="11"/>
      <c r="AP191" s="18"/>
      <c r="AQ191" s="38"/>
      <c r="AR191" s="11"/>
      <c r="AS191" s="18"/>
      <c r="AT191" s="38"/>
      <c r="AU191" s="11"/>
      <c r="AV191" s="18"/>
      <c r="AW191" s="38"/>
      <c r="AX191" s="11"/>
      <c r="AY191" s="18"/>
      <c r="AZ191" s="38"/>
      <c r="BA191" s="34"/>
      <c r="BB191" s="49"/>
      <c r="BC191" s="12"/>
    </row>
    <row r="192" ht="15.75" customHeight="1">
      <c r="A192" s="7"/>
      <c r="B192" s="45"/>
      <c r="C192" s="46">
        <v>608.0</v>
      </c>
      <c r="D192" s="45"/>
      <c r="E192" s="11">
        <v>196.0</v>
      </c>
      <c r="F192" s="12">
        <v>0.28125</v>
      </c>
      <c r="G192" s="13">
        <v>0.28194444444444444</v>
      </c>
      <c r="H192" s="14">
        <v>191.0</v>
      </c>
      <c r="I192" s="15">
        <v>0.3541666666666667</v>
      </c>
      <c r="J192" s="16">
        <v>0.3541666666666667</v>
      </c>
      <c r="K192" s="11">
        <v>195.0</v>
      </c>
      <c r="L192" s="12">
        <v>0.44583333333333336</v>
      </c>
      <c r="M192" s="13">
        <v>0.45069444444444445</v>
      </c>
      <c r="N192" s="17">
        <v>193.0</v>
      </c>
      <c r="O192" s="12">
        <v>0.5680555555555555</v>
      </c>
      <c r="P192" s="12">
        <v>0.5694444444444444</v>
      </c>
      <c r="Q192" s="11">
        <v>193.0</v>
      </c>
      <c r="R192" s="12">
        <v>0.6597222222222222</v>
      </c>
      <c r="S192" s="13">
        <v>0.6631944444444444</v>
      </c>
      <c r="T192" s="18">
        <v>191.0</v>
      </c>
      <c r="U192" s="12">
        <v>0.7520833333333333</v>
      </c>
      <c r="V192" s="50" t="s">
        <v>178</v>
      </c>
      <c r="W192" s="11"/>
      <c r="X192" s="18"/>
      <c r="Y192" s="38"/>
      <c r="Z192" s="11"/>
      <c r="AA192" s="12"/>
      <c r="AB192" s="13"/>
      <c r="AC192" s="20"/>
      <c r="AD192" s="20"/>
      <c r="AE192" s="56"/>
      <c r="AF192" s="18"/>
      <c r="AG192" s="18"/>
      <c r="AH192" s="47"/>
      <c r="AI192" s="11"/>
      <c r="AJ192" s="12"/>
      <c r="AK192" s="13"/>
      <c r="AL192" s="14"/>
      <c r="AM192" s="14"/>
      <c r="AN192" s="53"/>
      <c r="AO192" s="11"/>
      <c r="AP192" s="18"/>
      <c r="AQ192" s="38"/>
      <c r="AR192" s="11"/>
      <c r="AS192" s="18"/>
      <c r="AT192" s="38"/>
      <c r="AU192" s="11"/>
      <c r="AV192" s="18"/>
      <c r="AW192" s="38"/>
      <c r="AX192" s="11"/>
      <c r="AY192" s="18"/>
      <c r="AZ192" s="38"/>
      <c r="BA192" s="34"/>
      <c r="BB192" s="49"/>
      <c r="BC192" s="12"/>
    </row>
    <row r="193" ht="15.75" customHeight="1">
      <c r="A193" s="7"/>
      <c r="B193" s="45"/>
      <c r="C193" s="46">
        <v>700.0</v>
      </c>
      <c r="D193" s="45"/>
      <c r="E193" s="11">
        <v>108.0</v>
      </c>
      <c r="F193" s="12">
        <v>0.26944444444444443</v>
      </c>
      <c r="G193" s="13">
        <v>0.2701388888888889</v>
      </c>
      <c r="H193" s="14">
        <v>115.0</v>
      </c>
      <c r="I193" s="15">
        <v>0.32916666666666666</v>
      </c>
      <c r="J193" s="16">
        <v>0.32916666666666666</v>
      </c>
      <c r="K193" s="11">
        <v>117.0</v>
      </c>
      <c r="L193" s="12">
        <v>0.4013888888888889</v>
      </c>
      <c r="M193" s="13">
        <v>0.4152777777777778</v>
      </c>
      <c r="N193" s="17">
        <v>141.0</v>
      </c>
      <c r="O193" s="12">
        <v>0.5069444444444444</v>
      </c>
      <c r="P193" s="12">
        <v>0.5125</v>
      </c>
      <c r="Q193" s="11">
        <v>140.0</v>
      </c>
      <c r="R193" s="12">
        <v>0.5895833333333333</v>
      </c>
      <c r="S193" s="50" t="s">
        <v>178</v>
      </c>
      <c r="T193" s="18"/>
      <c r="U193" s="18"/>
      <c r="V193" s="13"/>
      <c r="W193" s="11"/>
      <c r="X193" s="12"/>
      <c r="Y193" s="13"/>
      <c r="Z193" s="11"/>
      <c r="AA193" s="12"/>
      <c r="AB193" s="13"/>
      <c r="AC193" s="20"/>
      <c r="AD193" s="20"/>
      <c r="AE193" s="56"/>
      <c r="AF193" s="18"/>
      <c r="AG193" s="18"/>
      <c r="AH193" s="47"/>
      <c r="AI193" s="11"/>
      <c r="AJ193" s="12"/>
      <c r="AK193" s="13"/>
      <c r="AL193" s="14"/>
      <c r="AM193" s="14"/>
      <c r="AN193" s="53"/>
      <c r="AO193" s="11"/>
      <c r="AP193" s="12"/>
      <c r="AQ193" s="13"/>
      <c r="AR193" s="11"/>
      <c r="AS193" s="12"/>
      <c r="AT193" s="13"/>
      <c r="AU193" s="11"/>
      <c r="AV193" s="12"/>
      <c r="AW193" s="13"/>
      <c r="AX193" s="11"/>
      <c r="AY193" s="12"/>
      <c r="AZ193" s="13"/>
      <c r="BA193" s="34"/>
      <c r="BB193" s="49"/>
      <c r="BC193" s="12"/>
    </row>
    <row r="194" ht="15.75" customHeight="1">
      <c r="A194" s="7"/>
      <c r="B194" s="45"/>
      <c r="C194" s="46">
        <v>616.0</v>
      </c>
      <c r="D194" s="45"/>
      <c r="E194" s="11">
        <v>138.0</v>
      </c>
      <c r="F194" s="12">
        <v>0.27152777777777776</v>
      </c>
      <c r="G194" s="13">
        <v>0.2722222222222222</v>
      </c>
      <c r="H194" s="14">
        <v>171.0</v>
      </c>
      <c r="I194" s="15">
        <v>0.3388888888888889</v>
      </c>
      <c r="J194" s="16">
        <v>0.3388888888888889</v>
      </c>
      <c r="K194" s="11">
        <v>187.0</v>
      </c>
      <c r="L194" s="12">
        <v>0.42916666666666664</v>
      </c>
      <c r="M194" s="13">
        <v>0.4305555555555556</v>
      </c>
      <c r="N194" s="17">
        <v>186.0</v>
      </c>
      <c r="O194" s="12">
        <v>0.5465277777777777</v>
      </c>
      <c r="P194" s="12">
        <v>0.5479166666666667</v>
      </c>
      <c r="Q194" s="11">
        <v>192.0</v>
      </c>
      <c r="R194" s="12">
        <v>0.6597222222222222</v>
      </c>
      <c r="S194" s="50" t="s">
        <v>178</v>
      </c>
      <c r="T194" s="18"/>
      <c r="U194" s="18"/>
      <c r="V194" s="38"/>
      <c r="W194" s="11"/>
      <c r="X194" s="18"/>
      <c r="Y194" s="38"/>
      <c r="Z194" s="11"/>
      <c r="AA194" s="12"/>
      <c r="AB194" s="13"/>
      <c r="AC194" s="20"/>
      <c r="AD194" s="20"/>
      <c r="AE194" s="56"/>
      <c r="AF194" s="18"/>
      <c r="AG194" s="18"/>
      <c r="AH194" s="47"/>
      <c r="AI194" s="11"/>
      <c r="AJ194" s="18"/>
      <c r="AK194" s="38"/>
      <c r="AL194" s="14"/>
      <c r="AM194" s="14"/>
      <c r="AN194" s="53"/>
      <c r="AO194" s="11"/>
      <c r="AP194" s="12"/>
      <c r="AQ194" s="13"/>
      <c r="AR194" s="11"/>
      <c r="AS194" s="12"/>
      <c r="AT194" s="38"/>
      <c r="AU194" s="11"/>
      <c r="AV194" s="18"/>
      <c r="AW194" s="38"/>
      <c r="AX194" s="11"/>
      <c r="AY194" s="18"/>
      <c r="AZ194" s="38"/>
      <c r="BA194" s="34"/>
      <c r="BB194" s="49"/>
      <c r="BC194" s="12"/>
    </row>
    <row r="195" ht="15.75" customHeight="1">
      <c r="A195" s="7"/>
      <c r="B195" s="45"/>
      <c r="C195" s="46">
        <v>654.0</v>
      </c>
      <c r="D195" s="45"/>
      <c r="E195" s="11">
        <v>192.0</v>
      </c>
      <c r="F195" s="12">
        <v>0.28125</v>
      </c>
      <c r="G195" s="13">
        <v>0.28194444444444444</v>
      </c>
      <c r="H195" s="14">
        <v>194.0</v>
      </c>
      <c r="I195" s="15">
        <v>0.35555555555555557</v>
      </c>
      <c r="J195" s="16">
        <v>0.35555555555555557</v>
      </c>
      <c r="K195" s="11">
        <v>198.0</v>
      </c>
      <c r="L195" s="12">
        <v>0.44722222222222224</v>
      </c>
      <c r="M195" s="13">
        <v>0.45416666666666666</v>
      </c>
      <c r="N195" s="17">
        <v>194.0</v>
      </c>
      <c r="O195" s="12">
        <v>0.5736111111111111</v>
      </c>
      <c r="P195" s="12">
        <v>0.5958333333333333</v>
      </c>
      <c r="Q195" s="11">
        <v>194.0</v>
      </c>
      <c r="R195" s="12">
        <v>0.6923611111111111</v>
      </c>
      <c r="S195" s="50" t="s">
        <v>178</v>
      </c>
      <c r="T195" s="18"/>
      <c r="U195" s="18"/>
      <c r="V195" s="13"/>
      <c r="W195" s="11"/>
      <c r="X195" s="12"/>
      <c r="Y195" s="13"/>
      <c r="Z195" s="11"/>
      <c r="AA195" s="12"/>
      <c r="AB195" s="13"/>
      <c r="AC195" s="20"/>
      <c r="AD195" s="20"/>
      <c r="AE195" s="56"/>
      <c r="AF195" s="18"/>
      <c r="AG195" s="18"/>
      <c r="AH195" s="47"/>
      <c r="AI195" s="11"/>
      <c r="AJ195" s="12"/>
      <c r="AK195" s="13"/>
      <c r="AL195" s="14"/>
      <c r="AM195" s="14"/>
      <c r="AN195" s="53"/>
      <c r="AO195" s="11"/>
      <c r="AP195" s="12"/>
      <c r="AQ195" s="13"/>
      <c r="AR195" s="11"/>
      <c r="AS195" s="12"/>
      <c r="AT195" s="13"/>
      <c r="AU195" s="11"/>
      <c r="AV195" s="12"/>
      <c r="AW195" s="13"/>
      <c r="AX195" s="11"/>
      <c r="AY195" s="12"/>
      <c r="AZ195" s="13"/>
      <c r="BA195" s="34"/>
      <c r="BB195" s="49"/>
      <c r="BC195" s="12"/>
    </row>
    <row r="196" ht="15.75" customHeight="1">
      <c r="A196" s="7"/>
      <c r="B196" s="45"/>
      <c r="C196" s="46" t="s">
        <v>180</v>
      </c>
      <c r="D196" s="45"/>
      <c r="E196" s="11">
        <v>166.0</v>
      </c>
      <c r="F196" s="12">
        <v>0.2743055555555556</v>
      </c>
      <c r="G196" s="13">
        <v>0.275</v>
      </c>
      <c r="H196" s="14">
        <v>159.0</v>
      </c>
      <c r="I196" s="15">
        <v>0.3388888888888889</v>
      </c>
      <c r="J196" s="16">
        <v>0.3388888888888889</v>
      </c>
      <c r="K196" s="11">
        <v>146.0</v>
      </c>
      <c r="L196" s="12">
        <v>0.4125</v>
      </c>
      <c r="M196" s="13">
        <v>0.42083333333333334</v>
      </c>
      <c r="N196" s="57" t="s">
        <v>178</v>
      </c>
      <c r="O196" s="12"/>
      <c r="P196" s="13"/>
      <c r="Q196" s="11"/>
      <c r="R196" s="17"/>
      <c r="S196" s="58"/>
      <c r="T196" s="18"/>
      <c r="U196" s="18"/>
      <c r="V196" s="38"/>
      <c r="W196" s="11"/>
      <c r="X196" s="18"/>
      <c r="Y196" s="38"/>
      <c r="Z196" s="11"/>
      <c r="AA196" s="18"/>
      <c r="AB196" s="38"/>
      <c r="AC196" s="20"/>
      <c r="AD196" s="20"/>
      <c r="AE196" s="56"/>
      <c r="AF196" s="18"/>
      <c r="AG196" s="18"/>
      <c r="AH196" s="47"/>
      <c r="AI196" s="11"/>
      <c r="AJ196" s="18"/>
      <c r="AK196" s="38"/>
      <c r="AL196" s="14"/>
      <c r="AM196" s="14"/>
      <c r="AN196" s="53"/>
      <c r="AO196" s="11"/>
      <c r="AP196" s="18"/>
      <c r="AQ196" s="38"/>
      <c r="AR196" s="11"/>
      <c r="AS196" s="18"/>
      <c r="AT196" s="38"/>
      <c r="AU196" s="11"/>
      <c r="AV196" s="18"/>
      <c r="AW196" s="38"/>
      <c r="AX196" s="11"/>
      <c r="AY196" s="18"/>
      <c r="AZ196" s="38"/>
      <c r="BA196" s="34"/>
      <c r="BB196" s="49"/>
      <c r="BC196" s="12"/>
    </row>
    <row r="197" ht="15.75" customHeight="1">
      <c r="A197" s="7"/>
      <c r="B197" s="45"/>
      <c r="C197" s="46">
        <v>613.0</v>
      </c>
      <c r="D197" s="45"/>
      <c r="E197" s="11">
        <v>19.0</v>
      </c>
      <c r="F197" s="12">
        <v>0.25763888888888886</v>
      </c>
      <c r="G197" s="13">
        <v>0.25833333333333336</v>
      </c>
      <c r="H197" s="14">
        <v>190.0</v>
      </c>
      <c r="I197" s="15">
        <v>0.35347222222222224</v>
      </c>
      <c r="J197" s="16">
        <v>0.35347222222222224</v>
      </c>
      <c r="K197" s="11">
        <v>17.0</v>
      </c>
      <c r="L197" s="12">
        <v>0.3611111111111111</v>
      </c>
      <c r="M197" s="50" t="s">
        <v>178</v>
      </c>
      <c r="N197" s="34"/>
      <c r="O197" s="17"/>
      <c r="P197" s="58"/>
      <c r="Q197" s="11"/>
      <c r="R197" s="17"/>
      <c r="S197" s="58"/>
      <c r="T197" s="18"/>
      <c r="U197" s="18"/>
      <c r="V197" s="13"/>
      <c r="W197" s="11"/>
      <c r="X197" s="12"/>
      <c r="Y197" s="13"/>
      <c r="Z197" s="11"/>
      <c r="AA197" s="12"/>
      <c r="AB197" s="13"/>
      <c r="AC197" s="20"/>
      <c r="AD197" s="20"/>
      <c r="AE197" s="56"/>
      <c r="AF197" s="18"/>
      <c r="AG197" s="18"/>
      <c r="AH197" s="47"/>
      <c r="AI197" s="11"/>
      <c r="AJ197" s="12"/>
      <c r="AK197" s="13"/>
      <c r="AL197" s="14"/>
      <c r="AM197" s="14"/>
      <c r="AN197" s="53"/>
      <c r="AO197" s="11"/>
      <c r="AP197" s="12"/>
      <c r="AQ197" s="13"/>
      <c r="AR197" s="11"/>
      <c r="AS197" s="12"/>
      <c r="AT197" s="13"/>
      <c r="AU197" s="11"/>
      <c r="AV197" s="12"/>
      <c r="AW197" s="13"/>
      <c r="AX197" s="11"/>
      <c r="AY197" s="12"/>
      <c r="AZ197" s="13"/>
      <c r="BA197" s="34"/>
      <c r="BB197" s="49"/>
      <c r="BC197" s="12"/>
    </row>
    <row r="198" ht="15.75" customHeight="1">
      <c r="A198" s="7"/>
      <c r="B198" s="45"/>
      <c r="C198" s="46">
        <v>572.0</v>
      </c>
      <c r="D198" s="45"/>
      <c r="E198" s="11">
        <v>80.0</v>
      </c>
      <c r="F198" s="12">
        <v>0.2659722222222222</v>
      </c>
      <c r="G198" s="13">
        <v>0.26666666666666666</v>
      </c>
      <c r="H198" s="14">
        <v>99.0</v>
      </c>
      <c r="I198" s="15">
        <v>0.32569444444444445</v>
      </c>
      <c r="J198" s="16">
        <v>0.32569444444444445</v>
      </c>
      <c r="K198" s="11">
        <v>123.0</v>
      </c>
      <c r="L198" s="12">
        <v>0.4041666666666667</v>
      </c>
      <c r="M198" s="50" t="s">
        <v>178</v>
      </c>
      <c r="N198" s="34"/>
      <c r="O198" s="12"/>
      <c r="P198" s="13"/>
      <c r="Q198" s="11"/>
      <c r="R198" s="17"/>
      <c r="S198" s="58"/>
      <c r="T198" s="18"/>
      <c r="U198" s="18"/>
      <c r="V198" s="38"/>
      <c r="W198" s="11"/>
      <c r="X198" s="18"/>
      <c r="Y198" s="38"/>
      <c r="Z198" s="11"/>
      <c r="AA198" s="18"/>
      <c r="AB198" s="38"/>
      <c r="AC198" s="20"/>
      <c r="AD198" s="20"/>
      <c r="AE198" s="56"/>
      <c r="AF198" s="18"/>
      <c r="AG198" s="18"/>
      <c r="AH198" s="47"/>
      <c r="AI198" s="11"/>
      <c r="AJ198" s="18"/>
      <c r="AK198" s="38"/>
      <c r="AL198" s="14"/>
      <c r="AM198" s="14"/>
      <c r="AN198" s="53"/>
      <c r="AO198" s="11"/>
      <c r="AP198" s="18"/>
      <c r="AQ198" s="38"/>
      <c r="AR198" s="11"/>
      <c r="AS198" s="18"/>
      <c r="AT198" s="38"/>
      <c r="AU198" s="11"/>
      <c r="AV198" s="18"/>
      <c r="AW198" s="38"/>
      <c r="AX198" s="11"/>
      <c r="AY198" s="18"/>
      <c r="AZ198" s="38"/>
      <c r="BA198" s="34"/>
      <c r="BB198" s="49"/>
      <c r="BC198" s="12"/>
    </row>
    <row r="199" ht="15.75" customHeight="1">
      <c r="A199" s="7"/>
      <c r="B199" s="45"/>
      <c r="C199" s="46">
        <v>552.0</v>
      </c>
      <c r="D199" s="45"/>
      <c r="E199" s="11">
        <v>81.0</v>
      </c>
      <c r="F199" s="12">
        <v>0.2659722222222222</v>
      </c>
      <c r="G199" s="13">
        <v>0.26666666666666666</v>
      </c>
      <c r="H199" s="14">
        <v>75.0</v>
      </c>
      <c r="I199" s="15">
        <v>0.32083333333333336</v>
      </c>
      <c r="J199" s="16">
        <v>0.32083333333333336</v>
      </c>
      <c r="K199" s="11">
        <v>124.0</v>
      </c>
      <c r="L199" s="12">
        <v>0.4041666666666667</v>
      </c>
      <c r="M199" s="50" t="s">
        <v>178</v>
      </c>
      <c r="N199" s="34"/>
      <c r="O199" s="12"/>
      <c r="P199" s="13"/>
      <c r="Q199" s="11"/>
      <c r="R199" s="17"/>
      <c r="S199" s="58"/>
      <c r="T199" s="18"/>
      <c r="U199" s="18"/>
      <c r="V199" s="38"/>
      <c r="W199" s="11"/>
      <c r="X199" s="18"/>
      <c r="Y199" s="38"/>
      <c r="Z199" s="11"/>
      <c r="AA199" s="12"/>
      <c r="AB199" s="13"/>
      <c r="AC199" s="20"/>
      <c r="AD199" s="20"/>
      <c r="AE199" s="56"/>
      <c r="AF199" s="18"/>
      <c r="AG199" s="18"/>
      <c r="AH199" s="47"/>
      <c r="AI199" s="11"/>
      <c r="AJ199" s="18"/>
      <c r="AK199" s="38"/>
      <c r="AL199" s="14"/>
      <c r="AM199" s="14"/>
      <c r="AN199" s="53"/>
      <c r="AO199" s="11"/>
      <c r="AP199" s="18"/>
      <c r="AQ199" s="38"/>
      <c r="AR199" s="11"/>
      <c r="AS199" s="18"/>
      <c r="AT199" s="38"/>
      <c r="AU199" s="11"/>
      <c r="AV199" s="18"/>
      <c r="AW199" s="38"/>
      <c r="AX199" s="11"/>
      <c r="AY199" s="18"/>
      <c r="AZ199" s="38"/>
      <c r="BA199" s="34"/>
      <c r="BB199" s="49"/>
      <c r="BC199" s="12"/>
    </row>
    <row r="200" ht="15.75" customHeight="1">
      <c r="A200" s="7"/>
      <c r="B200" s="45"/>
      <c r="C200" s="46">
        <v>557.0</v>
      </c>
      <c r="D200" s="45"/>
      <c r="E200" s="11">
        <v>142.0</v>
      </c>
      <c r="F200" s="12">
        <v>0.27152777777777776</v>
      </c>
      <c r="G200" s="13">
        <v>0.2722222222222222</v>
      </c>
      <c r="H200" s="27"/>
      <c r="I200" s="28"/>
      <c r="J200" s="29"/>
      <c r="K200" s="11">
        <v>166.0</v>
      </c>
      <c r="L200" s="12">
        <v>0.42083333333333334</v>
      </c>
      <c r="M200" s="50" t="s">
        <v>178</v>
      </c>
      <c r="N200" s="34"/>
      <c r="O200" s="12"/>
      <c r="P200" s="13"/>
      <c r="Q200" s="11"/>
      <c r="R200" s="17"/>
      <c r="S200" s="58"/>
      <c r="T200" s="18"/>
      <c r="U200" s="18"/>
      <c r="V200" s="13"/>
      <c r="W200" s="11"/>
      <c r="X200" s="12"/>
      <c r="Y200" s="13"/>
      <c r="Z200" s="11"/>
      <c r="AA200" s="12"/>
      <c r="AB200" s="13"/>
      <c r="AC200" s="20"/>
      <c r="AD200" s="20"/>
      <c r="AE200" s="56"/>
      <c r="AF200" s="18"/>
      <c r="AG200" s="18"/>
      <c r="AH200" s="47"/>
      <c r="AI200" s="11"/>
      <c r="AJ200" s="12"/>
      <c r="AK200" s="13"/>
      <c r="AL200" s="14"/>
      <c r="AM200" s="14"/>
      <c r="AN200" s="53"/>
      <c r="AO200" s="11"/>
      <c r="AP200" s="12"/>
      <c r="AQ200" s="13"/>
      <c r="AR200" s="11"/>
      <c r="AS200" s="12"/>
      <c r="AT200" s="13"/>
      <c r="AU200" s="11"/>
      <c r="AV200" s="12"/>
      <c r="AW200" s="13"/>
      <c r="AX200" s="11"/>
      <c r="AY200" s="12"/>
      <c r="AZ200" s="13"/>
      <c r="BA200" s="34"/>
      <c r="BB200" s="49"/>
      <c r="BC200" s="12"/>
    </row>
    <row r="201" ht="15.75" customHeight="1">
      <c r="A201" s="7"/>
      <c r="B201" s="45"/>
      <c r="C201" s="46">
        <v>624.0</v>
      </c>
      <c r="D201" s="45"/>
      <c r="E201" s="11">
        <v>180.0</v>
      </c>
      <c r="F201" s="12">
        <v>0.2777777777777778</v>
      </c>
      <c r="G201" s="13">
        <v>0.27847222222222223</v>
      </c>
      <c r="H201" s="14">
        <v>152.0</v>
      </c>
      <c r="I201" s="15">
        <v>0.3368055555555556</v>
      </c>
      <c r="J201" s="16">
        <v>0.3368055555555556</v>
      </c>
      <c r="K201" s="11">
        <v>199.0</v>
      </c>
      <c r="L201" s="12">
        <v>0.44930555555555557</v>
      </c>
      <c r="M201" s="50" t="s">
        <v>178</v>
      </c>
      <c r="N201" s="34"/>
      <c r="O201" s="12"/>
      <c r="P201" s="13"/>
      <c r="Q201" s="11"/>
      <c r="R201" s="17"/>
      <c r="S201" s="58"/>
      <c r="T201" s="18"/>
      <c r="U201" s="18"/>
      <c r="V201" s="13"/>
      <c r="W201" s="11"/>
      <c r="X201" s="12"/>
      <c r="Y201" s="13"/>
      <c r="Z201" s="11"/>
      <c r="AA201" s="12"/>
      <c r="AB201" s="13"/>
      <c r="AC201" s="59"/>
      <c r="AD201" s="20"/>
      <c r="AE201" s="56"/>
      <c r="AF201" s="18"/>
      <c r="AG201" s="18"/>
      <c r="AH201" s="47"/>
      <c r="AI201" s="11"/>
      <c r="AJ201" s="12"/>
      <c r="AK201" s="13"/>
      <c r="AL201" s="14"/>
      <c r="AM201" s="14"/>
      <c r="AN201" s="53"/>
      <c r="AO201" s="11"/>
      <c r="AP201" s="12"/>
      <c r="AQ201" s="13"/>
      <c r="AR201" s="11"/>
      <c r="AS201" s="12"/>
      <c r="AT201" s="13"/>
      <c r="AU201" s="11"/>
      <c r="AV201" s="12"/>
      <c r="AW201" s="13"/>
      <c r="AX201" s="11"/>
      <c r="AY201" s="12"/>
      <c r="AZ201" s="13"/>
      <c r="BA201" s="34"/>
      <c r="BB201" s="49"/>
      <c r="BC201" s="12"/>
    </row>
    <row r="202" ht="15.75" customHeight="1">
      <c r="A202" s="7"/>
      <c r="B202" s="45"/>
      <c r="C202" s="46">
        <v>674.0</v>
      </c>
      <c r="D202" s="45"/>
      <c r="E202" s="11">
        <v>199.0</v>
      </c>
      <c r="F202" s="12">
        <v>0.28680555555555554</v>
      </c>
      <c r="G202" s="13">
        <v>0.2875</v>
      </c>
      <c r="H202" s="14">
        <v>199.0</v>
      </c>
      <c r="I202" s="15">
        <v>0.38333333333333336</v>
      </c>
      <c r="J202" s="16">
        <v>0.38333333333333336</v>
      </c>
      <c r="K202" s="11">
        <v>201.0</v>
      </c>
      <c r="L202" s="12">
        <v>0.4930555555555556</v>
      </c>
      <c r="M202" s="50" t="s">
        <v>178</v>
      </c>
      <c r="N202" s="34"/>
      <c r="O202" s="12"/>
      <c r="P202" s="13"/>
      <c r="Q202" s="11"/>
      <c r="R202" s="17"/>
      <c r="S202" s="58"/>
      <c r="T202" s="18"/>
      <c r="U202" s="18"/>
      <c r="V202" s="13"/>
      <c r="W202" s="11"/>
      <c r="X202" s="12"/>
      <c r="Y202" s="13"/>
      <c r="Z202" s="11"/>
      <c r="AA202" s="12"/>
      <c r="AB202" s="13"/>
      <c r="AC202" s="59"/>
      <c r="AD202" s="14"/>
      <c r="AE202" s="56"/>
      <c r="AF202" s="18"/>
      <c r="AG202" s="18"/>
      <c r="AH202" s="47"/>
      <c r="AI202" s="11"/>
      <c r="AJ202" s="12"/>
      <c r="AK202" s="13"/>
      <c r="AL202" s="14"/>
      <c r="AM202" s="14"/>
      <c r="AN202" s="53"/>
      <c r="AO202" s="11"/>
      <c r="AP202" s="12"/>
      <c r="AQ202" s="13"/>
      <c r="AR202" s="11"/>
      <c r="AS202" s="12"/>
      <c r="AT202" s="13"/>
      <c r="AU202" s="11"/>
      <c r="AV202" s="12"/>
      <c r="AW202" s="13"/>
      <c r="AX202" s="11"/>
      <c r="AY202" s="12"/>
      <c r="AZ202" s="13"/>
      <c r="BA202" s="34"/>
      <c r="BB202" s="49"/>
      <c r="BC202" s="12"/>
    </row>
    <row r="203" ht="15.75" customHeight="1">
      <c r="A203" s="7"/>
      <c r="B203" s="45"/>
      <c r="C203" s="46" t="s">
        <v>181</v>
      </c>
      <c r="D203" s="45"/>
      <c r="E203" s="11">
        <v>14.0</v>
      </c>
      <c r="F203" s="12">
        <v>0.2548611111111111</v>
      </c>
      <c r="G203" s="13">
        <v>0.25555555555555554</v>
      </c>
      <c r="H203" s="14">
        <v>14.0</v>
      </c>
      <c r="I203" s="15">
        <v>0.3013888888888889</v>
      </c>
      <c r="J203" s="16">
        <v>0.3013888888888889</v>
      </c>
      <c r="K203" s="60" t="s">
        <v>178</v>
      </c>
      <c r="L203" s="12"/>
      <c r="M203" s="12"/>
      <c r="N203" s="34"/>
      <c r="O203" s="17"/>
      <c r="P203" s="58"/>
      <c r="Q203" s="11"/>
      <c r="R203" s="17"/>
      <c r="S203" s="58"/>
      <c r="T203" s="18"/>
      <c r="U203" s="18"/>
      <c r="V203" s="38"/>
      <c r="W203" s="11"/>
      <c r="X203" s="18"/>
      <c r="Y203" s="38"/>
      <c r="Z203" s="11"/>
      <c r="AA203" s="12"/>
      <c r="AB203" s="13"/>
      <c r="AC203" s="37"/>
      <c r="AD203" s="20"/>
      <c r="AE203" s="53"/>
      <c r="AF203" s="18"/>
      <c r="AG203" s="18"/>
      <c r="AH203" s="47"/>
      <c r="AI203" s="11"/>
      <c r="AJ203" s="12"/>
      <c r="AK203" s="13"/>
      <c r="AL203" s="14"/>
      <c r="AM203" s="14"/>
      <c r="AN203" s="53"/>
      <c r="AO203" s="11"/>
      <c r="AP203" s="12"/>
      <c r="AQ203" s="13"/>
      <c r="AR203" s="11"/>
      <c r="AS203" s="12"/>
      <c r="AT203" s="13"/>
      <c r="AU203" s="11"/>
      <c r="AV203" s="12"/>
      <c r="AW203" s="13"/>
      <c r="AX203" s="11"/>
      <c r="AY203" s="12"/>
      <c r="AZ203" s="13"/>
      <c r="BA203" s="34"/>
      <c r="BB203" s="49"/>
      <c r="BC203" s="12"/>
    </row>
    <row r="204" ht="15.75" customHeight="1">
      <c r="A204" s="7"/>
      <c r="B204" s="45"/>
      <c r="C204" s="46">
        <v>566.0</v>
      </c>
      <c r="D204" s="45"/>
      <c r="E204" s="11">
        <v>58.0</v>
      </c>
      <c r="F204" s="12">
        <v>0.26319444444444445</v>
      </c>
      <c r="G204" s="13">
        <v>0.2638888888888889</v>
      </c>
      <c r="H204" s="60" t="s">
        <v>178</v>
      </c>
      <c r="I204" s="12"/>
      <c r="J204" s="12"/>
      <c r="K204" s="11"/>
      <c r="L204" s="18"/>
      <c r="M204" s="38"/>
      <c r="N204" s="34"/>
      <c r="O204" s="12"/>
      <c r="P204" s="13"/>
      <c r="Q204" s="11"/>
      <c r="R204" s="17"/>
      <c r="S204" s="58"/>
      <c r="T204" s="18"/>
      <c r="U204" s="18"/>
      <c r="V204" s="38"/>
      <c r="W204" s="11"/>
      <c r="X204" s="18"/>
      <c r="Y204" s="38"/>
      <c r="Z204" s="11"/>
      <c r="AA204" s="12"/>
      <c r="AB204" s="13"/>
      <c r="AC204" s="59"/>
      <c r="AD204" s="20"/>
      <c r="AE204" s="56"/>
      <c r="AF204" s="18"/>
      <c r="AG204" s="18"/>
      <c r="AH204" s="47"/>
      <c r="AI204" s="11"/>
      <c r="AJ204" s="12"/>
      <c r="AK204" s="38"/>
      <c r="AL204" s="14"/>
      <c r="AM204" s="14"/>
      <c r="AN204" s="53"/>
      <c r="AO204" s="11"/>
      <c r="AP204" s="12"/>
      <c r="AQ204" s="38"/>
      <c r="AR204" s="11"/>
      <c r="AS204" s="12"/>
      <c r="AT204" s="38"/>
      <c r="AU204" s="11"/>
      <c r="AV204" s="12"/>
      <c r="AW204" s="38"/>
      <c r="AX204" s="11"/>
      <c r="AY204" s="12"/>
      <c r="AZ204" s="38"/>
      <c r="BA204" s="34"/>
      <c r="BB204" s="49"/>
      <c r="BC204" s="12"/>
    </row>
    <row r="205" ht="15.75" customHeight="1">
      <c r="A205" s="7"/>
      <c r="B205" s="48"/>
      <c r="C205" s="61">
        <v>593.0</v>
      </c>
      <c r="D205" s="48"/>
      <c r="E205" s="11">
        <v>200.0</v>
      </c>
      <c r="F205" s="12">
        <v>0.28958333333333336</v>
      </c>
      <c r="G205" s="13">
        <v>0.2902777777777778</v>
      </c>
      <c r="H205" s="60" t="s">
        <v>178</v>
      </c>
      <c r="I205" s="12"/>
      <c r="J205" s="12"/>
      <c r="K205" s="11"/>
      <c r="L205" s="18"/>
      <c r="M205" s="38"/>
      <c r="N205" s="34"/>
      <c r="O205" s="17"/>
      <c r="P205" s="58"/>
      <c r="Q205" s="11"/>
      <c r="R205" s="17"/>
      <c r="S205" s="58"/>
      <c r="T205" s="18"/>
      <c r="U205" s="18"/>
      <c r="V205" s="38"/>
      <c r="W205" s="11"/>
      <c r="X205" s="18"/>
      <c r="Y205" s="38"/>
      <c r="Z205" s="11"/>
      <c r="AA205" s="18"/>
      <c r="AB205" s="38"/>
      <c r="AC205" s="59"/>
      <c r="AD205" s="20"/>
      <c r="AE205" s="56"/>
      <c r="AF205" s="18"/>
      <c r="AG205" s="18"/>
      <c r="AH205" s="18"/>
      <c r="AI205" s="11"/>
      <c r="AJ205" s="18"/>
      <c r="AK205" s="38"/>
      <c r="AL205" s="14"/>
      <c r="AM205" s="14"/>
      <c r="AN205" s="53"/>
      <c r="AO205" s="11"/>
      <c r="AP205" s="18"/>
      <c r="AQ205" s="38"/>
      <c r="AR205" s="11"/>
      <c r="AS205" s="18"/>
      <c r="AT205" s="38"/>
      <c r="AU205" s="11"/>
      <c r="AV205" s="18"/>
      <c r="AW205" s="38"/>
      <c r="AX205" s="11"/>
      <c r="AY205" s="18"/>
      <c r="AZ205" s="38"/>
      <c r="BA205" s="34"/>
      <c r="BB205" s="49"/>
      <c r="BC205" s="12"/>
    </row>
    <row r="206" ht="15.75" customHeight="1">
      <c r="A206" s="7"/>
      <c r="B206" s="47"/>
      <c r="C206" s="62"/>
      <c r="D206" s="47"/>
      <c r="E206" s="11"/>
      <c r="F206" s="12"/>
      <c r="G206" s="13"/>
      <c r="H206" s="14"/>
      <c r="I206" s="15"/>
      <c r="J206" s="16"/>
      <c r="K206" s="18"/>
      <c r="L206" s="12"/>
      <c r="M206" s="12"/>
      <c r="N206" s="34"/>
      <c r="O206" s="12"/>
      <c r="P206" s="13"/>
      <c r="Q206" s="11"/>
      <c r="R206" s="12"/>
      <c r="S206" s="13"/>
      <c r="T206" s="18"/>
      <c r="U206" s="12"/>
      <c r="V206" s="13"/>
      <c r="W206" s="11"/>
      <c r="X206" s="12"/>
      <c r="Y206" s="13"/>
      <c r="Z206" s="11"/>
      <c r="AA206" s="12"/>
      <c r="AB206" s="13"/>
      <c r="AC206" s="11"/>
      <c r="AD206" s="18"/>
      <c r="AE206" s="38"/>
      <c r="AF206" s="18"/>
      <c r="AG206" s="18"/>
      <c r="AH206" s="38"/>
      <c r="AI206" s="11"/>
      <c r="AJ206" s="18"/>
      <c r="AK206" s="38"/>
      <c r="AL206" s="11"/>
      <c r="AM206" s="18"/>
      <c r="AN206" s="18"/>
      <c r="AO206" s="11"/>
      <c r="AP206" s="12"/>
      <c r="AQ206" s="13"/>
      <c r="AR206" s="11"/>
      <c r="AS206" s="12"/>
      <c r="AT206" s="13"/>
      <c r="AU206" s="11"/>
      <c r="AV206" s="12"/>
      <c r="AW206" s="13"/>
      <c r="AX206" s="11"/>
      <c r="AY206" s="12"/>
      <c r="AZ206" s="13"/>
      <c r="BA206" s="34"/>
      <c r="BB206" s="49"/>
      <c r="BC206" s="12"/>
    </row>
    <row r="207" ht="15.75" customHeight="1">
      <c r="A207" s="7"/>
      <c r="B207" s="47"/>
      <c r="C207" s="62"/>
      <c r="D207" s="47"/>
      <c r="E207" s="18"/>
      <c r="F207" s="12"/>
      <c r="G207" s="12"/>
      <c r="H207" s="14"/>
      <c r="I207" s="15"/>
      <c r="J207" s="15"/>
      <c r="K207" s="18"/>
      <c r="L207" s="12"/>
      <c r="M207" s="12"/>
      <c r="N207" s="17"/>
      <c r="O207" s="12"/>
      <c r="P207" s="12"/>
      <c r="Q207" s="18"/>
      <c r="R207" s="12"/>
      <c r="S207" s="12"/>
      <c r="T207" s="18"/>
      <c r="U207" s="12"/>
      <c r="V207" s="12"/>
      <c r="W207" s="18"/>
      <c r="X207" s="12"/>
      <c r="Y207" s="12"/>
      <c r="Z207" s="18"/>
      <c r="AA207" s="12"/>
      <c r="AB207" s="12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2"/>
      <c r="AQ207" s="12"/>
      <c r="AR207" s="18"/>
      <c r="AS207" s="12"/>
      <c r="AT207" s="12"/>
      <c r="AU207" s="18"/>
      <c r="AV207" s="12"/>
      <c r="AW207" s="12"/>
      <c r="AX207" s="18"/>
      <c r="AY207" s="12"/>
      <c r="AZ207" s="12"/>
      <c r="BA207" s="17"/>
      <c r="BB207" s="49"/>
      <c r="BC207" s="12"/>
    </row>
    <row r="208" ht="15.75" customHeight="1">
      <c r="A208" s="7"/>
      <c r="B208" s="47"/>
      <c r="C208" s="62"/>
      <c r="D208" s="47"/>
      <c r="E208" s="18"/>
      <c r="F208" s="12"/>
      <c r="G208" s="12"/>
      <c r="H208" s="14"/>
      <c r="I208" s="15"/>
      <c r="J208" s="15"/>
      <c r="K208" s="18"/>
      <c r="L208" s="12"/>
      <c r="M208" s="12"/>
      <c r="N208" s="17"/>
      <c r="O208" s="12"/>
      <c r="P208" s="12"/>
      <c r="Q208" s="18"/>
      <c r="R208" s="12"/>
      <c r="S208" s="12"/>
      <c r="T208" s="18"/>
      <c r="U208" s="12"/>
      <c r="V208" s="12"/>
      <c r="W208" s="18"/>
      <c r="X208" s="12"/>
      <c r="Y208" s="12"/>
      <c r="Z208" s="18"/>
      <c r="AA208" s="12"/>
      <c r="AB208" s="12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2"/>
      <c r="AQ208" s="12"/>
      <c r="AR208" s="18"/>
      <c r="AS208" s="12"/>
      <c r="AT208" s="12"/>
      <c r="AU208" s="18"/>
      <c r="AV208" s="12"/>
      <c r="AW208" s="12"/>
      <c r="AX208" s="18"/>
      <c r="AY208" s="12"/>
      <c r="AZ208" s="12"/>
      <c r="BA208" s="17"/>
      <c r="BB208" s="49"/>
      <c r="BC208" s="12"/>
    </row>
    <row r="209" ht="15.75" customHeight="1">
      <c r="A209" s="7"/>
      <c r="B209" s="47"/>
      <c r="C209" s="62"/>
      <c r="D209" s="47"/>
      <c r="E209" s="18"/>
      <c r="F209" s="12"/>
      <c r="G209" s="12"/>
      <c r="H209" s="14"/>
      <c r="I209" s="15"/>
      <c r="J209" s="15"/>
      <c r="K209" s="18"/>
      <c r="L209" s="12"/>
      <c r="M209" s="12"/>
      <c r="N209" s="17"/>
      <c r="O209" s="12"/>
      <c r="P209" s="12"/>
      <c r="Q209" s="18"/>
      <c r="R209" s="12"/>
      <c r="S209" s="12"/>
      <c r="T209" s="18"/>
      <c r="U209" s="12"/>
      <c r="V209" s="12"/>
      <c r="W209" s="18"/>
      <c r="X209" s="12"/>
      <c r="Y209" s="12"/>
      <c r="Z209" s="18"/>
      <c r="AA209" s="12"/>
      <c r="AB209" s="12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2"/>
      <c r="AQ209" s="12"/>
      <c r="AR209" s="18"/>
      <c r="AS209" s="12"/>
      <c r="AT209" s="12"/>
      <c r="AU209" s="18"/>
      <c r="AV209" s="12"/>
      <c r="AW209" s="12"/>
      <c r="AX209" s="18"/>
      <c r="AY209" s="12"/>
      <c r="AZ209" s="12"/>
      <c r="BA209" s="17"/>
      <c r="BB209" s="49"/>
      <c r="BC209" s="12"/>
    </row>
    <row r="210" ht="15.75" customHeight="1">
      <c r="A210" s="7"/>
      <c r="B210" s="47"/>
      <c r="C210" s="62"/>
      <c r="D210" s="47"/>
      <c r="E210" s="18"/>
      <c r="F210" s="12"/>
      <c r="G210" s="12"/>
      <c r="H210" s="14"/>
      <c r="I210" s="15"/>
      <c r="J210" s="15"/>
      <c r="K210" s="18"/>
      <c r="L210" s="12"/>
      <c r="M210" s="12"/>
      <c r="N210" s="17"/>
      <c r="O210" s="12"/>
      <c r="P210" s="12"/>
      <c r="Q210" s="18"/>
      <c r="R210" s="12"/>
      <c r="S210" s="12"/>
      <c r="T210" s="18"/>
      <c r="U210" s="12"/>
      <c r="V210" s="12"/>
      <c r="W210" s="18"/>
      <c r="X210" s="12"/>
      <c r="Y210" s="12"/>
      <c r="Z210" s="18"/>
      <c r="AA210" s="12"/>
      <c r="AB210" s="12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2"/>
      <c r="AQ210" s="12"/>
      <c r="AR210" s="18"/>
      <c r="AS210" s="12"/>
      <c r="AT210" s="12"/>
      <c r="AU210" s="18"/>
      <c r="AV210" s="12"/>
      <c r="AW210" s="12"/>
      <c r="AX210" s="18"/>
      <c r="AY210" s="12"/>
      <c r="AZ210" s="12"/>
      <c r="BA210" s="17"/>
      <c r="BB210" s="49"/>
      <c r="BC210" s="12"/>
    </row>
    <row r="211" ht="15.75" customHeight="1">
      <c r="A211" s="7"/>
      <c r="B211" s="47"/>
      <c r="C211" s="62"/>
      <c r="D211" s="47"/>
      <c r="E211" s="18"/>
      <c r="F211" s="12"/>
      <c r="G211" s="12"/>
      <c r="H211" s="14"/>
      <c r="I211" s="15"/>
      <c r="J211" s="15"/>
      <c r="K211" s="18"/>
      <c r="L211" s="12"/>
      <c r="M211" s="12"/>
      <c r="N211" s="17"/>
      <c r="O211" s="12"/>
      <c r="P211" s="12"/>
      <c r="Q211" s="18"/>
      <c r="R211" s="12"/>
      <c r="S211" s="12"/>
      <c r="T211" s="18"/>
      <c r="U211" s="12"/>
      <c r="V211" s="12"/>
      <c r="W211" s="18"/>
      <c r="X211" s="12"/>
      <c r="Y211" s="12"/>
      <c r="Z211" s="18"/>
      <c r="AA211" s="12"/>
      <c r="AB211" s="12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2"/>
      <c r="AQ211" s="12"/>
      <c r="AR211" s="18"/>
      <c r="AS211" s="12"/>
      <c r="AT211" s="12"/>
      <c r="AU211" s="18"/>
      <c r="AV211" s="12"/>
      <c r="AW211" s="12"/>
      <c r="AX211" s="18"/>
      <c r="AY211" s="12"/>
      <c r="AZ211" s="12"/>
      <c r="BA211" s="17"/>
      <c r="BB211" s="49"/>
      <c r="BC211" s="12"/>
    </row>
    <row r="212" ht="15.75" customHeight="1">
      <c r="A212" s="7"/>
      <c r="B212" s="47"/>
      <c r="C212" s="62"/>
      <c r="D212" s="47"/>
      <c r="E212" s="18"/>
      <c r="F212" s="12"/>
      <c r="G212" s="12"/>
      <c r="H212" s="14"/>
      <c r="I212" s="15"/>
      <c r="J212" s="15"/>
      <c r="K212" s="18"/>
      <c r="L212" s="12"/>
      <c r="M212" s="12"/>
      <c r="N212" s="17"/>
      <c r="O212" s="12"/>
      <c r="P212" s="12"/>
      <c r="Q212" s="18"/>
      <c r="R212" s="12"/>
      <c r="S212" s="12"/>
      <c r="T212" s="18"/>
      <c r="U212" s="12"/>
      <c r="V212" s="12"/>
      <c r="W212" s="18"/>
      <c r="X212" s="12"/>
      <c r="Y212" s="12"/>
      <c r="Z212" s="18"/>
      <c r="AA212" s="12"/>
      <c r="AB212" s="12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2"/>
      <c r="AQ212" s="12"/>
      <c r="AR212" s="18"/>
      <c r="AS212" s="12"/>
      <c r="AT212" s="12"/>
      <c r="AU212" s="18"/>
      <c r="AV212" s="12"/>
      <c r="AW212" s="12"/>
      <c r="AX212" s="18"/>
      <c r="AY212" s="12"/>
      <c r="AZ212" s="12"/>
      <c r="BA212" s="17"/>
      <c r="BB212" s="49"/>
      <c r="BC212" s="12"/>
    </row>
    <row r="213" ht="15.75" customHeight="1">
      <c r="A213" s="7"/>
      <c r="B213" s="47"/>
      <c r="C213" s="62"/>
      <c r="D213" s="47"/>
      <c r="E213" s="18"/>
      <c r="F213" s="12"/>
      <c r="G213" s="12"/>
      <c r="H213" s="14"/>
      <c r="I213" s="15"/>
      <c r="J213" s="15"/>
      <c r="K213" s="18"/>
      <c r="L213" s="12"/>
      <c r="M213" s="12"/>
      <c r="N213" s="17"/>
      <c r="O213" s="12"/>
      <c r="P213" s="12"/>
      <c r="Q213" s="18"/>
      <c r="R213" s="12"/>
      <c r="S213" s="12"/>
      <c r="T213" s="18"/>
      <c r="U213" s="12"/>
      <c r="V213" s="12"/>
      <c r="W213" s="18"/>
      <c r="X213" s="12"/>
      <c r="Y213" s="12"/>
      <c r="Z213" s="18"/>
      <c r="AA213" s="12"/>
      <c r="AB213" s="12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2"/>
      <c r="AQ213" s="12"/>
      <c r="AR213" s="18"/>
      <c r="AS213" s="12"/>
      <c r="AT213" s="12"/>
      <c r="AU213" s="18"/>
      <c r="AV213" s="12"/>
      <c r="AW213" s="12"/>
      <c r="AX213" s="18"/>
      <c r="AY213" s="12"/>
      <c r="AZ213" s="12"/>
      <c r="BA213" s="17"/>
      <c r="BB213" s="49"/>
      <c r="BC213" s="12"/>
    </row>
    <row r="214" ht="15.75" customHeight="1">
      <c r="A214" s="7"/>
      <c r="B214" s="47"/>
      <c r="C214" s="62"/>
      <c r="D214" s="47"/>
      <c r="E214" s="18"/>
      <c r="F214" s="12"/>
      <c r="G214" s="12"/>
      <c r="H214" s="14"/>
      <c r="I214" s="15"/>
      <c r="J214" s="15"/>
      <c r="K214" s="18"/>
      <c r="L214" s="12"/>
      <c r="M214" s="12"/>
      <c r="N214" s="17"/>
      <c r="O214" s="12"/>
      <c r="P214" s="12"/>
      <c r="Q214" s="18"/>
      <c r="R214" s="12"/>
      <c r="S214" s="12"/>
      <c r="T214" s="18"/>
      <c r="U214" s="12"/>
      <c r="V214" s="12"/>
      <c r="W214" s="18"/>
      <c r="X214" s="12"/>
      <c r="Y214" s="12"/>
      <c r="Z214" s="18"/>
      <c r="AA214" s="12"/>
      <c r="AB214" s="12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2"/>
      <c r="AQ214" s="12"/>
      <c r="AR214" s="18"/>
      <c r="AS214" s="12"/>
      <c r="AT214" s="12"/>
      <c r="AU214" s="18"/>
      <c r="AV214" s="12"/>
      <c r="AW214" s="12"/>
      <c r="AX214" s="18"/>
      <c r="AY214" s="12"/>
      <c r="AZ214" s="12"/>
      <c r="BA214" s="17"/>
      <c r="BB214" s="49"/>
      <c r="BC214" s="12"/>
    </row>
    <row r="215" ht="15.75" customHeight="1">
      <c r="A215" s="7"/>
      <c r="B215" s="47"/>
      <c r="C215" s="62"/>
      <c r="D215" s="47"/>
      <c r="E215" s="18"/>
      <c r="F215" s="12"/>
      <c r="G215" s="12"/>
      <c r="H215" s="14"/>
      <c r="I215" s="15"/>
      <c r="J215" s="15"/>
      <c r="K215" s="18"/>
      <c r="L215" s="12"/>
      <c r="M215" s="12"/>
      <c r="N215" s="17"/>
      <c r="O215" s="12"/>
      <c r="P215" s="12"/>
      <c r="Q215" s="18"/>
      <c r="R215" s="12"/>
      <c r="S215" s="12"/>
      <c r="T215" s="18"/>
      <c r="U215" s="12"/>
      <c r="V215" s="12"/>
      <c r="W215" s="18"/>
      <c r="X215" s="12"/>
      <c r="Y215" s="12"/>
      <c r="Z215" s="18"/>
      <c r="AA215" s="12"/>
      <c r="AB215" s="12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2"/>
      <c r="AQ215" s="12"/>
      <c r="AR215" s="18"/>
      <c r="AS215" s="12"/>
      <c r="AT215" s="12"/>
      <c r="AU215" s="18"/>
      <c r="AV215" s="12"/>
      <c r="AW215" s="12"/>
      <c r="AX215" s="18"/>
      <c r="AY215" s="12"/>
      <c r="AZ215" s="12"/>
      <c r="BA215" s="17"/>
      <c r="BB215" s="49"/>
      <c r="BC215" s="12"/>
    </row>
    <row r="216" ht="15.75" customHeight="1">
      <c r="A216" s="7"/>
      <c r="B216" s="47"/>
      <c r="C216" s="62"/>
      <c r="D216" s="47"/>
      <c r="E216" s="18"/>
      <c r="F216" s="12"/>
      <c r="G216" s="12"/>
      <c r="H216" s="14"/>
      <c r="I216" s="15"/>
      <c r="J216" s="15"/>
      <c r="K216" s="18"/>
      <c r="L216" s="12"/>
      <c r="M216" s="12"/>
      <c r="N216" s="17"/>
      <c r="O216" s="12"/>
      <c r="P216" s="12"/>
      <c r="Q216" s="18"/>
      <c r="R216" s="12"/>
      <c r="S216" s="12"/>
      <c r="T216" s="18"/>
      <c r="U216" s="12"/>
      <c r="V216" s="12"/>
      <c r="W216" s="18"/>
      <c r="X216" s="12"/>
      <c r="Y216" s="12"/>
      <c r="Z216" s="18"/>
      <c r="AA216" s="12"/>
      <c r="AB216" s="12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2"/>
      <c r="AQ216" s="12"/>
      <c r="AR216" s="18"/>
      <c r="AS216" s="12"/>
      <c r="AT216" s="12"/>
      <c r="AU216" s="18"/>
      <c r="AV216" s="12"/>
      <c r="AW216" s="12"/>
      <c r="AX216" s="18"/>
      <c r="AY216" s="12"/>
      <c r="AZ216" s="12"/>
      <c r="BA216" s="17"/>
      <c r="BB216" s="49"/>
      <c r="BC216" s="1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B$206">
    <sortState ref="A1:BB206">
      <sortCondition ref="BB1:BB206"/>
      <sortCondition ref="E1:E206"/>
      <sortCondition ref="H1:H206"/>
      <sortCondition ref="K1:K206"/>
      <sortCondition ref="N1:N206"/>
      <sortCondition ref="Q1:Q206"/>
      <sortCondition ref="T1:T206"/>
      <sortCondition ref="W1:W206"/>
      <sortCondition ref="Z1:Z206"/>
      <sortCondition ref="AC1:AC206"/>
      <sortCondition ref="AF1:AF206"/>
      <sortCondition ref="AI1:AI206"/>
      <sortCondition ref="AL1:AL206"/>
      <sortCondition ref="AO1:AO206"/>
      <sortCondition ref="AR1:AR206"/>
      <sortCondition ref="AU1:AU206"/>
      <sortCondition ref="AX1:AX206"/>
      <sortCondition ref="BA1:BA20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5"/>
    <col customWidth="1" min="2" max="2" width="7.25"/>
    <col customWidth="1" min="3" max="3" width="7.75"/>
    <col customWidth="1" min="4" max="5" width="6.88"/>
    <col customWidth="1" min="6" max="7" width="7.75"/>
    <col customWidth="1" min="8" max="8" width="6.88"/>
    <col customWidth="1" min="9" max="9" width="7.75"/>
    <col customWidth="1" min="10" max="11" width="6.88"/>
    <col customWidth="1" min="12" max="12" width="7.75"/>
    <col customWidth="1" min="13" max="14" width="6.88"/>
    <col customWidth="1" min="15" max="15" width="7.75"/>
    <col customWidth="1" min="16" max="17" width="6.88"/>
    <col customWidth="1" min="18" max="18" width="7.75"/>
    <col customWidth="1" min="19" max="20" width="6.88"/>
    <col customWidth="1" min="21" max="21" width="7.75"/>
    <col customWidth="1" min="22" max="23" width="6.88"/>
    <col customWidth="1" min="24" max="24" width="7.75"/>
    <col customWidth="1" min="25" max="26" width="6.88"/>
    <col customWidth="1" min="27" max="27" width="7.75"/>
    <col customWidth="1" min="28" max="29" width="6.88"/>
    <col customWidth="1" min="30" max="31" width="7.75"/>
    <col customWidth="1" min="32" max="32" width="7.88"/>
    <col customWidth="1" min="33" max="33" width="7.75"/>
    <col customWidth="1" min="34" max="34" width="7.5"/>
    <col customWidth="1" min="35" max="35" width="7.63"/>
    <col customWidth="1" min="36" max="36" width="7.75"/>
    <col customWidth="1" min="37" max="37" width="7.5"/>
    <col customWidth="1" min="38" max="38" width="7.63"/>
    <col customWidth="1" min="39" max="39" width="7.75"/>
    <col customWidth="1" min="40" max="40" width="8.13"/>
    <col customWidth="1" min="41" max="41" width="7.63"/>
    <col customWidth="1" min="42" max="42" width="7.75"/>
    <col customWidth="1" min="43" max="43" width="7.88"/>
    <col customWidth="1" min="44" max="44" width="7.63"/>
    <col customWidth="1" min="45" max="45" width="7.75"/>
    <col customWidth="1" min="46" max="47" width="7.63"/>
    <col customWidth="1" min="48" max="48" width="7.75"/>
    <col customWidth="1" min="49" max="50" width="7.63"/>
    <col customWidth="1" min="51" max="51" width="8.63"/>
    <col customWidth="1" min="52" max="53" width="8.25"/>
  </cols>
  <sheetData>
    <row r="1" ht="15.75" customHeight="1">
      <c r="A1" s="1"/>
      <c r="B1" s="1" t="s">
        <v>1</v>
      </c>
      <c r="C1" s="3" t="s">
        <v>3</v>
      </c>
      <c r="D1" s="1" t="s">
        <v>4</v>
      </c>
      <c r="E1" s="4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1" t="s">
        <v>10</v>
      </c>
      <c r="K1" s="4" t="s">
        <v>11</v>
      </c>
      <c r="L1" s="3" t="s">
        <v>12</v>
      </c>
      <c r="M1" s="1" t="s">
        <v>13</v>
      </c>
      <c r="N1" s="1" t="s">
        <v>14</v>
      </c>
      <c r="O1" s="3" t="s">
        <v>15</v>
      </c>
      <c r="P1" s="1" t="s">
        <v>16</v>
      </c>
      <c r="Q1" s="4" t="s">
        <v>17</v>
      </c>
      <c r="R1" s="1" t="s">
        <v>18</v>
      </c>
      <c r="S1" s="1" t="s">
        <v>19</v>
      </c>
      <c r="T1" s="4" t="s">
        <v>20</v>
      </c>
      <c r="U1" s="3" t="s">
        <v>21</v>
      </c>
      <c r="V1" s="1" t="s">
        <v>22</v>
      </c>
      <c r="W1" s="4" t="s">
        <v>23</v>
      </c>
      <c r="X1" s="3" t="s">
        <v>24</v>
      </c>
      <c r="Y1" s="1" t="s">
        <v>25</v>
      </c>
      <c r="Z1" s="4" t="s">
        <v>26</v>
      </c>
      <c r="AA1" s="3" t="s">
        <v>27</v>
      </c>
      <c r="AB1" s="1" t="s">
        <v>28</v>
      </c>
      <c r="AC1" s="4" t="s">
        <v>29</v>
      </c>
      <c r="AD1" s="3" t="s">
        <v>30</v>
      </c>
      <c r="AE1" s="1" t="s">
        <v>31</v>
      </c>
      <c r="AF1" s="4" t="s">
        <v>32</v>
      </c>
      <c r="AG1" s="3" t="s">
        <v>33</v>
      </c>
      <c r="AH1" s="1" t="s">
        <v>34</v>
      </c>
      <c r="AI1" s="4" t="s">
        <v>35</v>
      </c>
      <c r="AJ1" s="3" t="s">
        <v>36</v>
      </c>
      <c r="AK1" s="1" t="s">
        <v>37</v>
      </c>
      <c r="AL1" s="4" t="s">
        <v>38</v>
      </c>
      <c r="AM1" s="3" t="s">
        <v>39</v>
      </c>
      <c r="AN1" s="1" t="s">
        <v>40</v>
      </c>
      <c r="AO1" s="4" t="s">
        <v>41</v>
      </c>
      <c r="AP1" s="3" t="s">
        <v>42</v>
      </c>
      <c r="AQ1" s="1" t="s">
        <v>43</v>
      </c>
      <c r="AR1" s="4" t="s">
        <v>44</v>
      </c>
      <c r="AS1" s="3" t="s">
        <v>45</v>
      </c>
      <c r="AT1" s="1" t="s">
        <v>46</v>
      </c>
      <c r="AU1" s="4" t="s">
        <v>47</v>
      </c>
      <c r="AV1" s="3" t="s">
        <v>48</v>
      </c>
      <c r="AW1" s="1" t="s">
        <v>49</v>
      </c>
      <c r="AX1" s="4" t="s">
        <v>50</v>
      </c>
      <c r="AY1" s="3" t="s">
        <v>51</v>
      </c>
      <c r="AZ1" s="1" t="s">
        <v>52</v>
      </c>
      <c r="BA1" s="6"/>
    </row>
    <row r="2" ht="15.75" customHeight="1">
      <c r="A2" s="7"/>
      <c r="B2" s="47">
        <v>537.0</v>
      </c>
      <c r="C2" s="11">
        <v>1.0</v>
      </c>
      <c r="D2" s="12">
        <v>0.2513888888888889</v>
      </c>
      <c r="E2" s="13">
        <v>0.2520833333333333</v>
      </c>
      <c r="F2" s="14">
        <v>9.0</v>
      </c>
      <c r="G2" s="15">
        <v>0.29444444444444445</v>
      </c>
      <c r="H2" s="16">
        <v>0.29444444444444445</v>
      </c>
      <c r="I2" s="11">
        <v>3.0</v>
      </c>
      <c r="J2" s="12">
        <v>0.34097222222222223</v>
      </c>
      <c r="K2" s="13">
        <v>0.3423611111111111</v>
      </c>
      <c r="L2" s="17">
        <v>1.0</v>
      </c>
      <c r="M2" s="12">
        <v>0.3951388888888889</v>
      </c>
      <c r="N2" s="12">
        <v>0.3958333333333333</v>
      </c>
      <c r="O2" s="11">
        <v>1.0</v>
      </c>
      <c r="P2" s="12">
        <v>0.43680555555555556</v>
      </c>
      <c r="Q2" s="13">
        <v>0.43680555555555556</v>
      </c>
      <c r="R2" s="18">
        <v>1.0</v>
      </c>
      <c r="S2" s="12">
        <v>0.47708333333333336</v>
      </c>
      <c r="T2" s="13">
        <v>0.47847222222222224</v>
      </c>
      <c r="U2" s="11">
        <v>1.0</v>
      </c>
      <c r="V2" s="12">
        <v>0.5097222222222222</v>
      </c>
      <c r="W2" s="13">
        <v>0.5111111111111111</v>
      </c>
      <c r="X2" s="11">
        <v>1.0</v>
      </c>
      <c r="Y2" s="19"/>
      <c r="Z2" s="13">
        <v>0.5743055555555555</v>
      </c>
      <c r="AA2" s="20">
        <v>1.0</v>
      </c>
      <c r="AB2" s="21">
        <v>0.6152777777777778</v>
      </c>
      <c r="AC2" s="22">
        <v>0.6166666666666667</v>
      </c>
      <c r="AD2" s="18">
        <v>1.0</v>
      </c>
      <c r="AE2" s="12">
        <v>0.6791666666666667</v>
      </c>
      <c r="AF2" s="23">
        <v>0.6833333333333333</v>
      </c>
      <c r="AG2" s="11">
        <v>1.0</v>
      </c>
      <c r="AH2" s="12">
        <v>0.7277777777777777</v>
      </c>
      <c r="AI2" s="13">
        <v>0.7284722222222222</v>
      </c>
      <c r="AJ2" s="14">
        <v>1.0</v>
      </c>
      <c r="AK2" s="15">
        <v>0.7868055555555555</v>
      </c>
      <c r="AL2" s="16">
        <v>0.7895833333333333</v>
      </c>
      <c r="AM2" s="11">
        <v>1.0</v>
      </c>
      <c r="AN2" s="12">
        <v>0.8229166666666666</v>
      </c>
      <c r="AO2" s="13">
        <v>0.8270833333333333</v>
      </c>
      <c r="AP2" s="11">
        <v>1.0</v>
      </c>
      <c r="AQ2" s="12">
        <v>0.8736111111111111</v>
      </c>
      <c r="AR2" s="13">
        <v>0.875</v>
      </c>
      <c r="AS2" s="11">
        <v>1.0</v>
      </c>
      <c r="AT2" s="12">
        <v>0.9458333333333333</v>
      </c>
      <c r="AU2" s="13">
        <v>0.95</v>
      </c>
      <c r="AV2" s="11">
        <v>1.0</v>
      </c>
      <c r="AW2" s="12">
        <v>0.004861111111111111</v>
      </c>
      <c r="AX2" s="13">
        <v>0.007638888888888889</v>
      </c>
      <c r="AY2" s="34"/>
      <c r="AZ2" s="12"/>
      <c r="BA2" s="12"/>
    </row>
    <row r="3" ht="15.75" customHeight="1">
      <c r="A3" s="7"/>
      <c r="B3" s="47">
        <v>596.0</v>
      </c>
      <c r="C3" s="11">
        <v>3.0</v>
      </c>
      <c r="D3" s="12">
        <v>0.2513888888888889</v>
      </c>
      <c r="E3" s="13">
        <v>0.2520833333333333</v>
      </c>
      <c r="F3" s="14">
        <v>1.0</v>
      </c>
      <c r="G3" s="15">
        <v>0.29097222222222224</v>
      </c>
      <c r="H3" s="16">
        <v>0.2916666666666667</v>
      </c>
      <c r="I3" s="11">
        <v>2.0</v>
      </c>
      <c r="J3" s="12">
        <v>0.34097222222222223</v>
      </c>
      <c r="K3" s="13">
        <v>0.34305555555555556</v>
      </c>
      <c r="L3" s="17">
        <v>2.0</v>
      </c>
      <c r="M3" s="12">
        <v>0.40069444444444446</v>
      </c>
      <c r="N3" s="12">
        <v>0.4013888888888889</v>
      </c>
      <c r="O3" s="11">
        <v>2.0</v>
      </c>
      <c r="P3" s="12">
        <v>0.44722222222222224</v>
      </c>
      <c r="Q3" s="13">
        <v>0.44930555555555557</v>
      </c>
      <c r="R3" s="18">
        <v>2.0</v>
      </c>
      <c r="S3" s="12">
        <v>0.5076388888888889</v>
      </c>
      <c r="T3" s="13">
        <v>0.5090277777777777</v>
      </c>
      <c r="U3" s="11">
        <v>2.0</v>
      </c>
      <c r="V3" s="12">
        <v>0.5409722222222222</v>
      </c>
      <c r="W3" s="13">
        <v>0.5430555555555555</v>
      </c>
      <c r="X3" s="11">
        <v>2.0</v>
      </c>
      <c r="Y3" s="26"/>
      <c r="Z3" s="13">
        <v>0.6229166666666667</v>
      </c>
      <c r="AA3" s="20">
        <v>2.0</v>
      </c>
      <c r="AB3" s="21">
        <v>0.6673611111111111</v>
      </c>
      <c r="AC3" s="22">
        <v>0.6701388888888888</v>
      </c>
      <c r="AD3" s="18">
        <v>2.0</v>
      </c>
      <c r="AE3" s="12">
        <v>0.7395833333333334</v>
      </c>
      <c r="AF3" s="23">
        <v>0.7458333333333333</v>
      </c>
      <c r="AG3" s="11">
        <v>2.0</v>
      </c>
      <c r="AH3" s="12">
        <v>0.8</v>
      </c>
      <c r="AI3" s="13">
        <v>0.8013888888888889</v>
      </c>
      <c r="AJ3" s="14">
        <v>2.0</v>
      </c>
      <c r="AK3" s="15">
        <v>0.8715277777777778</v>
      </c>
      <c r="AL3" s="16">
        <v>0.8736111111111111</v>
      </c>
      <c r="AM3" s="11">
        <v>2.0</v>
      </c>
      <c r="AN3" s="12">
        <v>0.9152777777777777</v>
      </c>
      <c r="AO3" s="13">
        <v>0.9201388888888888</v>
      </c>
      <c r="AP3" s="11">
        <v>2.0</v>
      </c>
      <c r="AQ3" s="12">
        <v>0.9743055555555555</v>
      </c>
      <c r="AR3" s="13">
        <v>0.9777777777777777</v>
      </c>
      <c r="AS3" s="11">
        <v>2.0</v>
      </c>
      <c r="AT3" s="12">
        <v>0.05694444444444444</v>
      </c>
      <c r="AU3" s="13">
        <v>0.06041666666666667</v>
      </c>
      <c r="AV3" s="11">
        <v>2.0</v>
      </c>
      <c r="AW3" s="12">
        <v>0.11875</v>
      </c>
      <c r="AX3" s="13">
        <v>0.11944444444444445</v>
      </c>
      <c r="AY3" s="34"/>
      <c r="AZ3" s="12"/>
      <c r="BA3" s="12"/>
    </row>
    <row r="4" ht="15.75" customHeight="1">
      <c r="A4" s="7"/>
      <c r="B4" s="47">
        <v>513.0</v>
      </c>
      <c r="C4" s="11">
        <v>9.0</v>
      </c>
      <c r="D4" s="12">
        <v>0.2520833333333333</v>
      </c>
      <c r="E4" s="13">
        <v>0.25277777777777777</v>
      </c>
      <c r="F4" s="14">
        <v>7.0</v>
      </c>
      <c r="G4" s="15">
        <v>0.2923611111111111</v>
      </c>
      <c r="H4" s="16">
        <v>0.2923611111111111</v>
      </c>
      <c r="I4" s="11">
        <v>9.0</v>
      </c>
      <c r="J4" s="12">
        <v>0.3458333333333333</v>
      </c>
      <c r="K4" s="13">
        <v>0.34791666666666665</v>
      </c>
      <c r="L4" s="17">
        <v>8.0</v>
      </c>
      <c r="M4" s="12">
        <v>0.4166666666666667</v>
      </c>
      <c r="N4" s="12">
        <v>0.41875</v>
      </c>
      <c r="O4" s="11">
        <v>8.0</v>
      </c>
      <c r="P4" s="12">
        <v>0.47291666666666665</v>
      </c>
      <c r="Q4" s="13">
        <v>0.47430555555555554</v>
      </c>
      <c r="R4" s="18">
        <v>10.0</v>
      </c>
      <c r="S4" s="12">
        <v>0.5305555555555556</v>
      </c>
      <c r="T4" s="13">
        <v>0.5326388888888889</v>
      </c>
      <c r="U4" s="11">
        <v>12.0</v>
      </c>
      <c r="V4" s="12">
        <v>0.5743055555555555</v>
      </c>
      <c r="W4" s="13">
        <v>0.5777777777777777</v>
      </c>
      <c r="X4" s="11">
        <v>9.0</v>
      </c>
      <c r="Y4" s="19"/>
      <c r="Z4" s="13">
        <v>0.6590277777777778</v>
      </c>
      <c r="AA4" s="20">
        <v>8.0</v>
      </c>
      <c r="AB4" s="21">
        <v>0.70625</v>
      </c>
      <c r="AC4" s="22">
        <v>0.7097222222222223</v>
      </c>
      <c r="AD4" s="18">
        <v>8.0</v>
      </c>
      <c r="AE4" s="12">
        <v>0.7833333333333333</v>
      </c>
      <c r="AF4" s="23">
        <v>0.7868055555555555</v>
      </c>
      <c r="AG4" s="11">
        <v>7.0</v>
      </c>
      <c r="AH4" s="12">
        <v>0.8409722222222222</v>
      </c>
      <c r="AI4" s="13">
        <v>0.84375</v>
      </c>
      <c r="AJ4" s="14">
        <v>5.0</v>
      </c>
      <c r="AK4" s="15">
        <v>0.9118055555555555</v>
      </c>
      <c r="AL4" s="16">
        <v>0.9173611111111111</v>
      </c>
      <c r="AM4" s="11">
        <v>6.0</v>
      </c>
      <c r="AN4" s="12">
        <v>0.9631944444444445</v>
      </c>
      <c r="AO4" s="13">
        <v>0.9666666666666667</v>
      </c>
      <c r="AP4" s="11">
        <v>4.0</v>
      </c>
      <c r="AQ4" s="12">
        <v>0.02013888888888889</v>
      </c>
      <c r="AR4" s="13">
        <v>0.02361111111111111</v>
      </c>
      <c r="AS4" s="11">
        <v>4.0</v>
      </c>
      <c r="AT4" s="12">
        <v>0.10625</v>
      </c>
      <c r="AU4" s="13">
        <v>0.11041666666666666</v>
      </c>
      <c r="AV4" s="11">
        <v>3.0</v>
      </c>
      <c r="AW4" s="12">
        <v>0.1638888888888889</v>
      </c>
      <c r="AX4" s="13">
        <v>0.16458333333333333</v>
      </c>
      <c r="AY4" s="34"/>
      <c r="AZ4" s="12"/>
      <c r="BA4" s="12"/>
    </row>
    <row r="5" ht="15.75" customHeight="1">
      <c r="A5" s="7"/>
      <c r="B5" s="47">
        <v>620.0</v>
      </c>
      <c r="C5" s="11">
        <v>10.0</v>
      </c>
      <c r="D5" s="12">
        <v>0.2520833333333333</v>
      </c>
      <c r="E5" s="13">
        <v>0.25277777777777777</v>
      </c>
      <c r="F5" s="14">
        <v>8.0</v>
      </c>
      <c r="G5" s="15">
        <v>0.2923611111111111</v>
      </c>
      <c r="H5" s="16">
        <v>0.2923611111111111</v>
      </c>
      <c r="I5" s="11">
        <v>6.0</v>
      </c>
      <c r="J5" s="12">
        <v>0.34444444444444444</v>
      </c>
      <c r="K5" s="13">
        <v>0.34652777777777777</v>
      </c>
      <c r="L5" s="17">
        <v>7.0</v>
      </c>
      <c r="M5" s="12">
        <v>0.41597222222222224</v>
      </c>
      <c r="N5" s="12">
        <v>0.4166666666666667</v>
      </c>
      <c r="O5" s="11">
        <v>7.0</v>
      </c>
      <c r="P5" s="12">
        <v>0.4708333333333333</v>
      </c>
      <c r="Q5" s="13">
        <v>0.4722222222222222</v>
      </c>
      <c r="R5" s="18">
        <v>7.0</v>
      </c>
      <c r="S5" s="12">
        <v>0.5194444444444445</v>
      </c>
      <c r="T5" s="13">
        <v>0.5208333333333334</v>
      </c>
      <c r="U5" s="11">
        <v>7.0</v>
      </c>
      <c r="V5" s="12">
        <v>0.5527777777777778</v>
      </c>
      <c r="W5" s="13">
        <v>0.5576388888888889</v>
      </c>
      <c r="X5" s="11">
        <v>6.0</v>
      </c>
      <c r="Y5" s="19"/>
      <c r="Z5" s="13">
        <v>0.6430555555555556</v>
      </c>
      <c r="AA5" s="20">
        <v>5.0</v>
      </c>
      <c r="AB5" s="21">
        <v>0.6916666666666667</v>
      </c>
      <c r="AC5" s="22">
        <v>0.69375</v>
      </c>
      <c r="AD5" s="18">
        <v>5.0</v>
      </c>
      <c r="AE5" s="12">
        <v>0.7673611111111112</v>
      </c>
      <c r="AF5" s="23">
        <v>0.7701388888888889</v>
      </c>
      <c r="AG5" s="11">
        <v>4.0</v>
      </c>
      <c r="AH5" s="12">
        <v>0.8256944444444444</v>
      </c>
      <c r="AI5" s="13">
        <v>0.8270833333333333</v>
      </c>
      <c r="AJ5" s="14">
        <v>4.0</v>
      </c>
      <c r="AK5" s="15">
        <v>0.9027777777777778</v>
      </c>
      <c r="AL5" s="16">
        <v>0.9048611111111111</v>
      </c>
      <c r="AM5" s="11">
        <v>3.0</v>
      </c>
      <c r="AN5" s="12">
        <v>0.9465277777777777</v>
      </c>
      <c r="AO5" s="13">
        <v>0.9506944444444444</v>
      </c>
      <c r="AP5" s="11">
        <v>3.0</v>
      </c>
      <c r="AQ5" s="12">
        <v>0.007638888888888889</v>
      </c>
      <c r="AR5" s="13">
        <v>0.011111111111111112</v>
      </c>
      <c r="AS5" s="11">
        <v>3.0</v>
      </c>
      <c r="AT5" s="12">
        <v>0.10277777777777777</v>
      </c>
      <c r="AU5" s="13">
        <v>0.10555555555555556</v>
      </c>
      <c r="AV5" s="11">
        <v>4.0</v>
      </c>
      <c r="AW5" s="12">
        <v>0.17291666666666666</v>
      </c>
      <c r="AX5" s="13">
        <v>0.1736111111111111</v>
      </c>
      <c r="AY5" s="34"/>
      <c r="AZ5" s="12"/>
      <c r="BA5" s="12"/>
    </row>
    <row r="6" ht="15.75" customHeight="1">
      <c r="A6" s="7"/>
      <c r="B6" s="47">
        <v>689.0</v>
      </c>
      <c r="C6" s="11">
        <v>12.0</v>
      </c>
      <c r="D6" s="12">
        <v>0.25416666666666665</v>
      </c>
      <c r="E6" s="13">
        <v>0.25416666666666665</v>
      </c>
      <c r="F6" s="27"/>
      <c r="G6" s="28"/>
      <c r="H6" s="29"/>
      <c r="I6" s="11">
        <v>13.0</v>
      </c>
      <c r="J6" s="12">
        <v>0.35555555555555557</v>
      </c>
      <c r="K6" s="13">
        <v>0.3590277777777778</v>
      </c>
      <c r="L6" s="17">
        <v>14.0</v>
      </c>
      <c r="M6" s="12">
        <v>0.4284722222222222</v>
      </c>
      <c r="N6" s="12">
        <v>0.42916666666666664</v>
      </c>
      <c r="O6" s="11">
        <v>14.0</v>
      </c>
      <c r="P6" s="12">
        <v>0.4895833333333333</v>
      </c>
      <c r="Q6" s="13">
        <v>0.4909722222222222</v>
      </c>
      <c r="R6" s="18">
        <v>13.0</v>
      </c>
      <c r="S6" s="12">
        <v>0.54375</v>
      </c>
      <c r="T6" s="13">
        <v>0.5444444444444444</v>
      </c>
      <c r="U6" s="11">
        <v>13.0</v>
      </c>
      <c r="V6" s="12">
        <v>0.5791666666666667</v>
      </c>
      <c r="W6" s="13">
        <v>0.5868055555555556</v>
      </c>
      <c r="X6" s="11">
        <v>10.0</v>
      </c>
      <c r="Y6" s="19"/>
      <c r="Z6" s="13">
        <v>0.6701388888888888</v>
      </c>
      <c r="AA6" s="20">
        <v>10.0</v>
      </c>
      <c r="AB6" s="21">
        <v>0.7173611111111111</v>
      </c>
      <c r="AC6" s="22">
        <v>0.7194444444444444</v>
      </c>
      <c r="AD6" s="18">
        <v>9.0</v>
      </c>
      <c r="AE6" s="12">
        <v>0.7916666666666666</v>
      </c>
      <c r="AF6" s="23">
        <v>0.7993055555555556</v>
      </c>
      <c r="AG6" s="11">
        <v>9.0</v>
      </c>
      <c r="AH6" s="12">
        <v>0.8541666666666666</v>
      </c>
      <c r="AI6" s="13">
        <v>0.8576388888888888</v>
      </c>
      <c r="AJ6" s="14">
        <v>6.0</v>
      </c>
      <c r="AK6" s="15">
        <v>0.9229166666666667</v>
      </c>
      <c r="AL6" s="16">
        <v>0.925</v>
      </c>
      <c r="AM6" s="11">
        <v>5.0</v>
      </c>
      <c r="AN6" s="12">
        <v>0.9625</v>
      </c>
      <c r="AO6" s="13">
        <v>0.9680555555555556</v>
      </c>
      <c r="AP6" s="11">
        <v>5.0</v>
      </c>
      <c r="AQ6" s="12">
        <v>0.022222222222222223</v>
      </c>
      <c r="AR6" s="13">
        <v>0.025694444444444443</v>
      </c>
      <c r="AS6" s="11">
        <v>5.0</v>
      </c>
      <c r="AT6" s="12">
        <v>0.10694444444444444</v>
      </c>
      <c r="AU6" s="13">
        <v>0.1125</v>
      </c>
      <c r="AV6" s="11">
        <v>5.0</v>
      </c>
      <c r="AW6" s="12">
        <v>0.1763888888888889</v>
      </c>
      <c r="AX6" s="13">
        <v>0.17708333333333334</v>
      </c>
      <c r="AY6" s="34"/>
      <c r="AZ6" s="12"/>
      <c r="BA6" s="12"/>
    </row>
    <row r="7" ht="15.75" customHeight="1">
      <c r="A7" s="7"/>
      <c r="B7" s="47">
        <v>603.0</v>
      </c>
      <c r="C7" s="11">
        <v>6.0</v>
      </c>
      <c r="D7" s="12">
        <v>0.2520833333333333</v>
      </c>
      <c r="E7" s="13">
        <v>0.25277777777777777</v>
      </c>
      <c r="F7" s="14">
        <v>6.0</v>
      </c>
      <c r="G7" s="15">
        <v>0.2923611111111111</v>
      </c>
      <c r="H7" s="16">
        <v>0.2923611111111111</v>
      </c>
      <c r="I7" s="11">
        <v>8.0</v>
      </c>
      <c r="J7" s="12">
        <v>0.3458333333333333</v>
      </c>
      <c r="K7" s="13">
        <v>0.34791666666666665</v>
      </c>
      <c r="L7" s="17">
        <v>9.0</v>
      </c>
      <c r="M7" s="12">
        <v>0.4166666666666667</v>
      </c>
      <c r="N7" s="12">
        <v>0.41875</v>
      </c>
      <c r="O7" s="11">
        <v>9.0</v>
      </c>
      <c r="P7" s="12">
        <v>0.47291666666666665</v>
      </c>
      <c r="Q7" s="13">
        <v>0.475</v>
      </c>
      <c r="R7" s="18">
        <v>8.0</v>
      </c>
      <c r="S7" s="12">
        <v>0.5229166666666667</v>
      </c>
      <c r="T7" s="13">
        <v>0.525</v>
      </c>
      <c r="U7" s="11">
        <v>8.0</v>
      </c>
      <c r="V7" s="12">
        <v>0.5590277777777778</v>
      </c>
      <c r="W7" s="13">
        <v>0.5631944444444444</v>
      </c>
      <c r="X7" s="11">
        <v>7.0</v>
      </c>
      <c r="Y7" s="19"/>
      <c r="Z7" s="13">
        <v>0.6465277777777778</v>
      </c>
      <c r="AA7" s="20">
        <v>7.0</v>
      </c>
      <c r="AB7" s="21">
        <v>0.7006944444444444</v>
      </c>
      <c r="AC7" s="22">
        <v>0.7069444444444445</v>
      </c>
      <c r="AD7" s="18">
        <v>7.0</v>
      </c>
      <c r="AE7" s="12">
        <v>0.7833333333333333</v>
      </c>
      <c r="AF7" s="23">
        <v>0.7930555555555555</v>
      </c>
      <c r="AG7" s="11">
        <v>8.0</v>
      </c>
      <c r="AH7" s="12">
        <v>0.8486111111111111</v>
      </c>
      <c r="AI7" s="13">
        <v>0.8534722222222222</v>
      </c>
      <c r="AJ7" s="14">
        <v>7.0</v>
      </c>
      <c r="AK7" s="15">
        <v>0.9243055555555556</v>
      </c>
      <c r="AL7" s="16">
        <v>0.9270833333333334</v>
      </c>
      <c r="AM7" s="11">
        <v>7.0</v>
      </c>
      <c r="AN7" s="12">
        <v>0.9722222222222222</v>
      </c>
      <c r="AO7" s="13">
        <v>0.9770833333333333</v>
      </c>
      <c r="AP7" s="11">
        <v>6.0</v>
      </c>
      <c r="AQ7" s="12">
        <v>0.034722222222222224</v>
      </c>
      <c r="AR7" s="13">
        <v>0.03888888888888889</v>
      </c>
      <c r="AS7" s="11">
        <v>6.0</v>
      </c>
      <c r="AT7" s="12">
        <v>0.12361111111111112</v>
      </c>
      <c r="AU7" s="13">
        <v>0.12638888888888888</v>
      </c>
      <c r="AV7" s="11">
        <v>6.0</v>
      </c>
      <c r="AW7" s="12">
        <v>0.17777777777777778</v>
      </c>
      <c r="AX7" s="13">
        <v>0.17777777777777778</v>
      </c>
      <c r="AY7" s="34"/>
      <c r="AZ7" s="12"/>
      <c r="BA7" s="12"/>
    </row>
    <row r="8" ht="15.75" customHeight="1">
      <c r="A8" s="7"/>
      <c r="B8" s="47">
        <v>543.0</v>
      </c>
      <c r="C8" s="11">
        <v>26.0</v>
      </c>
      <c r="D8" s="12">
        <v>0.25972222222222224</v>
      </c>
      <c r="E8" s="13">
        <v>0.2604166666666667</v>
      </c>
      <c r="F8" s="27"/>
      <c r="G8" s="28"/>
      <c r="H8" s="29"/>
      <c r="I8" s="11">
        <v>24.0</v>
      </c>
      <c r="J8" s="12">
        <v>0.3638888888888889</v>
      </c>
      <c r="K8" s="13">
        <v>0.36736111111111114</v>
      </c>
      <c r="L8" s="17">
        <v>19.0</v>
      </c>
      <c r="M8" s="12">
        <v>0.4354166666666667</v>
      </c>
      <c r="N8" s="12">
        <v>0.4375</v>
      </c>
      <c r="O8" s="11">
        <v>16.0</v>
      </c>
      <c r="P8" s="12">
        <v>0.49236111111111114</v>
      </c>
      <c r="Q8" s="13">
        <v>0.4951388888888889</v>
      </c>
      <c r="R8" s="18">
        <v>16.0</v>
      </c>
      <c r="S8" s="12">
        <v>0.5486111111111112</v>
      </c>
      <c r="T8" s="13">
        <v>0.5513888888888889</v>
      </c>
      <c r="U8" s="11">
        <v>16.0</v>
      </c>
      <c r="V8" s="12">
        <v>0.5909722222222222</v>
      </c>
      <c r="W8" s="13">
        <v>0.6020833333333333</v>
      </c>
      <c r="X8" s="11">
        <v>17.0</v>
      </c>
      <c r="Y8" s="19"/>
      <c r="Z8" s="13">
        <v>0.6909722222222222</v>
      </c>
      <c r="AA8" s="20">
        <v>14.0</v>
      </c>
      <c r="AB8" s="21">
        <v>0.7402777777777778</v>
      </c>
      <c r="AC8" s="22">
        <v>0.7430555555555556</v>
      </c>
      <c r="AD8" s="18">
        <v>12.0</v>
      </c>
      <c r="AE8" s="12">
        <v>0.8159722222222222</v>
      </c>
      <c r="AF8" s="23">
        <v>0.8243055555555555</v>
      </c>
      <c r="AG8" s="11">
        <v>12.0</v>
      </c>
      <c r="AH8" s="12">
        <v>0.875</v>
      </c>
      <c r="AI8" s="13">
        <v>0.8805555555555555</v>
      </c>
      <c r="AJ8" s="14">
        <v>10.0</v>
      </c>
      <c r="AK8" s="15">
        <v>0.9465277777777777</v>
      </c>
      <c r="AL8" s="16">
        <v>0.9520833333333333</v>
      </c>
      <c r="AM8" s="11">
        <v>9.0</v>
      </c>
      <c r="AN8" s="12">
        <v>0.9909722222222223</v>
      </c>
      <c r="AO8" s="13">
        <v>0.9958333333333333</v>
      </c>
      <c r="AP8" s="11">
        <v>8.0</v>
      </c>
      <c r="AQ8" s="12">
        <v>0.049305555555555554</v>
      </c>
      <c r="AR8" s="13">
        <v>0.052083333333333336</v>
      </c>
      <c r="AS8" s="11">
        <v>7.0</v>
      </c>
      <c r="AT8" s="12">
        <v>0.1388888888888889</v>
      </c>
      <c r="AU8" s="13">
        <v>0.1423611111111111</v>
      </c>
      <c r="AV8" s="11">
        <v>7.0</v>
      </c>
      <c r="AW8" s="12">
        <v>0.25833333333333336</v>
      </c>
      <c r="AX8" s="13">
        <v>0.21875</v>
      </c>
      <c r="AY8" s="34"/>
      <c r="AZ8" s="12"/>
      <c r="BA8" s="12"/>
    </row>
    <row r="9" ht="15.75" customHeight="1">
      <c r="A9" s="7"/>
      <c r="B9" s="47">
        <v>515.0</v>
      </c>
      <c r="C9" s="11">
        <v>16.0</v>
      </c>
      <c r="D9" s="12">
        <v>0.2569444444444444</v>
      </c>
      <c r="E9" s="13">
        <v>0.2569444444444444</v>
      </c>
      <c r="F9" s="14">
        <v>16.0</v>
      </c>
      <c r="G9" s="15">
        <v>0.3020833333333333</v>
      </c>
      <c r="H9" s="16">
        <v>0.3020833333333333</v>
      </c>
      <c r="I9" s="11">
        <v>14.0</v>
      </c>
      <c r="J9" s="12">
        <v>0.3590277777777778</v>
      </c>
      <c r="K9" s="13">
        <v>0.3597222222222222</v>
      </c>
      <c r="L9" s="17">
        <v>13.0</v>
      </c>
      <c r="M9" s="12">
        <v>0.42777777777777776</v>
      </c>
      <c r="N9" s="12">
        <v>0.4284722222222222</v>
      </c>
      <c r="O9" s="11">
        <v>12.0</v>
      </c>
      <c r="P9" s="12">
        <v>0.4826388888888889</v>
      </c>
      <c r="Q9" s="13">
        <v>0.48333333333333334</v>
      </c>
      <c r="R9" s="18">
        <v>12.0</v>
      </c>
      <c r="S9" s="12">
        <v>0.5340277777777778</v>
      </c>
      <c r="T9" s="13">
        <v>0.5347222222222222</v>
      </c>
      <c r="U9" s="11">
        <v>9.0</v>
      </c>
      <c r="V9" s="12">
        <v>0.5701388888888889</v>
      </c>
      <c r="W9" s="13">
        <v>0.5715277777777777</v>
      </c>
      <c r="X9" s="11">
        <v>8.0</v>
      </c>
      <c r="Y9" s="19"/>
      <c r="Z9" s="13">
        <v>0.6590277777777778</v>
      </c>
      <c r="AA9" s="20">
        <v>9.0</v>
      </c>
      <c r="AB9" s="21">
        <v>0.7131944444444445</v>
      </c>
      <c r="AC9" s="22">
        <v>0.7145833333333333</v>
      </c>
      <c r="AD9" s="18">
        <v>10.0</v>
      </c>
      <c r="AE9" s="12">
        <v>0.7930555555555555</v>
      </c>
      <c r="AF9" s="23">
        <v>0.7944444444444444</v>
      </c>
      <c r="AG9" s="11">
        <v>10.0</v>
      </c>
      <c r="AH9" s="12">
        <v>0.8555555555555555</v>
      </c>
      <c r="AI9" s="13">
        <v>0.8576388888888888</v>
      </c>
      <c r="AJ9" s="14">
        <v>9.0</v>
      </c>
      <c r="AK9" s="15">
        <v>0.9381944444444444</v>
      </c>
      <c r="AL9" s="16">
        <v>0.9402777777777778</v>
      </c>
      <c r="AM9" s="11">
        <v>10.0</v>
      </c>
      <c r="AN9" s="12">
        <v>0.9923611111111111</v>
      </c>
      <c r="AO9" s="13">
        <v>0.9944444444444445</v>
      </c>
      <c r="AP9" s="11">
        <v>10.0</v>
      </c>
      <c r="AQ9" s="12">
        <v>0.05694444444444444</v>
      </c>
      <c r="AR9" s="13">
        <v>0.059027777777777776</v>
      </c>
      <c r="AS9" s="11">
        <v>9.0</v>
      </c>
      <c r="AT9" s="12">
        <v>0.15416666666666667</v>
      </c>
      <c r="AU9" s="13">
        <v>0.15625</v>
      </c>
      <c r="AV9" s="11">
        <v>8.0</v>
      </c>
      <c r="AW9" s="12">
        <v>0.225</v>
      </c>
      <c r="AX9" s="13">
        <v>0.2263888888888889</v>
      </c>
      <c r="AY9" s="34"/>
      <c r="AZ9" s="12"/>
      <c r="BA9" s="12"/>
    </row>
    <row r="10" ht="15.75" customHeight="1">
      <c r="A10" s="7"/>
      <c r="B10" s="47">
        <v>563.0</v>
      </c>
      <c r="C10" s="11">
        <v>7.0</v>
      </c>
      <c r="D10" s="12">
        <v>0.2520833333333333</v>
      </c>
      <c r="E10" s="13">
        <v>0.25277777777777777</v>
      </c>
      <c r="F10" s="27"/>
      <c r="G10" s="28"/>
      <c r="H10" s="29"/>
      <c r="I10" s="11">
        <v>7.0</v>
      </c>
      <c r="J10" s="12">
        <v>0.3458333333333333</v>
      </c>
      <c r="K10" s="13">
        <v>0.34791666666666665</v>
      </c>
      <c r="L10" s="17">
        <v>6.0</v>
      </c>
      <c r="M10" s="12">
        <v>0.41597222222222224</v>
      </c>
      <c r="N10" s="12">
        <v>0.4166666666666667</v>
      </c>
      <c r="O10" s="11">
        <v>6.0</v>
      </c>
      <c r="P10" s="12">
        <v>0.4708333333333333</v>
      </c>
      <c r="Q10" s="13">
        <v>0.4722222222222222</v>
      </c>
      <c r="R10" s="18">
        <v>5.0</v>
      </c>
      <c r="S10" s="12">
        <v>0.5180555555555556</v>
      </c>
      <c r="T10" s="13">
        <v>0.5194444444444445</v>
      </c>
      <c r="U10" s="11">
        <v>6.0</v>
      </c>
      <c r="V10" s="12">
        <v>0.5527777777777778</v>
      </c>
      <c r="W10" s="13">
        <v>0.5555555555555556</v>
      </c>
      <c r="X10" s="11">
        <v>5.0</v>
      </c>
      <c r="Y10" s="19"/>
      <c r="Z10" s="13">
        <v>0.6416666666666667</v>
      </c>
      <c r="AA10" s="20">
        <v>6.0</v>
      </c>
      <c r="AB10" s="21">
        <v>0.6916666666666667</v>
      </c>
      <c r="AC10" s="22">
        <v>0.69375</v>
      </c>
      <c r="AD10" s="18">
        <v>6.0</v>
      </c>
      <c r="AE10" s="12">
        <v>0.7715277777777778</v>
      </c>
      <c r="AF10" s="23">
        <v>0.775</v>
      </c>
      <c r="AG10" s="11">
        <v>6.0</v>
      </c>
      <c r="AH10" s="12">
        <v>0.8395833333333333</v>
      </c>
      <c r="AI10" s="13">
        <v>0.8416666666666667</v>
      </c>
      <c r="AJ10" s="14">
        <v>8.0</v>
      </c>
      <c r="AK10" s="15">
        <v>0.9298611111111111</v>
      </c>
      <c r="AL10" s="16">
        <v>0.9326388888888889</v>
      </c>
      <c r="AM10" s="11">
        <v>8.0</v>
      </c>
      <c r="AN10" s="12">
        <v>0.9868055555555556</v>
      </c>
      <c r="AO10" s="13">
        <v>0.9895833333333334</v>
      </c>
      <c r="AP10" s="11">
        <v>9.0</v>
      </c>
      <c r="AQ10" s="12">
        <v>0.050694444444444445</v>
      </c>
      <c r="AR10" s="13">
        <v>0.052083333333333336</v>
      </c>
      <c r="AS10" s="11">
        <v>8.0</v>
      </c>
      <c r="AT10" s="12">
        <v>0.1527777777777778</v>
      </c>
      <c r="AU10" s="13">
        <v>0.15694444444444444</v>
      </c>
      <c r="AV10" s="11">
        <v>9.0</v>
      </c>
      <c r="AW10" s="12">
        <v>0.2375</v>
      </c>
      <c r="AX10" s="13">
        <v>0.23819444444444443</v>
      </c>
      <c r="AY10" s="34"/>
      <c r="AZ10" s="12"/>
      <c r="BA10" s="12"/>
    </row>
    <row r="11" ht="15.75" customHeight="1">
      <c r="A11" s="7"/>
      <c r="B11" s="47">
        <v>685.0</v>
      </c>
      <c r="C11" s="11">
        <v>31.0</v>
      </c>
      <c r="D11" s="12">
        <v>0.25972222222222224</v>
      </c>
      <c r="E11" s="13">
        <v>0.2604166666666667</v>
      </c>
      <c r="F11" s="14">
        <v>33.0</v>
      </c>
      <c r="G11" s="15">
        <v>0.3090277777777778</v>
      </c>
      <c r="H11" s="16">
        <v>0.3090277777777778</v>
      </c>
      <c r="I11" s="11">
        <v>33.0</v>
      </c>
      <c r="J11" s="12">
        <v>0.36875</v>
      </c>
      <c r="K11" s="13">
        <v>0.37083333333333335</v>
      </c>
      <c r="L11" s="17">
        <v>29.0</v>
      </c>
      <c r="M11" s="30">
        <v>0.44513888888888886</v>
      </c>
      <c r="N11" s="30">
        <v>0.44583333333333336</v>
      </c>
      <c r="O11" s="11">
        <v>26.0</v>
      </c>
      <c r="P11" s="12">
        <v>0.5020833333333333</v>
      </c>
      <c r="Q11" s="13">
        <v>0.5041666666666667</v>
      </c>
      <c r="R11" s="18">
        <v>28.0</v>
      </c>
      <c r="S11" s="12">
        <v>0.5618055555555556</v>
      </c>
      <c r="T11" s="13">
        <v>0.5631944444444444</v>
      </c>
      <c r="U11" s="11">
        <v>28.0</v>
      </c>
      <c r="V11" s="12">
        <v>0.6027777777777777</v>
      </c>
      <c r="W11" s="13">
        <v>0.60625</v>
      </c>
      <c r="X11" s="11">
        <v>22.0</v>
      </c>
      <c r="Y11" s="19"/>
      <c r="Z11" s="13">
        <v>0.6965277777777777</v>
      </c>
      <c r="AA11" s="20">
        <v>21.0</v>
      </c>
      <c r="AB11" s="21">
        <v>0.7486111111111111</v>
      </c>
      <c r="AC11" s="22">
        <v>0.7534722222222222</v>
      </c>
      <c r="AD11" s="18">
        <v>19.0</v>
      </c>
      <c r="AE11" s="12">
        <v>0.8291666666666667</v>
      </c>
      <c r="AF11" s="23">
        <v>0.8354166666666667</v>
      </c>
      <c r="AG11" s="11">
        <v>17.0</v>
      </c>
      <c r="AH11" s="12">
        <v>0.8958333333333334</v>
      </c>
      <c r="AI11" s="13">
        <v>0.8993055555555556</v>
      </c>
      <c r="AJ11" s="14">
        <v>14.0</v>
      </c>
      <c r="AK11" s="15">
        <v>0.9673611111111111</v>
      </c>
      <c r="AL11" s="16">
        <v>0.9715277777777778</v>
      </c>
      <c r="AM11" s="11">
        <v>11.0</v>
      </c>
      <c r="AN11" s="12">
        <v>0.0125</v>
      </c>
      <c r="AO11" s="13">
        <v>0.015277777777777777</v>
      </c>
      <c r="AP11" s="11">
        <v>11.0</v>
      </c>
      <c r="AQ11" s="12">
        <v>0.07222222222222222</v>
      </c>
      <c r="AR11" s="13">
        <v>0.0763888888888889</v>
      </c>
      <c r="AS11" s="11">
        <v>10.0</v>
      </c>
      <c r="AT11" s="12">
        <v>0.16597222222222222</v>
      </c>
      <c r="AU11" s="13">
        <v>0.16944444444444445</v>
      </c>
      <c r="AV11" s="11">
        <v>10.0</v>
      </c>
      <c r="AW11" s="12">
        <v>0.24097222222222223</v>
      </c>
      <c r="AX11" s="13">
        <v>0.2423611111111111</v>
      </c>
      <c r="AY11" s="34"/>
      <c r="AZ11" s="12"/>
      <c r="BA11" s="12"/>
    </row>
    <row r="12" ht="15.75" customHeight="1">
      <c r="A12" s="7"/>
      <c r="B12" s="47">
        <v>731.0</v>
      </c>
      <c r="C12" s="11">
        <v>24.0</v>
      </c>
      <c r="D12" s="12">
        <v>0.2590277777777778</v>
      </c>
      <c r="E12" s="13">
        <v>0.25972222222222224</v>
      </c>
      <c r="F12" s="14">
        <v>136.0</v>
      </c>
      <c r="G12" s="15">
        <v>0.33402777777777776</v>
      </c>
      <c r="H12" s="16">
        <v>0.33402777777777776</v>
      </c>
      <c r="I12" s="11">
        <v>30.0</v>
      </c>
      <c r="J12" s="12">
        <v>0.36736111111111114</v>
      </c>
      <c r="K12" s="13">
        <v>0.36875</v>
      </c>
      <c r="L12" s="17">
        <v>25.0</v>
      </c>
      <c r="M12" s="12">
        <v>0.44166666666666665</v>
      </c>
      <c r="N12" s="12">
        <v>0.4423611111111111</v>
      </c>
      <c r="O12" s="11">
        <v>25.0</v>
      </c>
      <c r="P12" s="12">
        <v>0.5</v>
      </c>
      <c r="Q12" s="13">
        <v>0.5013888888888889</v>
      </c>
      <c r="R12" s="18">
        <v>22.0</v>
      </c>
      <c r="S12" s="12">
        <v>0.5555555555555556</v>
      </c>
      <c r="T12" s="13">
        <v>0.55625</v>
      </c>
      <c r="U12" s="11">
        <v>20.0</v>
      </c>
      <c r="V12" s="12">
        <v>0.5930555555555556</v>
      </c>
      <c r="W12" s="13">
        <v>0.5944444444444444</v>
      </c>
      <c r="X12" s="11">
        <v>13.0</v>
      </c>
      <c r="Y12" s="19"/>
      <c r="Z12" s="13">
        <v>0.6854166666666667</v>
      </c>
      <c r="AA12" s="20">
        <v>12.0</v>
      </c>
      <c r="AB12" s="21">
        <v>0.7368055555555556</v>
      </c>
      <c r="AC12" s="22">
        <v>0.7375</v>
      </c>
      <c r="AD12" s="18">
        <v>13.0</v>
      </c>
      <c r="AE12" s="12">
        <v>0.8166666666666667</v>
      </c>
      <c r="AF12" s="23">
        <v>0.81875</v>
      </c>
      <c r="AG12" s="11">
        <v>13.0</v>
      </c>
      <c r="AH12" s="12">
        <v>0.875</v>
      </c>
      <c r="AI12" s="13">
        <v>0.8770833333333333</v>
      </c>
      <c r="AJ12" s="14">
        <v>12.0</v>
      </c>
      <c r="AK12" s="15">
        <v>0.9618055555555556</v>
      </c>
      <c r="AL12" s="16">
        <v>0.9638888888888889</v>
      </c>
      <c r="AM12" s="11">
        <v>12.0</v>
      </c>
      <c r="AN12" s="12">
        <v>0.013888888888888888</v>
      </c>
      <c r="AO12" s="13">
        <v>0.01597222222222222</v>
      </c>
      <c r="AP12" s="11">
        <v>12.0</v>
      </c>
      <c r="AQ12" s="12">
        <v>0.08125</v>
      </c>
      <c r="AR12" s="13">
        <v>0.08333333333333333</v>
      </c>
      <c r="AS12" s="11">
        <v>12.0</v>
      </c>
      <c r="AT12" s="12">
        <v>0.1798611111111111</v>
      </c>
      <c r="AU12" s="13">
        <v>0.18263888888888888</v>
      </c>
      <c r="AV12" s="11">
        <v>11.0</v>
      </c>
      <c r="AW12" s="12">
        <v>0.2513888888888889</v>
      </c>
      <c r="AX12" s="13">
        <v>0.2513888888888889</v>
      </c>
      <c r="AY12" s="34"/>
      <c r="AZ12" s="12"/>
      <c r="BA12" s="12"/>
    </row>
    <row r="13" ht="15.75" customHeight="1">
      <c r="A13" s="7"/>
      <c r="B13" s="47">
        <v>601.0</v>
      </c>
      <c r="C13" s="11">
        <v>11.0</v>
      </c>
      <c r="D13" s="12">
        <v>0.25416666666666665</v>
      </c>
      <c r="E13" s="13">
        <v>0.25416666666666665</v>
      </c>
      <c r="F13" s="14">
        <v>12.0</v>
      </c>
      <c r="G13" s="15">
        <v>0.2986111111111111</v>
      </c>
      <c r="H13" s="16">
        <v>0.2986111111111111</v>
      </c>
      <c r="I13" s="11">
        <v>15.0</v>
      </c>
      <c r="J13" s="12">
        <v>0.3590277777777778</v>
      </c>
      <c r="K13" s="13">
        <v>0.36180555555555555</v>
      </c>
      <c r="L13" s="17">
        <v>22.0</v>
      </c>
      <c r="M13" s="12">
        <v>0.43680555555555556</v>
      </c>
      <c r="N13" s="12">
        <v>0.43819444444444444</v>
      </c>
      <c r="O13" s="11">
        <v>20.0</v>
      </c>
      <c r="P13" s="12">
        <v>0.49583333333333335</v>
      </c>
      <c r="Q13" s="13">
        <v>0.4979166666666667</v>
      </c>
      <c r="R13" s="18">
        <v>20.0</v>
      </c>
      <c r="S13" s="12">
        <v>0.5534722222222223</v>
      </c>
      <c r="T13" s="13">
        <v>0.5555555555555556</v>
      </c>
      <c r="U13" s="11">
        <v>19.0</v>
      </c>
      <c r="V13" s="12">
        <v>0.5930555555555556</v>
      </c>
      <c r="W13" s="13">
        <v>0.5979166666666667</v>
      </c>
      <c r="X13" s="11">
        <v>19.0</v>
      </c>
      <c r="Y13" s="19"/>
      <c r="Z13" s="13">
        <v>0.6923611111111111</v>
      </c>
      <c r="AA13" s="20">
        <v>19.0</v>
      </c>
      <c r="AB13" s="21">
        <v>0.7451388888888889</v>
      </c>
      <c r="AC13" s="22">
        <v>0.7472222222222222</v>
      </c>
      <c r="AD13" s="18">
        <v>16.0</v>
      </c>
      <c r="AE13" s="12">
        <v>0.8229166666666666</v>
      </c>
      <c r="AF13" s="23">
        <v>0.8277777777777777</v>
      </c>
      <c r="AG13" s="11">
        <v>15.0</v>
      </c>
      <c r="AH13" s="12">
        <v>0.8881944444444444</v>
      </c>
      <c r="AI13" s="13">
        <v>0.8895833333333333</v>
      </c>
      <c r="AJ13" s="14">
        <v>16.0</v>
      </c>
      <c r="AK13" s="15">
        <v>0.9694444444444444</v>
      </c>
      <c r="AL13" s="16">
        <v>0.9722222222222222</v>
      </c>
      <c r="AM13" s="11">
        <v>13.0</v>
      </c>
      <c r="AN13" s="12">
        <v>0.021527777777777778</v>
      </c>
      <c r="AO13" s="13">
        <v>0.027083333333333334</v>
      </c>
      <c r="AP13" s="11">
        <v>13.0</v>
      </c>
      <c r="AQ13" s="12">
        <v>0.08958333333333333</v>
      </c>
      <c r="AR13" s="13">
        <v>0.09305555555555556</v>
      </c>
      <c r="AS13" s="11">
        <v>13.0</v>
      </c>
      <c r="AT13" s="12">
        <v>0.1840277777777778</v>
      </c>
      <c r="AU13" s="13">
        <v>0.18888888888888888</v>
      </c>
      <c r="AV13" s="11">
        <v>12.0</v>
      </c>
      <c r="AW13" s="12">
        <v>0.2513888888888889</v>
      </c>
      <c r="AX13" s="13">
        <v>0.2513888888888889</v>
      </c>
      <c r="AY13" s="34"/>
      <c r="AZ13" s="12"/>
      <c r="BA13" s="12"/>
    </row>
    <row r="14" ht="15.75" customHeight="1">
      <c r="A14" s="7"/>
      <c r="B14" s="47">
        <v>602.0</v>
      </c>
      <c r="C14" s="11">
        <v>101.0</v>
      </c>
      <c r="D14" s="12">
        <v>0.26875</v>
      </c>
      <c r="E14" s="13">
        <v>0.26944444444444443</v>
      </c>
      <c r="F14" s="14">
        <v>82.0</v>
      </c>
      <c r="G14" s="15">
        <v>0.3215277777777778</v>
      </c>
      <c r="H14" s="16">
        <v>0.3215277777777778</v>
      </c>
      <c r="I14" s="11">
        <v>60.0</v>
      </c>
      <c r="J14" s="12">
        <v>0.3819444444444444</v>
      </c>
      <c r="K14" s="13">
        <v>0.38472222222222224</v>
      </c>
      <c r="L14" s="17">
        <v>47.0</v>
      </c>
      <c r="M14" s="12">
        <v>0.45555555555555555</v>
      </c>
      <c r="N14" s="12">
        <v>0.45694444444444443</v>
      </c>
      <c r="O14" s="11">
        <v>40.0</v>
      </c>
      <c r="P14" s="12">
        <v>0.5125</v>
      </c>
      <c r="Q14" s="13">
        <v>0.5145833333333333</v>
      </c>
      <c r="R14" s="18">
        <v>35.0</v>
      </c>
      <c r="S14" s="12">
        <v>0.5666666666666667</v>
      </c>
      <c r="T14" s="13">
        <v>0.5701388888888889</v>
      </c>
      <c r="U14" s="11">
        <v>34.0</v>
      </c>
      <c r="V14" s="12">
        <v>0.6097222222222223</v>
      </c>
      <c r="W14" s="13">
        <v>0.6131944444444445</v>
      </c>
      <c r="X14" s="11">
        <v>25.0</v>
      </c>
      <c r="Y14" s="19"/>
      <c r="Z14" s="13">
        <v>0.6993055555555555</v>
      </c>
      <c r="AA14" s="20">
        <v>24.0</v>
      </c>
      <c r="AB14" s="21">
        <v>0.7493055555555556</v>
      </c>
      <c r="AC14" s="22">
        <v>0.7520833333333333</v>
      </c>
      <c r="AD14" s="18">
        <v>23.0</v>
      </c>
      <c r="AE14" s="12">
        <v>0.8305555555555556</v>
      </c>
      <c r="AF14" s="23">
        <v>0.8423611111111111</v>
      </c>
      <c r="AG14" s="11">
        <v>20.0</v>
      </c>
      <c r="AH14" s="12">
        <v>0.9013888888888889</v>
      </c>
      <c r="AI14" s="13">
        <v>0.9041666666666667</v>
      </c>
      <c r="AJ14" s="14">
        <v>18.0</v>
      </c>
      <c r="AK14" s="15">
        <v>0.9791666666666666</v>
      </c>
      <c r="AL14" s="16">
        <v>0.9819444444444444</v>
      </c>
      <c r="AM14" s="11">
        <v>17.0</v>
      </c>
      <c r="AN14" s="12">
        <v>0.03125</v>
      </c>
      <c r="AO14" s="13">
        <v>0.034722222222222224</v>
      </c>
      <c r="AP14" s="11">
        <v>15.0</v>
      </c>
      <c r="AQ14" s="12">
        <v>0.09652777777777778</v>
      </c>
      <c r="AR14" s="13">
        <v>0.10069444444444445</v>
      </c>
      <c r="AS14" s="11">
        <v>14.0</v>
      </c>
      <c r="AT14" s="12">
        <v>0.19375</v>
      </c>
      <c r="AU14" s="13">
        <v>0.19583333333333333</v>
      </c>
      <c r="AV14" s="11">
        <v>13.0</v>
      </c>
      <c r="AW14" s="12">
        <v>0.2611111111111111</v>
      </c>
      <c r="AX14" s="13">
        <v>0.25763888888888886</v>
      </c>
      <c r="AY14" s="34"/>
      <c r="AZ14" s="12"/>
      <c r="BA14" s="12"/>
    </row>
    <row r="15" ht="15.75" customHeight="1">
      <c r="A15" s="7"/>
      <c r="B15" s="47">
        <v>618.0</v>
      </c>
      <c r="C15" s="11">
        <v>8.0</v>
      </c>
      <c r="D15" s="12">
        <v>0.2520833333333333</v>
      </c>
      <c r="E15" s="13">
        <v>0.25277777777777777</v>
      </c>
      <c r="F15" s="14">
        <v>5.0</v>
      </c>
      <c r="G15" s="15">
        <v>0.2923611111111111</v>
      </c>
      <c r="H15" s="16">
        <v>0.29305555555555557</v>
      </c>
      <c r="I15" s="11">
        <v>4.0</v>
      </c>
      <c r="J15" s="12">
        <v>0.34375</v>
      </c>
      <c r="K15" s="13">
        <v>0.3451388888888889</v>
      </c>
      <c r="L15" s="17">
        <v>4.0</v>
      </c>
      <c r="M15" s="12">
        <v>0.4111111111111111</v>
      </c>
      <c r="N15" s="12">
        <v>0.4131944444444444</v>
      </c>
      <c r="O15" s="11">
        <v>4.0</v>
      </c>
      <c r="P15" s="12">
        <v>0.46319444444444446</v>
      </c>
      <c r="Q15" s="13">
        <v>0.4652777777777778</v>
      </c>
      <c r="R15" s="18">
        <v>3.0</v>
      </c>
      <c r="S15" s="12">
        <v>0.5118055555555555</v>
      </c>
      <c r="T15" s="13">
        <v>0.5131944444444444</v>
      </c>
      <c r="U15" s="11">
        <v>3.0</v>
      </c>
      <c r="V15" s="12">
        <v>0.55</v>
      </c>
      <c r="W15" s="13">
        <v>0.5520833333333334</v>
      </c>
      <c r="X15" s="11">
        <v>3.0</v>
      </c>
      <c r="Y15" s="19"/>
      <c r="Z15" s="13">
        <v>0.6305555555555555</v>
      </c>
      <c r="AA15" s="20">
        <v>3.0</v>
      </c>
      <c r="AB15" s="21">
        <v>0.675</v>
      </c>
      <c r="AC15" s="22">
        <v>0.6784722222222223</v>
      </c>
      <c r="AD15" s="18">
        <v>3.0</v>
      </c>
      <c r="AE15" s="12">
        <v>0.7548611111111111</v>
      </c>
      <c r="AF15" s="23">
        <v>0.7631944444444444</v>
      </c>
      <c r="AG15" s="11">
        <v>3.0</v>
      </c>
      <c r="AH15" s="12">
        <v>0.8208333333333333</v>
      </c>
      <c r="AI15" s="13">
        <v>0.8243055555555555</v>
      </c>
      <c r="AJ15" s="14">
        <v>3.0</v>
      </c>
      <c r="AK15" s="15">
        <v>0.9006944444444445</v>
      </c>
      <c r="AL15" s="16">
        <v>0.9069444444444444</v>
      </c>
      <c r="AM15" s="11">
        <v>4.0</v>
      </c>
      <c r="AN15" s="12">
        <v>0.9583333333333334</v>
      </c>
      <c r="AO15" s="13">
        <v>0.9652777777777778</v>
      </c>
      <c r="AP15" s="11">
        <v>7.0</v>
      </c>
      <c r="AQ15" s="12">
        <v>0.0375</v>
      </c>
      <c r="AR15" s="13">
        <v>0.05</v>
      </c>
      <c r="AS15" s="11">
        <v>11.0</v>
      </c>
      <c r="AT15" s="12">
        <v>0.17430555555555555</v>
      </c>
      <c r="AU15" s="13">
        <v>0.17708333333333334</v>
      </c>
      <c r="AV15" s="11">
        <v>14.0</v>
      </c>
      <c r="AW15" s="12">
        <v>0.26180555555555557</v>
      </c>
      <c r="AX15" s="13">
        <v>0.2652777777777778</v>
      </c>
      <c r="AY15" s="34"/>
      <c r="AZ15" s="12"/>
      <c r="BA15" s="12"/>
    </row>
    <row r="16" ht="15.75" customHeight="1">
      <c r="A16" s="7"/>
      <c r="B16" s="47">
        <v>561.0</v>
      </c>
      <c r="C16" s="11">
        <v>36.0</v>
      </c>
      <c r="D16" s="12">
        <v>0.2604166666666667</v>
      </c>
      <c r="E16" s="13">
        <v>0.26180555555555557</v>
      </c>
      <c r="F16" s="27"/>
      <c r="G16" s="28"/>
      <c r="H16" s="29"/>
      <c r="I16" s="11">
        <v>38.0</v>
      </c>
      <c r="J16" s="12">
        <v>0.3715277777777778</v>
      </c>
      <c r="K16" s="13">
        <v>0.3770833333333333</v>
      </c>
      <c r="L16" s="17">
        <v>32.0</v>
      </c>
      <c r="M16" s="12">
        <v>0.44583333333333336</v>
      </c>
      <c r="N16" s="12">
        <v>0.44722222222222224</v>
      </c>
      <c r="O16" s="11">
        <v>31.0</v>
      </c>
      <c r="P16" s="12">
        <v>0.5034722222222222</v>
      </c>
      <c r="Q16" s="13">
        <v>0.5048611111111111</v>
      </c>
      <c r="R16" s="18">
        <v>29.0</v>
      </c>
      <c r="S16" s="12">
        <v>0.5638888888888889</v>
      </c>
      <c r="T16" s="13">
        <v>0.5659722222222222</v>
      </c>
      <c r="U16" s="11">
        <v>31.0</v>
      </c>
      <c r="V16" s="12">
        <v>0.60625</v>
      </c>
      <c r="W16" s="13">
        <v>0.6104166666666667</v>
      </c>
      <c r="X16" s="11">
        <v>21.0</v>
      </c>
      <c r="Y16" s="19"/>
      <c r="Z16" s="13">
        <v>0.6958333333333333</v>
      </c>
      <c r="AA16" s="20">
        <v>23.0</v>
      </c>
      <c r="AB16" s="21">
        <v>0.7493055555555556</v>
      </c>
      <c r="AC16" s="22">
        <v>0.7520833333333333</v>
      </c>
      <c r="AD16" s="18">
        <v>18.0</v>
      </c>
      <c r="AE16" s="12">
        <v>0.8291666666666667</v>
      </c>
      <c r="AF16" s="23">
        <v>0.8388888888888889</v>
      </c>
      <c r="AG16" s="11">
        <v>19.0</v>
      </c>
      <c r="AH16" s="12">
        <v>0.8986111111111111</v>
      </c>
      <c r="AI16" s="13">
        <v>0.9006944444444445</v>
      </c>
      <c r="AJ16" s="14">
        <v>17.0</v>
      </c>
      <c r="AK16" s="15">
        <v>0.9770833333333333</v>
      </c>
      <c r="AL16" s="16">
        <v>0.9805555555555555</v>
      </c>
      <c r="AM16" s="11">
        <v>15.0</v>
      </c>
      <c r="AN16" s="12">
        <v>0.027777777777777776</v>
      </c>
      <c r="AO16" s="13">
        <v>0.03194444444444444</v>
      </c>
      <c r="AP16" s="11">
        <v>16.0</v>
      </c>
      <c r="AQ16" s="12">
        <v>0.09791666666666667</v>
      </c>
      <c r="AR16" s="13">
        <v>0.10625</v>
      </c>
      <c r="AS16" s="11">
        <v>15.0</v>
      </c>
      <c r="AT16" s="12">
        <v>0.19444444444444445</v>
      </c>
      <c r="AU16" s="13">
        <v>0.19583333333333333</v>
      </c>
      <c r="AV16" s="11">
        <v>15.0</v>
      </c>
      <c r="AW16" s="12">
        <v>0.2652777777777778</v>
      </c>
      <c r="AX16" s="13">
        <v>0.26666666666666666</v>
      </c>
      <c r="AY16" s="34"/>
      <c r="AZ16" s="12"/>
      <c r="BA16" s="12"/>
    </row>
    <row r="17" ht="15.75" customHeight="1">
      <c r="A17" s="7"/>
      <c r="B17" s="47">
        <v>529.0</v>
      </c>
      <c r="C17" s="11">
        <v>71.0</v>
      </c>
      <c r="D17" s="12">
        <v>0.2638888888888889</v>
      </c>
      <c r="E17" s="13">
        <v>0.26458333333333334</v>
      </c>
      <c r="F17" s="14">
        <v>65.0</v>
      </c>
      <c r="G17" s="15">
        <v>0.31875</v>
      </c>
      <c r="H17" s="16">
        <v>0.31875</v>
      </c>
      <c r="I17" s="11">
        <v>58.0</v>
      </c>
      <c r="J17" s="12">
        <v>0.37916666666666665</v>
      </c>
      <c r="K17" s="13">
        <v>0.38125</v>
      </c>
      <c r="L17" s="17">
        <v>39.0</v>
      </c>
      <c r="M17" s="12">
        <v>0.45</v>
      </c>
      <c r="N17" s="12">
        <v>0.45069444444444445</v>
      </c>
      <c r="O17" s="11">
        <v>38.0</v>
      </c>
      <c r="P17" s="12">
        <v>0.5097222222222222</v>
      </c>
      <c r="Q17" s="13">
        <v>0.5111111111111111</v>
      </c>
      <c r="R17" s="18">
        <v>31.0</v>
      </c>
      <c r="S17" s="12">
        <v>0.5652777777777778</v>
      </c>
      <c r="T17" s="13">
        <v>0.5666666666666667</v>
      </c>
      <c r="U17" s="11">
        <v>29.0</v>
      </c>
      <c r="V17" s="12">
        <v>0.6027777777777777</v>
      </c>
      <c r="W17" s="13">
        <v>0.60625</v>
      </c>
      <c r="X17" s="11">
        <v>20.0</v>
      </c>
      <c r="Y17" s="19"/>
      <c r="Z17" s="13">
        <v>0.6951388888888889</v>
      </c>
      <c r="AA17" s="20">
        <v>18.0</v>
      </c>
      <c r="AB17" s="21">
        <v>0.7444444444444445</v>
      </c>
      <c r="AC17" s="22">
        <v>0.7458333333333333</v>
      </c>
      <c r="AD17" s="18">
        <v>15.0</v>
      </c>
      <c r="AE17" s="12">
        <v>0.8229166666666666</v>
      </c>
      <c r="AF17" s="23">
        <v>0.8263888888888888</v>
      </c>
      <c r="AG17" s="11">
        <v>14.0</v>
      </c>
      <c r="AH17" s="12">
        <v>0.8854166666666666</v>
      </c>
      <c r="AI17" s="13">
        <v>0.8868055555555555</v>
      </c>
      <c r="AJ17" s="14">
        <v>15.0</v>
      </c>
      <c r="AK17" s="15">
        <v>0.96875</v>
      </c>
      <c r="AL17" s="16">
        <v>0.9722222222222222</v>
      </c>
      <c r="AM17" s="11">
        <v>14.0</v>
      </c>
      <c r="AN17" s="12">
        <v>0.024305555555555556</v>
      </c>
      <c r="AO17" s="13">
        <v>0.027083333333333334</v>
      </c>
      <c r="AP17" s="11">
        <v>14.0</v>
      </c>
      <c r="AQ17" s="12">
        <v>0.09513888888888888</v>
      </c>
      <c r="AR17" s="13">
        <v>0.09791666666666667</v>
      </c>
      <c r="AS17" s="11">
        <v>16.0</v>
      </c>
      <c r="AT17" s="12">
        <v>0.19930555555555557</v>
      </c>
      <c r="AU17" s="13">
        <v>0.2013888888888889</v>
      </c>
      <c r="AV17" s="11">
        <v>16.0</v>
      </c>
      <c r="AW17" s="12">
        <v>0.2777777777777778</v>
      </c>
      <c r="AX17" s="13">
        <v>0.27847222222222223</v>
      </c>
      <c r="AY17" s="34"/>
      <c r="AZ17" s="12"/>
      <c r="BA17" s="12"/>
    </row>
    <row r="18" ht="15.75" customHeight="1">
      <c r="A18" s="7"/>
      <c r="B18" s="47">
        <v>629.0</v>
      </c>
      <c r="C18" s="11">
        <v>29.0</v>
      </c>
      <c r="D18" s="12">
        <v>0.25972222222222224</v>
      </c>
      <c r="E18" s="13">
        <v>0.2604166666666667</v>
      </c>
      <c r="F18" s="14">
        <v>27.0</v>
      </c>
      <c r="G18" s="15">
        <v>0.30694444444444446</v>
      </c>
      <c r="H18" s="16">
        <v>0.30694444444444446</v>
      </c>
      <c r="I18" s="11">
        <v>19.0</v>
      </c>
      <c r="J18" s="12">
        <v>0.3625</v>
      </c>
      <c r="K18" s="13">
        <v>0.36527777777777776</v>
      </c>
      <c r="L18" s="17">
        <v>17.0</v>
      </c>
      <c r="M18" s="12">
        <v>0.43472222222222223</v>
      </c>
      <c r="N18" s="12">
        <v>0.43680555555555556</v>
      </c>
      <c r="O18" s="11">
        <v>17.0</v>
      </c>
      <c r="P18" s="12">
        <v>0.4930555555555556</v>
      </c>
      <c r="Q18" s="13">
        <v>0.4965277777777778</v>
      </c>
      <c r="R18" s="18">
        <v>18.0</v>
      </c>
      <c r="S18" s="12">
        <v>0.5506944444444445</v>
      </c>
      <c r="T18" s="13">
        <v>0.5541666666666667</v>
      </c>
      <c r="U18" s="11">
        <v>15.0</v>
      </c>
      <c r="V18" s="12">
        <v>0.5902777777777778</v>
      </c>
      <c r="W18" s="13">
        <v>0.5958333333333333</v>
      </c>
      <c r="X18" s="11">
        <v>18.0</v>
      </c>
      <c r="Y18" s="19"/>
      <c r="Z18" s="13">
        <v>0.6916666666666667</v>
      </c>
      <c r="AA18" s="20">
        <v>20.0</v>
      </c>
      <c r="AB18" s="21">
        <v>0.7465277777777778</v>
      </c>
      <c r="AC18" s="22">
        <v>0.7506944444444444</v>
      </c>
      <c r="AD18" s="18">
        <v>17.0</v>
      </c>
      <c r="AE18" s="12">
        <v>0.8270833333333333</v>
      </c>
      <c r="AF18" s="23">
        <v>0.8388888888888889</v>
      </c>
      <c r="AG18" s="11">
        <v>18.0</v>
      </c>
      <c r="AH18" s="12">
        <v>0.8986111111111111</v>
      </c>
      <c r="AI18" s="33"/>
      <c r="AJ18" s="14">
        <v>19.0</v>
      </c>
      <c r="AK18" s="15">
        <v>0.9826388888888888</v>
      </c>
      <c r="AL18" s="16">
        <v>0.9881944444444445</v>
      </c>
      <c r="AM18" s="11">
        <v>18.0</v>
      </c>
      <c r="AN18" s="12">
        <v>0.0375</v>
      </c>
      <c r="AO18" s="13">
        <v>0.04722222222222222</v>
      </c>
      <c r="AP18" s="11">
        <v>17.0</v>
      </c>
      <c r="AQ18" s="12">
        <v>0.10833333333333334</v>
      </c>
      <c r="AR18" s="13">
        <v>0.11458333333333333</v>
      </c>
      <c r="AS18" s="11">
        <v>17.0</v>
      </c>
      <c r="AT18" s="12">
        <v>0.20972222222222223</v>
      </c>
      <c r="AU18" s="13">
        <v>0.21736111111111112</v>
      </c>
      <c r="AV18" s="11">
        <v>17.0</v>
      </c>
      <c r="AW18" s="12">
        <v>0.2861111111111111</v>
      </c>
      <c r="AX18" s="13">
        <v>0.2861111111111111</v>
      </c>
      <c r="AY18" s="34"/>
      <c r="AZ18" s="12"/>
      <c r="BA18" s="12"/>
    </row>
    <row r="19" ht="15.75" customHeight="1">
      <c r="A19" s="7"/>
      <c r="B19" s="47">
        <v>655.0</v>
      </c>
      <c r="C19" s="11">
        <v>54.0</v>
      </c>
      <c r="D19" s="12">
        <v>0.26319444444444445</v>
      </c>
      <c r="E19" s="13">
        <v>0.2638888888888889</v>
      </c>
      <c r="F19" s="14">
        <v>43.0</v>
      </c>
      <c r="G19" s="15">
        <v>0.3138888888888889</v>
      </c>
      <c r="H19" s="16">
        <v>0.3138888888888889</v>
      </c>
      <c r="I19" s="11">
        <v>40.0</v>
      </c>
      <c r="J19" s="12">
        <v>0.3715277777777778</v>
      </c>
      <c r="K19" s="13">
        <v>0.37569444444444444</v>
      </c>
      <c r="L19" s="17">
        <v>31.0</v>
      </c>
      <c r="M19" s="12">
        <v>0.44583333333333336</v>
      </c>
      <c r="N19" s="12">
        <v>0.44722222222222224</v>
      </c>
      <c r="O19" s="11">
        <v>27.0</v>
      </c>
      <c r="P19" s="12">
        <v>0.5020833333333333</v>
      </c>
      <c r="Q19" s="13">
        <v>0.5041666666666667</v>
      </c>
      <c r="R19" s="18">
        <v>27.0</v>
      </c>
      <c r="S19" s="12">
        <v>0.5604166666666667</v>
      </c>
      <c r="T19" s="13">
        <v>0.5625</v>
      </c>
      <c r="U19" s="11">
        <v>26.0</v>
      </c>
      <c r="V19" s="12">
        <v>0.6020833333333333</v>
      </c>
      <c r="W19" s="13">
        <v>0.6097222222222223</v>
      </c>
      <c r="X19" s="11">
        <v>26.0</v>
      </c>
      <c r="Y19" s="19"/>
      <c r="Z19" s="13">
        <v>0.6993055555555555</v>
      </c>
      <c r="AA19" s="20">
        <v>22.0</v>
      </c>
      <c r="AB19" s="21">
        <v>0.7486111111111111</v>
      </c>
      <c r="AC19" s="22">
        <v>0.7534722222222222</v>
      </c>
      <c r="AD19" s="18">
        <v>21.0</v>
      </c>
      <c r="AE19" s="12">
        <v>0.8305555555555556</v>
      </c>
      <c r="AF19" s="23">
        <v>0.84375</v>
      </c>
      <c r="AG19" s="11">
        <v>21.0</v>
      </c>
      <c r="AH19" s="12">
        <v>0.9020833333333333</v>
      </c>
      <c r="AI19" s="13">
        <v>0.9048611111111111</v>
      </c>
      <c r="AJ19" s="14">
        <v>20.0</v>
      </c>
      <c r="AK19" s="15">
        <v>0.9902777777777778</v>
      </c>
      <c r="AL19" s="16">
        <v>0.9930555555555556</v>
      </c>
      <c r="AM19" s="11">
        <v>19.0</v>
      </c>
      <c r="AN19" s="12">
        <v>0.049305555555555554</v>
      </c>
      <c r="AO19" s="13">
        <v>0.059722222222222225</v>
      </c>
      <c r="AP19" s="11">
        <v>19.0</v>
      </c>
      <c r="AQ19" s="12">
        <v>0.12361111111111112</v>
      </c>
      <c r="AR19" s="13">
        <v>0.12777777777777777</v>
      </c>
      <c r="AS19" s="11">
        <v>19.0</v>
      </c>
      <c r="AT19" s="12">
        <v>0.23194444444444445</v>
      </c>
      <c r="AU19" s="13">
        <v>0.23819444444444443</v>
      </c>
      <c r="AV19" s="11">
        <v>18.0</v>
      </c>
      <c r="AW19" s="12">
        <v>0.30625</v>
      </c>
      <c r="AX19" s="13">
        <v>0.30625</v>
      </c>
      <c r="AY19" s="34"/>
      <c r="AZ19" s="12"/>
      <c r="BA19" s="12"/>
    </row>
    <row r="20" ht="15.75" customHeight="1">
      <c r="A20" s="7"/>
      <c r="B20" s="47">
        <v>567.0</v>
      </c>
      <c r="C20" s="11">
        <v>4.0</v>
      </c>
      <c r="D20" s="12">
        <v>0.2513888888888889</v>
      </c>
      <c r="E20" s="13">
        <v>0.2520833333333333</v>
      </c>
      <c r="F20" s="27"/>
      <c r="G20" s="28"/>
      <c r="H20" s="29"/>
      <c r="I20" s="11">
        <v>5.0</v>
      </c>
      <c r="J20" s="12">
        <v>0.34375</v>
      </c>
      <c r="K20" s="13">
        <v>0.3451388888888889</v>
      </c>
      <c r="L20" s="17">
        <v>12.0</v>
      </c>
      <c r="M20" s="12">
        <v>0.42430555555555555</v>
      </c>
      <c r="N20" s="12">
        <v>0.42569444444444443</v>
      </c>
      <c r="O20" s="11">
        <v>18.0</v>
      </c>
      <c r="P20" s="12">
        <v>0.49444444444444446</v>
      </c>
      <c r="Q20" s="13">
        <v>0.49722222222222223</v>
      </c>
      <c r="R20" s="18">
        <v>17.0</v>
      </c>
      <c r="S20" s="12">
        <v>0.55</v>
      </c>
      <c r="T20" s="13">
        <v>0.5520833333333334</v>
      </c>
      <c r="U20" s="11">
        <v>21.0</v>
      </c>
      <c r="V20" s="12">
        <v>0.5965277777777778</v>
      </c>
      <c r="W20" s="13">
        <v>0.6027777777777777</v>
      </c>
      <c r="X20" s="11">
        <v>36.0</v>
      </c>
      <c r="Y20" s="19"/>
      <c r="Z20" s="13">
        <v>0.7159722222222222</v>
      </c>
      <c r="AA20" s="20">
        <v>38.0</v>
      </c>
      <c r="AB20" s="21">
        <v>0.78125</v>
      </c>
      <c r="AC20" s="22">
        <v>0.7833333333333333</v>
      </c>
      <c r="AD20" s="18">
        <v>41.0</v>
      </c>
      <c r="AE20" s="12">
        <v>0.8777777777777778</v>
      </c>
      <c r="AF20" s="23">
        <v>0.88125</v>
      </c>
      <c r="AG20" s="11">
        <v>33.0</v>
      </c>
      <c r="AH20" s="12">
        <v>0.9409722222222222</v>
      </c>
      <c r="AI20" s="13">
        <v>0.9430555555555555</v>
      </c>
      <c r="AJ20" s="14">
        <v>29.0</v>
      </c>
      <c r="AK20" s="15">
        <v>0.03125</v>
      </c>
      <c r="AL20" s="16">
        <v>0.034722222222222224</v>
      </c>
      <c r="AM20" s="11">
        <v>25.0</v>
      </c>
      <c r="AN20" s="12">
        <v>0.08611111111111111</v>
      </c>
      <c r="AO20" s="13">
        <v>0.09097222222222222</v>
      </c>
      <c r="AP20" s="11">
        <v>24.0</v>
      </c>
      <c r="AQ20" s="12">
        <v>0.15138888888888888</v>
      </c>
      <c r="AR20" s="13">
        <v>0.15416666666666667</v>
      </c>
      <c r="AS20" s="11">
        <v>21.0</v>
      </c>
      <c r="AT20" s="12">
        <v>0.24444444444444444</v>
      </c>
      <c r="AU20" s="13">
        <v>0.24722222222222223</v>
      </c>
      <c r="AV20" s="11">
        <v>19.0</v>
      </c>
      <c r="AW20" s="12">
        <v>0.31319444444444444</v>
      </c>
      <c r="AX20" s="13">
        <v>0.3138888888888889</v>
      </c>
      <c r="AY20" s="34"/>
      <c r="AZ20" s="12"/>
      <c r="BA20" s="12"/>
    </row>
    <row r="21" ht="15.75" customHeight="1">
      <c r="A21" s="7"/>
      <c r="B21" s="47">
        <v>702.0</v>
      </c>
      <c r="C21" s="11">
        <v>27.0</v>
      </c>
      <c r="D21" s="12">
        <v>0.25972222222222224</v>
      </c>
      <c r="E21" s="13">
        <v>0.2604166666666667</v>
      </c>
      <c r="F21" s="14">
        <v>23.0</v>
      </c>
      <c r="G21" s="15">
        <v>0.30625</v>
      </c>
      <c r="H21" s="16">
        <v>0.30625</v>
      </c>
      <c r="I21" s="11">
        <v>23.0</v>
      </c>
      <c r="J21" s="12">
        <v>0.3638888888888889</v>
      </c>
      <c r="K21" s="13">
        <v>0.36736111111111114</v>
      </c>
      <c r="L21" s="17">
        <v>20.0</v>
      </c>
      <c r="M21" s="12">
        <v>0.4354166666666667</v>
      </c>
      <c r="N21" s="12">
        <v>0.4375</v>
      </c>
      <c r="O21" s="11">
        <v>15.0</v>
      </c>
      <c r="P21" s="12">
        <v>0.49166666666666664</v>
      </c>
      <c r="Q21" s="13">
        <v>0.4951388888888889</v>
      </c>
      <c r="R21" s="18">
        <v>15.0</v>
      </c>
      <c r="S21" s="12">
        <v>0.5486111111111112</v>
      </c>
      <c r="T21" s="13">
        <v>0.5513888888888889</v>
      </c>
      <c r="U21" s="11">
        <v>17.0</v>
      </c>
      <c r="V21" s="12">
        <v>0.5909722222222222</v>
      </c>
      <c r="W21" s="13">
        <v>0.6027777777777777</v>
      </c>
      <c r="X21" s="11">
        <v>16.0</v>
      </c>
      <c r="Y21" s="19"/>
      <c r="Z21" s="13">
        <v>0.6902777777777778</v>
      </c>
      <c r="AA21" s="20">
        <v>15.0</v>
      </c>
      <c r="AB21" s="21">
        <v>0.7402777777777778</v>
      </c>
      <c r="AC21" s="22">
        <v>0.7430555555555556</v>
      </c>
      <c r="AD21" s="18">
        <v>11.0</v>
      </c>
      <c r="AE21" s="12">
        <v>0.8152777777777778</v>
      </c>
      <c r="AF21" s="23">
        <v>0.81875</v>
      </c>
      <c r="AG21" s="11">
        <v>11.0</v>
      </c>
      <c r="AH21" s="12">
        <v>0.875</v>
      </c>
      <c r="AI21" s="13">
        <v>0.875</v>
      </c>
      <c r="AJ21" s="14">
        <v>11.0</v>
      </c>
      <c r="AK21" s="15">
        <v>0.9618055555555556</v>
      </c>
      <c r="AL21" s="16">
        <v>0.9652777777777778</v>
      </c>
      <c r="AM21" s="11">
        <v>16.0</v>
      </c>
      <c r="AN21" s="12">
        <v>0.029166666666666667</v>
      </c>
      <c r="AO21" s="13">
        <v>0.049305555555555554</v>
      </c>
      <c r="AP21" s="11">
        <v>18.0</v>
      </c>
      <c r="AQ21" s="12">
        <v>0.12083333333333333</v>
      </c>
      <c r="AR21" s="13">
        <v>0.12430555555555556</v>
      </c>
      <c r="AS21" s="11">
        <v>18.0</v>
      </c>
      <c r="AT21" s="12">
        <v>0.23125</v>
      </c>
      <c r="AU21" s="13">
        <v>0.2361111111111111</v>
      </c>
      <c r="AV21" s="11">
        <v>20.0</v>
      </c>
      <c r="AW21" s="12">
        <v>0.3194444444444444</v>
      </c>
      <c r="AX21" s="13">
        <v>0.3194444444444444</v>
      </c>
      <c r="AY21" s="34"/>
      <c r="AZ21" s="12"/>
      <c r="BA21" s="12"/>
    </row>
    <row r="22" ht="15.75" customHeight="1">
      <c r="A22" s="7"/>
      <c r="B22" s="47">
        <v>728.0</v>
      </c>
      <c r="C22" s="11">
        <v>60.0</v>
      </c>
      <c r="D22" s="12">
        <v>0.26319444444444445</v>
      </c>
      <c r="E22" s="13">
        <v>0.2638888888888889</v>
      </c>
      <c r="F22" s="14">
        <v>77.0</v>
      </c>
      <c r="G22" s="15">
        <v>0.32083333333333336</v>
      </c>
      <c r="H22" s="16">
        <v>0.32083333333333336</v>
      </c>
      <c r="I22" s="11">
        <v>34.0</v>
      </c>
      <c r="J22" s="12">
        <v>0.37083333333333335</v>
      </c>
      <c r="K22" s="13">
        <v>0.3736111111111111</v>
      </c>
      <c r="L22" s="17">
        <v>37.0</v>
      </c>
      <c r="M22" s="12">
        <v>0.44722222222222224</v>
      </c>
      <c r="N22" s="12">
        <v>0.4486111111111111</v>
      </c>
      <c r="O22" s="11">
        <v>37.0</v>
      </c>
      <c r="P22" s="12">
        <v>0.5083333333333333</v>
      </c>
      <c r="Q22" s="13">
        <v>0.5104166666666666</v>
      </c>
      <c r="R22" s="18">
        <v>33.0</v>
      </c>
      <c r="S22" s="12">
        <v>0.5659722222222222</v>
      </c>
      <c r="T22" s="13">
        <v>0.5666666666666667</v>
      </c>
      <c r="U22" s="11">
        <v>30.0</v>
      </c>
      <c r="V22" s="12">
        <v>0.6055555555555555</v>
      </c>
      <c r="W22" s="13">
        <v>0.6104166666666667</v>
      </c>
      <c r="X22" s="11">
        <v>29.0</v>
      </c>
      <c r="Y22" s="19"/>
      <c r="Z22" s="13">
        <v>0.7034722222222223</v>
      </c>
      <c r="AA22" s="20">
        <v>27.0</v>
      </c>
      <c r="AB22" s="21">
        <v>0.7569444444444444</v>
      </c>
      <c r="AC22" s="22">
        <v>0.7611111111111111</v>
      </c>
      <c r="AD22" s="18">
        <v>27.0</v>
      </c>
      <c r="AE22" s="12">
        <v>0.8423611111111111</v>
      </c>
      <c r="AF22" s="23">
        <v>0.8479166666666667</v>
      </c>
      <c r="AG22" s="11">
        <v>25.0</v>
      </c>
      <c r="AH22" s="12">
        <v>0.9090277777777778</v>
      </c>
      <c r="AI22" s="13">
        <v>0.9125</v>
      </c>
      <c r="AJ22" s="14">
        <v>23.0</v>
      </c>
      <c r="AK22" s="15">
        <v>0.9979166666666667</v>
      </c>
      <c r="AL22" s="16">
        <v>0.001388888888888889</v>
      </c>
      <c r="AM22" s="11">
        <v>20.0</v>
      </c>
      <c r="AN22" s="12">
        <v>0.05694444444444444</v>
      </c>
      <c r="AO22" s="13">
        <v>0.07222222222222222</v>
      </c>
      <c r="AP22" s="11">
        <v>21.0</v>
      </c>
      <c r="AQ22" s="12">
        <v>0.13541666666666666</v>
      </c>
      <c r="AR22" s="13">
        <v>0.13958333333333334</v>
      </c>
      <c r="AS22" s="11">
        <v>20.0</v>
      </c>
      <c r="AT22" s="12">
        <v>0.24027777777777778</v>
      </c>
      <c r="AU22" s="13">
        <v>0.24791666666666667</v>
      </c>
      <c r="AV22" s="11">
        <v>21.0</v>
      </c>
      <c r="AW22" s="12">
        <v>0.32222222222222224</v>
      </c>
      <c r="AX22" s="13">
        <v>0.3236111111111111</v>
      </c>
      <c r="AY22" s="34"/>
      <c r="AZ22" s="12"/>
      <c r="BA22" s="12"/>
    </row>
    <row r="23" ht="15.75" customHeight="1">
      <c r="A23" s="7"/>
      <c r="B23" s="47">
        <v>591.0</v>
      </c>
      <c r="C23" s="11">
        <v>169.0</v>
      </c>
      <c r="D23" s="12">
        <v>0.2743055555555556</v>
      </c>
      <c r="E23" s="13">
        <v>0.275</v>
      </c>
      <c r="F23" s="14">
        <v>143.0</v>
      </c>
      <c r="G23" s="15">
        <v>0.3368055555555556</v>
      </c>
      <c r="H23" s="16">
        <v>0.3368055555555556</v>
      </c>
      <c r="I23" s="11">
        <v>110.0</v>
      </c>
      <c r="J23" s="12">
        <v>0.4</v>
      </c>
      <c r="K23" s="13">
        <v>0.4097222222222222</v>
      </c>
      <c r="L23" s="17">
        <v>94.0</v>
      </c>
      <c r="M23" s="12">
        <v>0.4847222222222222</v>
      </c>
      <c r="N23" s="12">
        <v>0.4861111111111111</v>
      </c>
      <c r="O23" s="11">
        <v>79.0</v>
      </c>
      <c r="P23" s="12">
        <v>0.5472222222222223</v>
      </c>
      <c r="Q23" s="13">
        <v>0.55</v>
      </c>
      <c r="R23" s="18">
        <v>67.0</v>
      </c>
      <c r="S23" s="12">
        <v>0.6069444444444444</v>
      </c>
      <c r="T23" s="13">
        <v>0.6083333333333333</v>
      </c>
      <c r="U23" s="11">
        <v>63.0</v>
      </c>
      <c r="V23" s="12">
        <v>0.6472222222222223</v>
      </c>
      <c r="W23" s="13">
        <v>0.6548611111111111</v>
      </c>
      <c r="X23" s="11">
        <v>52.0</v>
      </c>
      <c r="Y23" s="19"/>
      <c r="Z23" s="13">
        <v>0.7451388888888889</v>
      </c>
      <c r="AA23" s="20">
        <v>48.0</v>
      </c>
      <c r="AB23" s="21">
        <v>0.7958333333333333</v>
      </c>
      <c r="AC23" s="22">
        <v>0.7979166666666667</v>
      </c>
      <c r="AD23" s="18">
        <v>37.0</v>
      </c>
      <c r="AE23" s="12">
        <v>0.8715277777777778</v>
      </c>
      <c r="AF23" s="23">
        <v>0.8770833333333333</v>
      </c>
      <c r="AG23" s="11">
        <v>31.0</v>
      </c>
      <c r="AH23" s="12">
        <v>0.9395833333333333</v>
      </c>
      <c r="AI23" s="13">
        <v>0.9423611111111111</v>
      </c>
      <c r="AJ23" s="14">
        <v>30.0</v>
      </c>
      <c r="AK23" s="15">
        <v>0.034722222222222224</v>
      </c>
      <c r="AL23" s="16">
        <v>0.03819444444444445</v>
      </c>
      <c r="AM23" s="11">
        <v>26.0</v>
      </c>
      <c r="AN23" s="12">
        <v>0.08611111111111111</v>
      </c>
      <c r="AO23" s="13">
        <v>0.09305555555555556</v>
      </c>
      <c r="AP23" s="11">
        <v>26.0</v>
      </c>
      <c r="AQ23" s="12">
        <v>0.15902777777777777</v>
      </c>
      <c r="AR23" s="13">
        <v>0.16666666666666666</v>
      </c>
      <c r="AS23" s="11">
        <v>24.0</v>
      </c>
      <c r="AT23" s="12">
        <v>0.25972222222222224</v>
      </c>
      <c r="AU23" s="13">
        <v>0.26458333333333334</v>
      </c>
      <c r="AV23" s="11">
        <v>22.0</v>
      </c>
      <c r="AW23" s="12">
        <v>0.32708333333333334</v>
      </c>
      <c r="AX23" s="13">
        <v>0.3277777777777778</v>
      </c>
      <c r="AY23" s="34"/>
      <c r="AZ23" s="12"/>
      <c r="BA23" s="12"/>
    </row>
    <row r="24" ht="15.75" customHeight="1">
      <c r="A24" s="7"/>
      <c r="B24" s="47">
        <v>644.0</v>
      </c>
      <c r="C24" s="11">
        <v>13.0</v>
      </c>
      <c r="D24" s="12">
        <v>0.25416666666666665</v>
      </c>
      <c r="E24" s="13">
        <v>0.2548611111111111</v>
      </c>
      <c r="F24" s="14">
        <v>13.0</v>
      </c>
      <c r="G24" s="15">
        <v>0.3013888888888889</v>
      </c>
      <c r="H24" s="16">
        <v>0.3013888888888889</v>
      </c>
      <c r="I24" s="11">
        <v>16.0</v>
      </c>
      <c r="J24" s="12">
        <v>0.3590277777777778</v>
      </c>
      <c r="K24" s="13">
        <v>0.3625</v>
      </c>
      <c r="L24" s="17">
        <v>23.0</v>
      </c>
      <c r="M24" s="12">
        <v>0.43680555555555556</v>
      </c>
      <c r="N24" s="12">
        <v>0.43819444444444444</v>
      </c>
      <c r="O24" s="11">
        <v>22.0</v>
      </c>
      <c r="P24" s="12">
        <v>0.49722222222222223</v>
      </c>
      <c r="Q24" s="13">
        <v>0.5</v>
      </c>
      <c r="R24" s="18">
        <v>23.0</v>
      </c>
      <c r="S24" s="12">
        <v>0.5569444444444445</v>
      </c>
      <c r="T24" s="13">
        <v>0.5604166666666667</v>
      </c>
      <c r="U24" s="11">
        <v>25.0</v>
      </c>
      <c r="V24" s="12">
        <v>0.6006944444444444</v>
      </c>
      <c r="W24" s="13">
        <v>0.6083333333333333</v>
      </c>
      <c r="X24" s="11">
        <v>24.0</v>
      </c>
      <c r="Y24" s="19"/>
      <c r="Z24" s="13">
        <v>0.6986111111111111</v>
      </c>
      <c r="AA24" s="20">
        <v>26.0</v>
      </c>
      <c r="AB24" s="21">
        <v>0.7520833333333333</v>
      </c>
      <c r="AC24" s="22">
        <v>0.7541666666666667</v>
      </c>
      <c r="AD24" s="18">
        <v>26.0</v>
      </c>
      <c r="AE24" s="12">
        <v>0.83125</v>
      </c>
      <c r="AF24" s="23">
        <v>0.8430555555555556</v>
      </c>
      <c r="AG24" s="11">
        <v>24.0</v>
      </c>
      <c r="AH24" s="12">
        <v>0.9076388888888889</v>
      </c>
      <c r="AI24" s="13">
        <v>0.9125</v>
      </c>
      <c r="AJ24" s="14">
        <v>24.0</v>
      </c>
      <c r="AK24" s="15">
        <v>0.0</v>
      </c>
      <c r="AL24" s="16">
        <v>0.002777777777777778</v>
      </c>
      <c r="AM24" s="11">
        <v>22.0</v>
      </c>
      <c r="AN24" s="12">
        <v>0.06180555555555556</v>
      </c>
      <c r="AO24" s="13">
        <v>0.06944444444444445</v>
      </c>
      <c r="AP24" s="11">
        <v>20.0</v>
      </c>
      <c r="AQ24" s="12">
        <v>0.13333333333333333</v>
      </c>
      <c r="AR24" s="13">
        <v>0.13680555555555557</v>
      </c>
      <c r="AS24" s="11">
        <v>22.0</v>
      </c>
      <c r="AT24" s="12">
        <v>0.25</v>
      </c>
      <c r="AU24" s="13">
        <v>0.2534722222222222</v>
      </c>
      <c r="AV24" s="11">
        <v>23.0</v>
      </c>
      <c r="AW24" s="12">
        <v>0.33611111111111114</v>
      </c>
      <c r="AX24" s="13">
        <v>0.33819444444444446</v>
      </c>
      <c r="AY24" s="34"/>
      <c r="AZ24" s="12"/>
      <c r="BA24" s="12"/>
    </row>
    <row r="25" ht="15.75" customHeight="1">
      <c r="A25" s="7"/>
      <c r="B25" s="47">
        <v>650.0</v>
      </c>
      <c r="C25" s="11">
        <v>28.0</v>
      </c>
      <c r="D25" s="12">
        <v>0.25972222222222224</v>
      </c>
      <c r="E25" s="13">
        <v>0.2604166666666667</v>
      </c>
      <c r="F25" s="14">
        <v>36.0</v>
      </c>
      <c r="G25" s="15">
        <v>0.31180555555555556</v>
      </c>
      <c r="H25" s="16">
        <v>0.31180555555555556</v>
      </c>
      <c r="I25" s="11">
        <v>31.0</v>
      </c>
      <c r="J25" s="12">
        <v>0.36875</v>
      </c>
      <c r="K25" s="13">
        <v>0.3701388888888889</v>
      </c>
      <c r="L25" s="17">
        <v>24.0</v>
      </c>
      <c r="M25" s="30">
        <v>0.44027777777777777</v>
      </c>
      <c r="N25" s="30">
        <v>0.4409722222222222</v>
      </c>
      <c r="O25" s="11">
        <v>24.0</v>
      </c>
      <c r="P25" s="12">
        <v>0.4986111111111111</v>
      </c>
      <c r="Q25" s="13">
        <v>0.5</v>
      </c>
      <c r="R25" s="18">
        <v>19.0</v>
      </c>
      <c r="S25" s="12">
        <v>0.5520833333333334</v>
      </c>
      <c r="T25" s="13">
        <v>0.5534722222222223</v>
      </c>
      <c r="U25" s="11">
        <v>18.0</v>
      </c>
      <c r="V25" s="12">
        <v>0.5909722222222222</v>
      </c>
      <c r="W25" s="13">
        <v>0.59375</v>
      </c>
      <c r="X25" s="11">
        <v>15.0</v>
      </c>
      <c r="Y25" s="19"/>
      <c r="Z25" s="13">
        <v>0.6861111111111111</v>
      </c>
      <c r="AA25" s="20">
        <v>17.0</v>
      </c>
      <c r="AB25" s="21">
        <v>0.7430555555555556</v>
      </c>
      <c r="AC25" s="22">
        <v>0.7458333333333333</v>
      </c>
      <c r="AD25" s="18">
        <v>22.0</v>
      </c>
      <c r="AE25" s="12">
        <v>0.8305555555555556</v>
      </c>
      <c r="AF25" s="23">
        <v>0.8423611111111111</v>
      </c>
      <c r="AG25" s="11">
        <v>22.0</v>
      </c>
      <c r="AH25" s="12">
        <v>0.9048611111111111</v>
      </c>
      <c r="AI25" s="13">
        <v>0.9076388888888889</v>
      </c>
      <c r="AJ25" s="14">
        <v>21.0</v>
      </c>
      <c r="AK25" s="15">
        <v>0.9965277777777778</v>
      </c>
      <c r="AL25" s="16">
        <v>0.9986111111111111</v>
      </c>
      <c r="AM25" s="11">
        <v>21.0</v>
      </c>
      <c r="AN25" s="12">
        <v>0.059722222222222225</v>
      </c>
      <c r="AO25" s="13">
        <v>0.06597222222222222</v>
      </c>
      <c r="AP25" s="11">
        <v>22.0</v>
      </c>
      <c r="AQ25" s="12">
        <v>0.13819444444444445</v>
      </c>
      <c r="AR25" s="13">
        <v>0.1451388888888889</v>
      </c>
      <c r="AS25" s="11">
        <v>25.0</v>
      </c>
      <c r="AT25" s="12">
        <v>0.2604166666666667</v>
      </c>
      <c r="AU25" s="13">
        <v>0.2625</v>
      </c>
      <c r="AV25" s="11">
        <v>24.0</v>
      </c>
      <c r="AW25" s="12">
        <v>0.3375</v>
      </c>
      <c r="AX25" s="13">
        <v>0.3375</v>
      </c>
      <c r="AY25" s="34"/>
      <c r="AZ25" s="12"/>
      <c r="BA25" s="12"/>
    </row>
    <row r="26" ht="15.75" customHeight="1">
      <c r="A26" s="7"/>
      <c r="B26" s="47">
        <v>662.0</v>
      </c>
      <c r="C26" s="11">
        <v>53.0</v>
      </c>
      <c r="D26" s="12">
        <v>0.26319444444444445</v>
      </c>
      <c r="E26" s="13">
        <v>0.2638888888888889</v>
      </c>
      <c r="F26" s="14">
        <v>187.0</v>
      </c>
      <c r="G26" s="15">
        <v>0.3527777777777778</v>
      </c>
      <c r="H26" s="16">
        <v>0.3527777777777778</v>
      </c>
      <c r="I26" s="11">
        <v>46.0</v>
      </c>
      <c r="J26" s="12">
        <v>0.375</v>
      </c>
      <c r="K26" s="13">
        <v>0.3784722222222222</v>
      </c>
      <c r="L26" s="17">
        <v>43.0</v>
      </c>
      <c r="M26" s="12">
        <v>0.4527777777777778</v>
      </c>
      <c r="N26" s="12">
        <v>0.4548611111111111</v>
      </c>
      <c r="O26" s="11">
        <v>43.0</v>
      </c>
      <c r="P26" s="12">
        <v>0.5125</v>
      </c>
      <c r="Q26" s="13">
        <v>0.5152777777777777</v>
      </c>
      <c r="R26" s="18">
        <v>41.0</v>
      </c>
      <c r="S26" s="12">
        <v>0.5708333333333333</v>
      </c>
      <c r="T26" s="13">
        <v>0.5729166666666666</v>
      </c>
      <c r="U26" s="11">
        <v>35.0</v>
      </c>
      <c r="V26" s="12">
        <v>0.6111111111111112</v>
      </c>
      <c r="W26" s="13">
        <v>0.6166666666666667</v>
      </c>
      <c r="X26" s="11">
        <v>31.0</v>
      </c>
      <c r="Y26" s="19"/>
      <c r="Z26" s="13">
        <v>0.7111111111111111</v>
      </c>
      <c r="AA26" s="20">
        <v>30.0</v>
      </c>
      <c r="AB26" s="21">
        <v>0.7666666666666667</v>
      </c>
      <c r="AC26" s="22">
        <v>0.7694444444444445</v>
      </c>
      <c r="AD26" s="18">
        <v>29.0</v>
      </c>
      <c r="AE26" s="12">
        <v>0.8493055555555555</v>
      </c>
      <c r="AF26" s="23">
        <v>0.85625</v>
      </c>
      <c r="AG26" s="11">
        <v>28.0</v>
      </c>
      <c r="AH26" s="12">
        <v>0.9291666666666667</v>
      </c>
      <c r="AI26" s="13">
        <v>0.9319444444444445</v>
      </c>
      <c r="AJ26" s="14">
        <v>26.0</v>
      </c>
      <c r="AK26" s="15">
        <v>0.021527777777777778</v>
      </c>
      <c r="AL26" s="16">
        <v>0.025</v>
      </c>
      <c r="AM26" s="11">
        <v>24.0</v>
      </c>
      <c r="AN26" s="12">
        <v>0.07847222222222222</v>
      </c>
      <c r="AO26" s="13">
        <v>0.08819444444444445</v>
      </c>
      <c r="AP26" s="11">
        <v>25.0</v>
      </c>
      <c r="AQ26" s="12">
        <v>0.15416666666666667</v>
      </c>
      <c r="AR26" s="13">
        <v>0.15694444444444444</v>
      </c>
      <c r="AS26" s="11">
        <v>23.0</v>
      </c>
      <c r="AT26" s="12">
        <v>0.25972222222222224</v>
      </c>
      <c r="AU26" s="13">
        <v>0.2604166666666667</v>
      </c>
      <c r="AV26" s="11">
        <v>25.0</v>
      </c>
      <c r="AW26" s="12">
        <v>0.3451388888888889</v>
      </c>
      <c r="AX26" s="13">
        <v>0.34652777777777777</v>
      </c>
      <c r="AY26" s="34"/>
      <c r="AZ26" s="12"/>
      <c r="BA26" s="12"/>
    </row>
    <row r="27" ht="15.75" customHeight="1">
      <c r="A27" s="7"/>
      <c r="B27" s="47">
        <v>611.0</v>
      </c>
      <c r="C27" s="11">
        <v>49.0</v>
      </c>
      <c r="D27" s="12">
        <v>0.2611111111111111</v>
      </c>
      <c r="E27" s="13">
        <v>0.26180555555555557</v>
      </c>
      <c r="F27" s="14">
        <v>50.0</v>
      </c>
      <c r="G27" s="15">
        <v>0.3138888888888889</v>
      </c>
      <c r="H27" s="16">
        <v>0.3138888888888889</v>
      </c>
      <c r="I27" s="11">
        <v>44.0</v>
      </c>
      <c r="J27" s="12">
        <v>0.3736111111111111</v>
      </c>
      <c r="K27" s="13">
        <v>0.3784722222222222</v>
      </c>
      <c r="L27" s="17">
        <v>41.0</v>
      </c>
      <c r="M27" s="12">
        <v>0.45</v>
      </c>
      <c r="N27" s="12">
        <v>0.4527777777777778</v>
      </c>
      <c r="O27" s="11">
        <v>41.0</v>
      </c>
      <c r="P27" s="12">
        <v>0.5125</v>
      </c>
      <c r="Q27" s="13">
        <v>0.5152777777777777</v>
      </c>
      <c r="R27" s="18">
        <v>38.0</v>
      </c>
      <c r="S27" s="12">
        <v>0.5701388888888889</v>
      </c>
      <c r="T27" s="13">
        <v>0.5708333333333333</v>
      </c>
      <c r="U27" s="11">
        <v>32.0</v>
      </c>
      <c r="V27" s="12">
        <v>0.6069444444444444</v>
      </c>
      <c r="W27" s="13">
        <v>0.6173611111111111</v>
      </c>
      <c r="X27" s="11">
        <v>33.0</v>
      </c>
      <c r="Y27" s="19"/>
      <c r="Z27" s="13">
        <v>0.7138888888888889</v>
      </c>
      <c r="AA27" s="20">
        <v>34.0</v>
      </c>
      <c r="AB27" s="21">
        <v>0.7701388888888889</v>
      </c>
      <c r="AC27" s="22">
        <v>0.7729166666666667</v>
      </c>
      <c r="AD27" s="18">
        <v>34.0</v>
      </c>
      <c r="AE27" s="12">
        <v>0.8611111111111112</v>
      </c>
      <c r="AF27" s="23">
        <v>0.8756944444444444</v>
      </c>
      <c r="AG27" s="11">
        <v>37.0</v>
      </c>
      <c r="AH27" s="12">
        <v>0.9465277777777777</v>
      </c>
      <c r="AI27" s="13">
        <v>0.95</v>
      </c>
      <c r="AJ27" s="14">
        <v>37.0</v>
      </c>
      <c r="AK27" s="15">
        <v>0.04722222222222222</v>
      </c>
      <c r="AL27" s="16">
        <v>0.05277777777777778</v>
      </c>
      <c r="AM27" s="11">
        <v>31.0</v>
      </c>
      <c r="AN27" s="12">
        <v>0.1076388888888889</v>
      </c>
      <c r="AO27" s="13">
        <v>0.12361111111111112</v>
      </c>
      <c r="AP27" s="11">
        <v>33.0</v>
      </c>
      <c r="AQ27" s="12">
        <v>0.1951388888888889</v>
      </c>
      <c r="AR27" s="13">
        <v>0.19930555555555557</v>
      </c>
      <c r="AS27" s="11">
        <v>31.0</v>
      </c>
      <c r="AT27" s="12">
        <v>0.2951388888888889</v>
      </c>
      <c r="AU27" s="13">
        <v>0.29930555555555555</v>
      </c>
      <c r="AV27" s="11">
        <v>26.0</v>
      </c>
      <c r="AW27" s="12">
        <v>0.35555555555555557</v>
      </c>
      <c r="AX27" s="13">
        <v>0.35555555555555557</v>
      </c>
      <c r="AY27" s="34"/>
      <c r="AZ27" s="12"/>
      <c r="BA27" s="12"/>
    </row>
    <row r="28" ht="15.75" customHeight="1">
      <c r="A28" s="7"/>
      <c r="B28" s="47">
        <v>692.0</v>
      </c>
      <c r="C28" s="11">
        <v>45.0</v>
      </c>
      <c r="D28" s="12">
        <v>0.2611111111111111</v>
      </c>
      <c r="E28" s="13">
        <v>0.26180555555555557</v>
      </c>
      <c r="F28" s="14">
        <v>48.0</v>
      </c>
      <c r="G28" s="15">
        <v>0.3138888888888889</v>
      </c>
      <c r="H28" s="16">
        <v>0.3138888888888889</v>
      </c>
      <c r="I28" s="11">
        <v>53.0</v>
      </c>
      <c r="J28" s="12">
        <v>0.3763888888888889</v>
      </c>
      <c r="K28" s="13">
        <v>0.38055555555555554</v>
      </c>
      <c r="L28" s="17">
        <v>56.0</v>
      </c>
      <c r="M28" s="12">
        <v>0.4618055555555556</v>
      </c>
      <c r="N28" s="12">
        <v>0.4652777777777778</v>
      </c>
      <c r="O28" s="11">
        <v>62.0</v>
      </c>
      <c r="P28" s="12">
        <v>0.5333333333333333</v>
      </c>
      <c r="Q28" s="13">
        <v>0.5354166666666667</v>
      </c>
      <c r="R28" s="18">
        <v>62.0</v>
      </c>
      <c r="S28" s="12">
        <v>0.6</v>
      </c>
      <c r="T28" s="13">
        <v>0.6034722222222222</v>
      </c>
      <c r="U28" s="11">
        <v>61.0</v>
      </c>
      <c r="V28" s="12">
        <v>0.6451388888888889</v>
      </c>
      <c r="W28" s="13">
        <v>0.6541666666666667</v>
      </c>
      <c r="X28" s="11">
        <v>59.0</v>
      </c>
      <c r="Y28" s="19"/>
      <c r="Z28" s="13">
        <v>0.7569444444444444</v>
      </c>
      <c r="AA28" s="20">
        <v>57.0</v>
      </c>
      <c r="AB28" s="21">
        <v>0.8125</v>
      </c>
      <c r="AC28" s="22">
        <v>0.8152777777777778</v>
      </c>
      <c r="AD28" s="18">
        <v>48.0</v>
      </c>
      <c r="AE28" s="12">
        <v>0.8951388888888889</v>
      </c>
      <c r="AF28" s="23">
        <v>0.9076388888888889</v>
      </c>
      <c r="AG28" s="11">
        <v>42.0</v>
      </c>
      <c r="AH28" s="30">
        <v>0.9715277777777778</v>
      </c>
      <c r="AI28" s="13">
        <v>0.9777777777777777</v>
      </c>
      <c r="AJ28" s="14">
        <v>38.0</v>
      </c>
      <c r="AK28" s="15">
        <v>0.059027777777777776</v>
      </c>
      <c r="AL28" s="16">
        <v>0.06527777777777778</v>
      </c>
      <c r="AM28" s="11">
        <v>34.0</v>
      </c>
      <c r="AN28" s="12">
        <v>0.11527777777777778</v>
      </c>
      <c r="AO28" s="13">
        <v>0.11875</v>
      </c>
      <c r="AP28" s="11">
        <v>30.0</v>
      </c>
      <c r="AQ28" s="12">
        <v>0.18888888888888888</v>
      </c>
      <c r="AR28" s="13">
        <v>0.19444444444444445</v>
      </c>
      <c r="AS28" s="11">
        <v>28.0</v>
      </c>
      <c r="AT28" s="12">
        <v>0.2916666666666667</v>
      </c>
      <c r="AU28" s="13">
        <v>0.29444444444444445</v>
      </c>
      <c r="AV28" s="11">
        <v>27.0</v>
      </c>
      <c r="AW28" s="12">
        <v>0.35625</v>
      </c>
      <c r="AX28" s="13">
        <v>0.35625</v>
      </c>
      <c r="AY28" s="34"/>
      <c r="AZ28" s="12"/>
      <c r="BA28" s="12"/>
    </row>
    <row r="29" ht="15.75" customHeight="1">
      <c r="A29" s="7"/>
      <c r="B29" s="47">
        <v>697.0</v>
      </c>
      <c r="C29" s="11">
        <v>34.0</v>
      </c>
      <c r="D29" s="12">
        <v>0.25972222222222224</v>
      </c>
      <c r="E29" s="13">
        <v>0.2604166666666667</v>
      </c>
      <c r="F29" s="14">
        <v>28.0</v>
      </c>
      <c r="G29" s="15">
        <v>0.30694444444444446</v>
      </c>
      <c r="H29" s="16">
        <v>0.30694444444444446</v>
      </c>
      <c r="I29" s="11">
        <v>21.0</v>
      </c>
      <c r="J29" s="12">
        <v>0.36319444444444443</v>
      </c>
      <c r="K29" s="13">
        <v>0.3638888888888889</v>
      </c>
      <c r="L29" s="17">
        <v>15.0</v>
      </c>
      <c r="M29" s="12">
        <v>0.42986111111111114</v>
      </c>
      <c r="N29" s="12">
        <v>0.4326388888888889</v>
      </c>
      <c r="O29" s="11">
        <v>13.0</v>
      </c>
      <c r="P29" s="12">
        <v>0.48680555555555555</v>
      </c>
      <c r="Q29" s="13">
        <v>0.4888888888888889</v>
      </c>
      <c r="R29" s="18">
        <v>14.0</v>
      </c>
      <c r="S29" s="12">
        <v>0.5444444444444444</v>
      </c>
      <c r="T29" s="13">
        <v>0.5472222222222223</v>
      </c>
      <c r="U29" s="11">
        <v>14.0</v>
      </c>
      <c r="V29" s="12">
        <v>0.5875</v>
      </c>
      <c r="W29" s="13">
        <v>0.5951388888888889</v>
      </c>
      <c r="X29" s="11">
        <v>14.0</v>
      </c>
      <c r="Y29" s="26"/>
      <c r="Z29" s="13">
        <v>0.6854166666666667</v>
      </c>
      <c r="AA29" s="20">
        <v>16.0</v>
      </c>
      <c r="AB29" s="21">
        <v>0.7430555555555556</v>
      </c>
      <c r="AC29" s="22">
        <v>0.7458333333333333</v>
      </c>
      <c r="AD29" s="18">
        <v>24.0</v>
      </c>
      <c r="AE29" s="12">
        <v>0.8305555555555556</v>
      </c>
      <c r="AF29" s="23">
        <v>0.8409722222222222</v>
      </c>
      <c r="AG29" s="11">
        <v>23.0</v>
      </c>
      <c r="AH29" s="12">
        <v>0.9055555555555556</v>
      </c>
      <c r="AI29" s="13">
        <v>0.9090277777777778</v>
      </c>
      <c r="AJ29" s="14">
        <v>22.0</v>
      </c>
      <c r="AK29" s="15">
        <v>0.9965277777777778</v>
      </c>
      <c r="AL29" s="16">
        <v>0.002777777777777778</v>
      </c>
      <c r="AM29" s="11">
        <v>23.0</v>
      </c>
      <c r="AN29" s="12">
        <v>0.07013888888888889</v>
      </c>
      <c r="AO29" s="13">
        <v>0.075</v>
      </c>
      <c r="AP29" s="11">
        <v>23.0</v>
      </c>
      <c r="AQ29" s="12">
        <v>0.14722222222222223</v>
      </c>
      <c r="AR29" s="13">
        <v>0.15208333333333332</v>
      </c>
      <c r="AS29" s="11">
        <v>26.0</v>
      </c>
      <c r="AT29" s="12">
        <v>0.26805555555555555</v>
      </c>
      <c r="AU29" s="13">
        <v>0.2798611111111111</v>
      </c>
      <c r="AV29" s="11">
        <v>28.0</v>
      </c>
      <c r="AW29" s="12">
        <v>0.36180555555555555</v>
      </c>
      <c r="AX29" s="13">
        <v>0.35694444444444445</v>
      </c>
      <c r="AY29" s="34"/>
      <c r="AZ29" s="12"/>
      <c r="BA29" s="12"/>
    </row>
    <row r="30" ht="15.75" customHeight="1">
      <c r="A30" s="7"/>
      <c r="B30" s="47">
        <v>715.0</v>
      </c>
      <c r="C30" s="32"/>
      <c r="D30" s="19"/>
      <c r="E30" s="33"/>
      <c r="F30" s="27"/>
      <c r="G30" s="28"/>
      <c r="H30" s="29"/>
      <c r="I30" s="11">
        <v>48.0</v>
      </c>
      <c r="J30" s="12">
        <v>0.375</v>
      </c>
      <c r="K30" s="13">
        <v>0.37916666666666665</v>
      </c>
      <c r="L30" s="17">
        <v>44.0</v>
      </c>
      <c r="M30" s="30">
        <v>0.4527777777777778</v>
      </c>
      <c r="N30" s="30">
        <v>0.4548611111111111</v>
      </c>
      <c r="O30" s="11">
        <v>44.0</v>
      </c>
      <c r="P30" s="12">
        <v>0.5125</v>
      </c>
      <c r="Q30" s="13">
        <v>0.5152777777777777</v>
      </c>
      <c r="R30" s="18">
        <v>42.0</v>
      </c>
      <c r="S30" s="12">
        <v>0.5715277777777777</v>
      </c>
      <c r="T30" s="13">
        <v>0.5729166666666666</v>
      </c>
      <c r="U30" s="11">
        <v>39.0</v>
      </c>
      <c r="V30" s="12">
        <v>0.6118055555555556</v>
      </c>
      <c r="W30" s="13">
        <v>0.6194444444444445</v>
      </c>
      <c r="X30" s="11">
        <v>34.0</v>
      </c>
      <c r="Y30" s="19"/>
      <c r="Z30" s="13">
        <v>0.7138888888888889</v>
      </c>
      <c r="AA30" s="20">
        <v>33.0</v>
      </c>
      <c r="AB30" s="21">
        <v>0.7701388888888889</v>
      </c>
      <c r="AC30" s="22">
        <v>0.7729166666666667</v>
      </c>
      <c r="AD30" s="18">
        <v>33.0</v>
      </c>
      <c r="AE30" s="12">
        <v>0.8604166666666667</v>
      </c>
      <c r="AF30" s="23">
        <v>0.8722222222222222</v>
      </c>
      <c r="AG30" s="11">
        <v>32.0</v>
      </c>
      <c r="AH30" s="12">
        <v>0.9395833333333333</v>
      </c>
      <c r="AI30" s="13">
        <v>0.9423611111111111</v>
      </c>
      <c r="AJ30" s="14">
        <v>32.0</v>
      </c>
      <c r="AK30" s="15">
        <v>0.035416666666666666</v>
      </c>
      <c r="AL30" s="16">
        <v>0.03819444444444445</v>
      </c>
      <c r="AM30" s="11">
        <v>29.0</v>
      </c>
      <c r="AN30" s="12">
        <v>0.09930555555555555</v>
      </c>
      <c r="AO30" s="13">
        <v>0.11597222222222223</v>
      </c>
      <c r="AP30" s="11">
        <v>29.0</v>
      </c>
      <c r="AQ30" s="12">
        <v>0.18680555555555556</v>
      </c>
      <c r="AR30" s="13">
        <v>0.19166666666666668</v>
      </c>
      <c r="AS30" s="11">
        <v>29.0</v>
      </c>
      <c r="AT30" s="12">
        <v>0.29305555555555557</v>
      </c>
      <c r="AU30" s="13">
        <v>0.2972222222222222</v>
      </c>
      <c r="AV30" s="11">
        <v>29.0</v>
      </c>
      <c r="AW30" s="12">
        <v>0.36527777777777776</v>
      </c>
      <c r="AX30" s="13">
        <v>0.3659722222222222</v>
      </c>
      <c r="AY30" s="34"/>
      <c r="AZ30" s="12"/>
      <c r="BA30" s="12"/>
    </row>
    <row r="31" ht="15.75" customHeight="1">
      <c r="A31" s="7"/>
      <c r="B31" s="47">
        <v>686.0</v>
      </c>
      <c r="C31" s="11">
        <v>43.0</v>
      </c>
      <c r="D31" s="12">
        <v>0.2604166666666667</v>
      </c>
      <c r="E31" s="13">
        <v>0.26180555555555557</v>
      </c>
      <c r="F31" s="14">
        <v>49.0</v>
      </c>
      <c r="G31" s="15">
        <v>0.3138888888888889</v>
      </c>
      <c r="H31" s="16">
        <v>0.3138888888888889</v>
      </c>
      <c r="I31" s="11">
        <v>55.0</v>
      </c>
      <c r="J31" s="12">
        <v>0.3770833333333333</v>
      </c>
      <c r="K31" s="13">
        <v>0.3798611111111111</v>
      </c>
      <c r="L31" s="17">
        <v>51.0</v>
      </c>
      <c r="M31" s="12">
        <v>0.45902777777777776</v>
      </c>
      <c r="N31" s="12">
        <v>0.46041666666666664</v>
      </c>
      <c r="O31" s="11">
        <v>53.0</v>
      </c>
      <c r="P31" s="12">
        <v>0.5229166666666667</v>
      </c>
      <c r="Q31" s="13">
        <v>0.5256944444444445</v>
      </c>
      <c r="R31" s="18">
        <v>55.0</v>
      </c>
      <c r="S31" s="12">
        <v>0.5888888888888889</v>
      </c>
      <c r="T31" s="13">
        <v>0.5909722222222222</v>
      </c>
      <c r="U31" s="11">
        <v>53.0</v>
      </c>
      <c r="V31" s="12">
        <v>0.6333333333333333</v>
      </c>
      <c r="W31" s="13">
        <v>0.6361111111111111</v>
      </c>
      <c r="X31" s="11">
        <v>44.0</v>
      </c>
      <c r="Y31" s="19"/>
      <c r="Z31" s="13">
        <v>0.7284722222222222</v>
      </c>
      <c r="AA31" s="20">
        <v>42.0</v>
      </c>
      <c r="AB31" s="21">
        <v>0.7854166666666667</v>
      </c>
      <c r="AC31" s="22">
        <v>0.7875</v>
      </c>
      <c r="AD31" s="18">
        <v>38.0</v>
      </c>
      <c r="AE31" s="12">
        <v>0.8715277777777778</v>
      </c>
      <c r="AF31" s="23">
        <v>0.8756944444444444</v>
      </c>
      <c r="AG31" s="11">
        <v>34.0</v>
      </c>
      <c r="AH31" s="12">
        <v>0.9416666666666667</v>
      </c>
      <c r="AI31" s="13">
        <v>0.9451388888888889</v>
      </c>
      <c r="AJ31" s="14">
        <v>28.0</v>
      </c>
      <c r="AK31" s="15">
        <v>0.03125</v>
      </c>
      <c r="AL31" s="16">
        <v>0.03263888888888889</v>
      </c>
      <c r="AM31" s="11">
        <v>27.0</v>
      </c>
      <c r="AN31" s="12">
        <v>0.08888888888888889</v>
      </c>
      <c r="AO31" s="13">
        <v>0.09236111111111112</v>
      </c>
      <c r="AP31" s="11">
        <v>27.0</v>
      </c>
      <c r="AQ31" s="12">
        <v>0.16319444444444445</v>
      </c>
      <c r="AR31" s="13">
        <v>0.16597222222222222</v>
      </c>
      <c r="AS31" s="11">
        <v>27.0</v>
      </c>
      <c r="AT31" s="12">
        <v>0.2763888888888889</v>
      </c>
      <c r="AU31" s="13">
        <v>0.2798611111111111</v>
      </c>
      <c r="AV31" s="11">
        <v>30.0</v>
      </c>
      <c r="AW31" s="12">
        <v>0.3680555555555556</v>
      </c>
      <c r="AX31" s="13">
        <v>0.36180555555555555</v>
      </c>
      <c r="AY31" s="34"/>
      <c r="AZ31" s="12"/>
      <c r="BA31" s="12"/>
    </row>
    <row r="32" ht="15.75" customHeight="1">
      <c r="A32" s="7"/>
      <c r="B32" s="47">
        <v>729.0</v>
      </c>
      <c r="C32" s="11">
        <v>67.0</v>
      </c>
      <c r="D32" s="12">
        <v>0.2638888888888889</v>
      </c>
      <c r="E32" s="13">
        <v>0.26458333333333334</v>
      </c>
      <c r="F32" s="14">
        <v>71.0</v>
      </c>
      <c r="G32" s="15">
        <v>0.32083333333333336</v>
      </c>
      <c r="H32" s="16">
        <v>0.32083333333333336</v>
      </c>
      <c r="I32" s="11">
        <v>63.0</v>
      </c>
      <c r="J32" s="12">
        <v>0.3840277777777778</v>
      </c>
      <c r="K32" s="13">
        <v>0.3861111111111111</v>
      </c>
      <c r="L32" s="17">
        <v>62.0</v>
      </c>
      <c r="M32" s="12">
        <v>0.4652777777777778</v>
      </c>
      <c r="N32" s="12">
        <v>0.4666666666666667</v>
      </c>
      <c r="O32" s="11">
        <v>59.0</v>
      </c>
      <c r="P32" s="12">
        <v>0.5291666666666667</v>
      </c>
      <c r="Q32" s="13">
        <v>0.5305555555555556</v>
      </c>
      <c r="R32" s="18">
        <v>53.0</v>
      </c>
      <c r="S32" s="12">
        <v>0.5881944444444445</v>
      </c>
      <c r="T32" s="13">
        <v>0.5895833333333333</v>
      </c>
      <c r="U32" s="11">
        <v>48.0</v>
      </c>
      <c r="V32" s="12">
        <v>0.6291666666666667</v>
      </c>
      <c r="W32" s="13">
        <v>0.63125</v>
      </c>
      <c r="X32" s="11">
        <v>45.0</v>
      </c>
      <c r="Y32" s="19"/>
      <c r="Z32" s="13">
        <v>0.7319444444444444</v>
      </c>
      <c r="AA32" s="20">
        <v>45.0</v>
      </c>
      <c r="AB32" s="21">
        <v>0.7902777777777777</v>
      </c>
      <c r="AC32" s="22">
        <v>0.7923611111111111</v>
      </c>
      <c r="AD32" s="18">
        <v>39.0</v>
      </c>
      <c r="AE32" s="12">
        <v>0.8770833333333333</v>
      </c>
      <c r="AF32" s="23">
        <v>0.8833333333333333</v>
      </c>
      <c r="AG32" s="11">
        <v>39.0</v>
      </c>
      <c r="AH32" s="12">
        <v>0.9576388888888889</v>
      </c>
      <c r="AI32" s="13">
        <v>0.9618055555555556</v>
      </c>
      <c r="AJ32" s="14">
        <v>39.0</v>
      </c>
      <c r="AK32" s="15">
        <v>0.0625</v>
      </c>
      <c r="AL32" s="16">
        <v>0.06597222222222222</v>
      </c>
      <c r="AM32" s="11">
        <v>35.0</v>
      </c>
      <c r="AN32" s="12">
        <v>0.12152777777777778</v>
      </c>
      <c r="AO32" s="13">
        <v>0.12777777777777777</v>
      </c>
      <c r="AP32" s="11">
        <v>34.0</v>
      </c>
      <c r="AQ32" s="12">
        <v>0.19722222222222222</v>
      </c>
      <c r="AR32" s="13">
        <v>0.20069444444444445</v>
      </c>
      <c r="AS32" s="11">
        <v>30.0</v>
      </c>
      <c r="AT32" s="12">
        <v>0.29305555555555557</v>
      </c>
      <c r="AU32" s="13">
        <v>0.2972222222222222</v>
      </c>
      <c r="AV32" s="11">
        <v>31.0</v>
      </c>
      <c r="AW32" s="12">
        <v>0.3770833333333333</v>
      </c>
      <c r="AX32" s="13">
        <v>0.3798611111111111</v>
      </c>
      <c r="AY32" s="34"/>
      <c r="AZ32" s="12"/>
      <c r="BA32" s="12"/>
    </row>
    <row r="33" ht="15.75" customHeight="1">
      <c r="A33" s="7"/>
      <c r="B33" s="47">
        <v>550.0</v>
      </c>
      <c r="C33" s="11">
        <v>76.0</v>
      </c>
      <c r="D33" s="12">
        <v>0.2659722222222222</v>
      </c>
      <c r="E33" s="13">
        <v>0.26666666666666666</v>
      </c>
      <c r="F33" s="27"/>
      <c r="G33" s="28"/>
      <c r="H33" s="29"/>
      <c r="I33" s="11">
        <v>82.0</v>
      </c>
      <c r="J33" s="12">
        <v>0.38819444444444445</v>
      </c>
      <c r="K33" s="13">
        <v>0.39652777777777776</v>
      </c>
      <c r="L33" s="17">
        <v>81.0</v>
      </c>
      <c r="M33" s="12">
        <v>0.47847222222222224</v>
      </c>
      <c r="N33" s="12">
        <v>0.48055555555555557</v>
      </c>
      <c r="O33" s="11">
        <v>76.0</v>
      </c>
      <c r="P33" s="12">
        <v>0.5451388888888888</v>
      </c>
      <c r="Q33" s="13">
        <v>0.5541666666666667</v>
      </c>
      <c r="R33" s="18">
        <v>78.0</v>
      </c>
      <c r="S33" s="12">
        <v>0.6166666666666667</v>
      </c>
      <c r="T33" s="13">
        <v>0.6194444444444445</v>
      </c>
      <c r="U33" s="11">
        <v>70.0</v>
      </c>
      <c r="V33" s="12">
        <v>0.6625</v>
      </c>
      <c r="W33" s="13">
        <v>0.6708333333333333</v>
      </c>
      <c r="X33" s="11">
        <v>65.0</v>
      </c>
      <c r="Y33" s="19"/>
      <c r="Z33" s="13">
        <v>0.7701388888888889</v>
      </c>
      <c r="AA33" s="20">
        <v>62.0</v>
      </c>
      <c r="AB33" s="21">
        <v>0.8222222222222222</v>
      </c>
      <c r="AC33" s="22">
        <v>0.8236111111111111</v>
      </c>
      <c r="AD33" s="18">
        <v>56.0</v>
      </c>
      <c r="AE33" s="12">
        <v>0.9138888888888889</v>
      </c>
      <c r="AF33" s="23">
        <v>0.925</v>
      </c>
      <c r="AG33" s="11">
        <v>51.0</v>
      </c>
      <c r="AH33" s="12">
        <v>0.9979166666666667</v>
      </c>
      <c r="AI33" s="13">
        <v>0.003472222222222222</v>
      </c>
      <c r="AJ33" s="14">
        <v>53.0</v>
      </c>
      <c r="AK33" s="15">
        <v>0.10555555555555556</v>
      </c>
      <c r="AL33" s="16">
        <v>0.1076388888888889</v>
      </c>
      <c r="AM33" s="11">
        <v>42.0</v>
      </c>
      <c r="AN33" s="12">
        <v>0.15416666666666667</v>
      </c>
      <c r="AO33" s="13">
        <v>0.16041666666666668</v>
      </c>
      <c r="AP33" s="11">
        <v>45.0</v>
      </c>
      <c r="AQ33" s="12">
        <v>0.23958333333333334</v>
      </c>
      <c r="AR33" s="13">
        <v>0.24583333333333332</v>
      </c>
      <c r="AS33" s="11">
        <v>41.0</v>
      </c>
      <c r="AT33" s="12">
        <v>0.3277777777777778</v>
      </c>
      <c r="AU33" s="13">
        <v>0.3277777777777778</v>
      </c>
      <c r="AV33" s="11">
        <v>32.0</v>
      </c>
      <c r="AW33" s="12">
        <v>0.38263888888888886</v>
      </c>
      <c r="AX33" s="13">
        <v>0.38263888888888886</v>
      </c>
      <c r="AY33" s="34"/>
      <c r="AZ33" s="12"/>
      <c r="BA33" s="12"/>
    </row>
    <row r="34" ht="15.75" customHeight="1">
      <c r="A34" s="7"/>
      <c r="B34" s="47">
        <v>527.0</v>
      </c>
      <c r="C34" s="11">
        <v>23.0</v>
      </c>
      <c r="D34" s="12">
        <v>0.25763888888888886</v>
      </c>
      <c r="E34" s="13">
        <v>0.25833333333333336</v>
      </c>
      <c r="F34" s="14">
        <v>20.0</v>
      </c>
      <c r="G34" s="15">
        <v>0.30625</v>
      </c>
      <c r="H34" s="16">
        <v>0.30625</v>
      </c>
      <c r="I34" s="11">
        <v>18.0</v>
      </c>
      <c r="J34" s="12">
        <v>0.3625</v>
      </c>
      <c r="K34" s="13">
        <v>0.3638888888888889</v>
      </c>
      <c r="L34" s="17">
        <v>18.0</v>
      </c>
      <c r="M34" s="12">
        <v>0.43472222222222223</v>
      </c>
      <c r="N34" s="12">
        <v>0.4361111111111111</v>
      </c>
      <c r="O34" s="11">
        <v>19.0</v>
      </c>
      <c r="P34" s="12">
        <v>0.49444444444444446</v>
      </c>
      <c r="Q34" s="13">
        <v>0.49583333333333335</v>
      </c>
      <c r="R34" s="18">
        <v>21.0</v>
      </c>
      <c r="S34" s="12">
        <v>0.5541666666666667</v>
      </c>
      <c r="T34" s="13">
        <v>0.5576388888888889</v>
      </c>
      <c r="U34" s="11">
        <v>22.0</v>
      </c>
      <c r="V34" s="12">
        <v>0.5993055555555555</v>
      </c>
      <c r="W34" s="13">
        <v>0.6111111111111112</v>
      </c>
      <c r="X34" s="11">
        <v>30.0</v>
      </c>
      <c r="Y34" s="19"/>
      <c r="Z34" s="13">
        <v>0.7041666666666667</v>
      </c>
      <c r="AA34" s="20">
        <v>31.0</v>
      </c>
      <c r="AB34" s="21">
        <v>0.7680555555555556</v>
      </c>
      <c r="AC34" s="22">
        <v>0.7715277777777778</v>
      </c>
      <c r="AD34" s="18">
        <v>32.0</v>
      </c>
      <c r="AE34" s="12">
        <v>0.8597222222222223</v>
      </c>
      <c r="AF34" s="23">
        <v>0.8770833333333333</v>
      </c>
      <c r="AG34" s="11">
        <v>35.0</v>
      </c>
      <c r="AH34" s="12">
        <v>0.9451388888888889</v>
      </c>
      <c r="AI34" s="13">
        <v>0.9486111111111111</v>
      </c>
      <c r="AJ34" s="14">
        <v>35.0</v>
      </c>
      <c r="AK34" s="15">
        <v>0.041666666666666664</v>
      </c>
      <c r="AL34" s="16">
        <v>0.04652777777777778</v>
      </c>
      <c r="AM34" s="11">
        <v>33.0</v>
      </c>
      <c r="AN34" s="12">
        <v>0.1111111111111111</v>
      </c>
      <c r="AO34" s="13">
        <v>0.12152777777777778</v>
      </c>
      <c r="AP34" s="11">
        <v>32.0</v>
      </c>
      <c r="AQ34" s="12">
        <v>0.1951388888888889</v>
      </c>
      <c r="AR34" s="13">
        <v>0.20069444444444445</v>
      </c>
      <c r="AS34" s="11">
        <v>35.0</v>
      </c>
      <c r="AT34" s="12">
        <v>0.31180555555555556</v>
      </c>
      <c r="AU34" s="13">
        <v>0.31527777777777777</v>
      </c>
      <c r="AV34" s="11">
        <v>33.0</v>
      </c>
      <c r="AW34" s="12">
        <v>0.38263888888888886</v>
      </c>
      <c r="AX34" s="13">
        <v>0.38263888888888886</v>
      </c>
      <c r="AY34" s="34"/>
      <c r="AZ34" s="12"/>
      <c r="BA34" s="12"/>
    </row>
    <row r="35" ht="15.75" customHeight="1">
      <c r="A35" s="7"/>
      <c r="B35" s="47">
        <v>530.0</v>
      </c>
      <c r="C35" s="11">
        <v>46.0</v>
      </c>
      <c r="D35" s="12">
        <v>0.2611111111111111</v>
      </c>
      <c r="E35" s="13">
        <v>0.26180555555555557</v>
      </c>
      <c r="F35" s="14">
        <v>40.0</v>
      </c>
      <c r="G35" s="15">
        <v>0.31319444444444444</v>
      </c>
      <c r="H35" s="16">
        <v>0.31319444444444444</v>
      </c>
      <c r="I35" s="11">
        <v>57.0</v>
      </c>
      <c r="J35" s="12">
        <v>0.3784722222222222</v>
      </c>
      <c r="K35" s="13">
        <v>0.38055555555555554</v>
      </c>
      <c r="L35" s="17">
        <v>49.0</v>
      </c>
      <c r="M35" s="12">
        <v>0.45694444444444443</v>
      </c>
      <c r="N35" s="12">
        <v>0.45902777777777776</v>
      </c>
      <c r="O35" s="11">
        <v>49.0</v>
      </c>
      <c r="P35" s="12">
        <v>0.5208333333333334</v>
      </c>
      <c r="Q35" s="13">
        <v>0.5229166666666667</v>
      </c>
      <c r="R35" s="18">
        <v>51.0</v>
      </c>
      <c r="S35" s="12">
        <v>0.5875</v>
      </c>
      <c r="T35" s="13">
        <v>0.5888888888888889</v>
      </c>
      <c r="U35" s="11">
        <v>49.0</v>
      </c>
      <c r="V35" s="12">
        <v>0.6305555555555555</v>
      </c>
      <c r="W35" s="13">
        <v>0.6340277777777777</v>
      </c>
      <c r="X35" s="11">
        <v>48.0</v>
      </c>
      <c r="Y35" s="19"/>
      <c r="Z35" s="13">
        <v>0.7388888888888889</v>
      </c>
      <c r="AA35" s="20">
        <v>49.0</v>
      </c>
      <c r="AB35" s="21">
        <v>0.8</v>
      </c>
      <c r="AC35" s="22">
        <v>0.8020833333333334</v>
      </c>
      <c r="AD35" s="18">
        <v>50.0</v>
      </c>
      <c r="AE35" s="12">
        <v>0.9013888888888889</v>
      </c>
      <c r="AF35" s="23">
        <v>0.9180555555555555</v>
      </c>
      <c r="AG35" s="11">
        <v>47.0</v>
      </c>
      <c r="AH35" s="12">
        <v>0.9909722222222223</v>
      </c>
      <c r="AI35" s="13">
        <v>0.9930555555555556</v>
      </c>
      <c r="AJ35" s="14">
        <v>41.0</v>
      </c>
      <c r="AK35" s="15">
        <v>0.07430555555555556</v>
      </c>
      <c r="AL35" s="16">
        <v>0.07569444444444444</v>
      </c>
      <c r="AM35" s="11">
        <v>38.0</v>
      </c>
      <c r="AN35" s="12">
        <v>0.13472222222222222</v>
      </c>
      <c r="AO35" s="13">
        <v>0.14305555555555555</v>
      </c>
      <c r="AP35" s="11">
        <v>37.0</v>
      </c>
      <c r="AQ35" s="12">
        <v>0.2125</v>
      </c>
      <c r="AR35" s="13">
        <v>0.21736111111111112</v>
      </c>
      <c r="AS35" s="11">
        <v>34.0</v>
      </c>
      <c r="AT35" s="12">
        <v>0.3104166666666667</v>
      </c>
      <c r="AU35" s="13">
        <v>0.31180555555555556</v>
      </c>
      <c r="AV35" s="11">
        <v>34.0</v>
      </c>
      <c r="AW35" s="12">
        <v>0.38263888888888886</v>
      </c>
      <c r="AX35" s="13">
        <v>0.38333333333333336</v>
      </c>
      <c r="AY35" s="34"/>
      <c r="AZ35" s="12"/>
      <c r="BA35" s="12"/>
    </row>
    <row r="36" ht="15.75" customHeight="1">
      <c r="A36" s="7"/>
      <c r="B36" s="47">
        <v>684.0</v>
      </c>
      <c r="C36" s="11">
        <v>121.0</v>
      </c>
      <c r="D36" s="12">
        <v>0.2701388888888889</v>
      </c>
      <c r="E36" s="13">
        <v>0.2708333333333333</v>
      </c>
      <c r="F36" s="14">
        <v>102.0</v>
      </c>
      <c r="G36" s="15">
        <v>0.32569444444444445</v>
      </c>
      <c r="H36" s="16">
        <v>0.32569444444444445</v>
      </c>
      <c r="I36" s="11">
        <v>66.0</v>
      </c>
      <c r="J36" s="12">
        <v>0.3854166666666667</v>
      </c>
      <c r="K36" s="13">
        <v>0.3875</v>
      </c>
      <c r="L36" s="17">
        <v>53.0</v>
      </c>
      <c r="M36" s="12">
        <v>0.4597222222222222</v>
      </c>
      <c r="N36" s="12">
        <v>0.46111111111111114</v>
      </c>
      <c r="O36" s="11">
        <v>47.0</v>
      </c>
      <c r="P36" s="12">
        <v>0.5180555555555556</v>
      </c>
      <c r="Q36" s="13">
        <v>0.5236111111111111</v>
      </c>
      <c r="R36" s="18">
        <v>47.0</v>
      </c>
      <c r="S36" s="12">
        <v>0.5826388888888889</v>
      </c>
      <c r="T36" s="13">
        <v>0.5854166666666667</v>
      </c>
      <c r="U36" s="11">
        <v>46.0</v>
      </c>
      <c r="V36" s="12">
        <v>0.6236111111111111</v>
      </c>
      <c r="W36" s="13">
        <v>0.6375</v>
      </c>
      <c r="X36" s="11">
        <v>42.0</v>
      </c>
      <c r="Y36" s="19"/>
      <c r="Z36" s="13">
        <v>0.7263888888888889</v>
      </c>
      <c r="AA36" s="20">
        <v>36.0</v>
      </c>
      <c r="AB36" s="21">
        <v>0.7756944444444445</v>
      </c>
      <c r="AC36" s="22">
        <v>0.78125</v>
      </c>
      <c r="AD36" s="18">
        <v>35.0</v>
      </c>
      <c r="AE36" s="12">
        <v>0.8645833333333334</v>
      </c>
      <c r="AF36" s="23">
        <v>0.8833333333333333</v>
      </c>
      <c r="AG36" s="11">
        <v>36.0</v>
      </c>
      <c r="AH36" s="12">
        <v>0.9451388888888889</v>
      </c>
      <c r="AI36" s="13">
        <v>0.9493055555555555</v>
      </c>
      <c r="AJ36" s="14">
        <v>31.0</v>
      </c>
      <c r="AK36" s="15">
        <v>0.034722222222222224</v>
      </c>
      <c r="AL36" s="16">
        <v>0.03888888888888889</v>
      </c>
      <c r="AM36" s="11">
        <v>28.0</v>
      </c>
      <c r="AN36" s="12">
        <v>0.09722222222222222</v>
      </c>
      <c r="AO36" s="13">
        <v>0.11805555555555555</v>
      </c>
      <c r="AP36" s="11">
        <v>28.0</v>
      </c>
      <c r="AQ36" s="12">
        <v>0.18055555555555555</v>
      </c>
      <c r="AR36" s="13">
        <v>0.1875</v>
      </c>
      <c r="AS36" s="11">
        <v>32.0</v>
      </c>
      <c r="AT36" s="12">
        <v>0.29791666666666666</v>
      </c>
      <c r="AU36" s="13">
        <v>0.30277777777777776</v>
      </c>
      <c r="AV36" s="11">
        <v>35.0</v>
      </c>
      <c r="AW36" s="12">
        <v>0.3861111111111111</v>
      </c>
      <c r="AX36" s="13">
        <v>0.3861111111111111</v>
      </c>
      <c r="AY36" s="34"/>
      <c r="AZ36" s="12"/>
      <c r="BA36" s="12"/>
    </row>
    <row r="37" ht="15.75" customHeight="1">
      <c r="A37" s="7"/>
      <c r="B37" s="47">
        <v>507.0</v>
      </c>
      <c r="C37" s="11">
        <v>44.0</v>
      </c>
      <c r="D37" s="12">
        <v>0.2611111111111111</v>
      </c>
      <c r="E37" s="13">
        <v>0.26180555555555557</v>
      </c>
      <c r="F37" s="14">
        <v>32.0</v>
      </c>
      <c r="G37" s="15">
        <v>0.3076388888888889</v>
      </c>
      <c r="H37" s="16">
        <v>0.3076388888888889</v>
      </c>
      <c r="I37" s="11">
        <v>41.0</v>
      </c>
      <c r="J37" s="12">
        <v>0.3715277777777778</v>
      </c>
      <c r="K37" s="13">
        <v>0.3784722222222222</v>
      </c>
      <c r="L37" s="17">
        <v>52.0</v>
      </c>
      <c r="M37" s="12">
        <v>0.4597222222222222</v>
      </c>
      <c r="N37" s="12">
        <v>0.46111111111111114</v>
      </c>
      <c r="O37" s="11">
        <v>50.0</v>
      </c>
      <c r="P37" s="12">
        <v>0.5215277777777778</v>
      </c>
      <c r="Q37" s="13">
        <v>0.525</v>
      </c>
      <c r="R37" s="18">
        <v>49.0</v>
      </c>
      <c r="S37" s="12">
        <v>0.5854166666666667</v>
      </c>
      <c r="T37" s="13">
        <v>0.5881944444444445</v>
      </c>
      <c r="U37" s="11">
        <v>47.0</v>
      </c>
      <c r="V37" s="12">
        <v>0.6277777777777778</v>
      </c>
      <c r="W37" s="13">
        <v>0.6326388888888889</v>
      </c>
      <c r="X37" s="11">
        <v>46.0</v>
      </c>
      <c r="Y37" s="19"/>
      <c r="Z37" s="13">
        <v>0.7333333333333333</v>
      </c>
      <c r="AA37" s="20">
        <v>46.0</v>
      </c>
      <c r="AB37" s="21">
        <v>0.79375</v>
      </c>
      <c r="AC37" s="22">
        <v>0.8</v>
      </c>
      <c r="AD37" s="18">
        <v>45.0</v>
      </c>
      <c r="AE37" s="12">
        <v>0.8895833333333333</v>
      </c>
      <c r="AF37" s="23">
        <v>0.9006944444444445</v>
      </c>
      <c r="AG37" s="11">
        <v>41.0</v>
      </c>
      <c r="AH37" s="12">
        <v>0.9708333333333333</v>
      </c>
      <c r="AI37" s="13">
        <v>0.9777777777777777</v>
      </c>
      <c r="AJ37" s="14">
        <v>40.0</v>
      </c>
      <c r="AK37" s="15">
        <v>0.07291666666666667</v>
      </c>
      <c r="AL37" s="16">
        <v>0.08055555555555556</v>
      </c>
      <c r="AM37" s="11">
        <v>36.0</v>
      </c>
      <c r="AN37" s="12">
        <v>0.12986111111111112</v>
      </c>
      <c r="AO37" s="13">
        <v>0.14305555555555555</v>
      </c>
      <c r="AP37" s="11">
        <v>36.0</v>
      </c>
      <c r="AQ37" s="12">
        <v>0.21180555555555555</v>
      </c>
      <c r="AR37" s="13">
        <v>0.2152777777777778</v>
      </c>
      <c r="AS37" s="11">
        <v>36.0</v>
      </c>
      <c r="AT37" s="12">
        <v>0.3138888888888889</v>
      </c>
      <c r="AU37" s="13">
        <v>0.3194444444444444</v>
      </c>
      <c r="AV37" s="11">
        <v>36.0</v>
      </c>
      <c r="AW37" s="12">
        <v>0.39444444444444443</v>
      </c>
      <c r="AX37" s="13">
        <v>0.39652777777777776</v>
      </c>
      <c r="AY37" s="34"/>
      <c r="AZ37" s="12"/>
      <c r="BA37" s="12"/>
    </row>
    <row r="38" ht="15.75" customHeight="1">
      <c r="A38" s="7"/>
      <c r="B38" s="47">
        <v>645.0</v>
      </c>
      <c r="C38" s="11">
        <v>56.0</v>
      </c>
      <c r="D38" s="12">
        <v>0.26319444444444445</v>
      </c>
      <c r="E38" s="13">
        <v>0.2638888888888889</v>
      </c>
      <c r="F38" s="14">
        <v>72.0</v>
      </c>
      <c r="G38" s="15">
        <v>0.32083333333333336</v>
      </c>
      <c r="H38" s="16">
        <v>0.32083333333333336</v>
      </c>
      <c r="I38" s="11">
        <v>72.0</v>
      </c>
      <c r="J38" s="12">
        <v>0.38680555555555557</v>
      </c>
      <c r="K38" s="13">
        <v>0.38958333333333334</v>
      </c>
      <c r="L38" s="17">
        <v>61.0</v>
      </c>
      <c r="M38" s="12">
        <v>0.46458333333333335</v>
      </c>
      <c r="N38" s="12">
        <v>0.46597222222222223</v>
      </c>
      <c r="O38" s="11">
        <v>54.0</v>
      </c>
      <c r="P38" s="12">
        <v>0.525</v>
      </c>
      <c r="Q38" s="13">
        <v>0.5277777777777778</v>
      </c>
      <c r="R38" s="18">
        <v>50.0</v>
      </c>
      <c r="S38" s="12">
        <v>0.5875</v>
      </c>
      <c r="T38" s="13">
        <v>0.5902777777777778</v>
      </c>
      <c r="U38" s="11">
        <v>52.0</v>
      </c>
      <c r="V38" s="12">
        <v>0.63125</v>
      </c>
      <c r="W38" s="13">
        <v>0.6416666666666667</v>
      </c>
      <c r="X38" s="11">
        <v>47.0</v>
      </c>
      <c r="Y38" s="19"/>
      <c r="Z38" s="13">
        <v>0.7340277777777777</v>
      </c>
      <c r="AA38" s="20">
        <v>44.0</v>
      </c>
      <c r="AB38" s="21">
        <v>0.7902777777777777</v>
      </c>
      <c r="AC38" s="22">
        <v>0.79375</v>
      </c>
      <c r="AD38" s="18">
        <v>40.0</v>
      </c>
      <c r="AE38" s="12">
        <v>0.8770833333333333</v>
      </c>
      <c r="AF38" s="23">
        <v>0.8895833333333333</v>
      </c>
      <c r="AG38" s="11">
        <v>38.0</v>
      </c>
      <c r="AH38" s="12">
        <v>0.9493055555555555</v>
      </c>
      <c r="AI38" s="13">
        <v>0.9569444444444445</v>
      </c>
      <c r="AJ38" s="14">
        <v>36.0</v>
      </c>
      <c r="AK38" s="15">
        <v>0.04513888888888889</v>
      </c>
      <c r="AL38" s="16">
        <v>0.050694444444444445</v>
      </c>
      <c r="AM38" s="11">
        <v>32.0</v>
      </c>
      <c r="AN38" s="12">
        <v>0.10902777777777778</v>
      </c>
      <c r="AO38" s="13">
        <v>0.13333333333333333</v>
      </c>
      <c r="AP38" s="11">
        <v>35.0</v>
      </c>
      <c r="AQ38" s="12">
        <v>0.2</v>
      </c>
      <c r="AR38" s="13">
        <v>0.2076388888888889</v>
      </c>
      <c r="AS38" s="11">
        <v>33.0</v>
      </c>
      <c r="AT38" s="12">
        <v>0.3076388888888889</v>
      </c>
      <c r="AU38" s="13">
        <v>0.32222222222222224</v>
      </c>
      <c r="AV38" s="11">
        <v>37.0</v>
      </c>
      <c r="AW38" s="12">
        <v>0.3958333333333333</v>
      </c>
      <c r="AX38" s="13">
        <v>0.39791666666666664</v>
      </c>
      <c r="AY38" s="34"/>
      <c r="AZ38" s="12"/>
      <c r="BA38" s="12"/>
    </row>
    <row r="39" ht="15.75" customHeight="1">
      <c r="A39" s="7"/>
      <c r="B39" s="47">
        <v>511.0</v>
      </c>
      <c r="C39" s="11">
        <v>37.0</v>
      </c>
      <c r="D39" s="12">
        <v>0.2604166666666667</v>
      </c>
      <c r="E39" s="13">
        <v>0.26180555555555557</v>
      </c>
      <c r="F39" s="14">
        <v>22.0</v>
      </c>
      <c r="G39" s="15">
        <v>0.30625</v>
      </c>
      <c r="H39" s="16">
        <v>0.30625</v>
      </c>
      <c r="I39" s="11">
        <v>27.0</v>
      </c>
      <c r="J39" s="12">
        <v>0.3659722222222222</v>
      </c>
      <c r="K39" s="13">
        <v>0.3701388888888889</v>
      </c>
      <c r="L39" s="17">
        <v>36.0</v>
      </c>
      <c r="M39" s="12">
        <v>0.4465277777777778</v>
      </c>
      <c r="N39" s="12">
        <v>0.4479166666666667</v>
      </c>
      <c r="O39" s="11">
        <v>45.0</v>
      </c>
      <c r="P39" s="12">
        <v>0.5131944444444444</v>
      </c>
      <c r="Q39" s="13">
        <v>0.5152777777777777</v>
      </c>
      <c r="R39" s="18">
        <v>46.0</v>
      </c>
      <c r="S39" s="12">
        <v>0.5798611111111112</v>
      </c>
      <c r="T39" s="13">
        <v>0.58125</v>
      </c>
      <c r="U39" s="11">
        <v>45.0</v>
      </c>
      <c r="V39" s="12">
        <v>0.6222222222222222</v>
      </c>
      <c r="W39" s="13">
        <v>0.6319444444444444</v>
      </c>
      <c r="X39" s="11">
        <v>50.0</v>
      </c>
      <c r="Y39" s="19"/>
      <c r="Z39" s="13">
        <v>0.74375</v>
      </c>
      <c r="AA39" s="20">
        <v>50.0</v>
      </c>
      <c r="AB39" s="21">
        <v>0.8027777777777778</v>
      </c>
      <c r="AC39" s="22">
        <v>0.8076388888888889</v>
      </c>
      <c r="AD39" s="18">
        <v>46.0</v>
      </c>
      <c r="AE39" s="12">
        <v>0.8916666666666667</v>
      </c>
      <c r="AF39" s="23">
        <v>0.9111111111111111</v>
      </c>
      <c r="AG39" s="11">
        <v>43.0</v>
      </c>
      <c r="AH39" s="12">
        <v>0.9805555555555555</v>
      </c>
      <c r="AI39" s="13">
        <v>0.9868055555555556</v>
      </c>
      <c r="AJ39" s="14">
        <v>42.0</v>
      </c>
      <c r="AK39" s="15">
        <v>0.0763888888888889</v>
      </c>
      <c r="AL39" s="16">
        <v>0.08055555555555556</v>
      </c>
      <c r="AM39" s="11">
        <v>37.0</v>
      </c>
      <c r="AN39" s="12">
        <v>0.13333333333333333</v>
      </c>
      <c r="AO39" s="13">
        <v>0.15138888888888888</v>
      </c>
      <c r="AP39" s="11">
        <v>38.0</v>
      </c>
      <c r="AQ39" s="12">
        <v>0.21458333333333332</v>
      </c>
      <c r="AR39" s="13">
        <v>0.22152777777777777</v>
      </c>
      <c r="AS39" s="11">
        <v>37.0</v>
      </c>
      <c r="AT39" s="12">
        <v>0.31666666666666665</v>
      </c>
      <c r="AU39" s="13">
        <v>0.3263888888888889</v>
      </c>
      <c r="AV39" s="11">
        <v>38.0</v>
      </c>
      <c r="AW39" s="12">
        <v>0.39791666666666664</v>
      </c>
      <c r="AX39" s="13">
        <v>0.3993055555555556</v>
      </c>
      <c r="AY39" s="34"/>
      <c r="AZ39" s="12"/>
      <c r="BA39" s="12"/>
    </row>
    <row r="40" ht="15.75" customHeight="1">
      <c r="A40" s="7"/>
      <c r="B40" s="47">
        <v>523.0</v>
      </c>
      <c r="C40" s="11">
        <v>114.0</v>
      </c>
      <c r="D40" s="12">
        <v>0.26944444444444443</v>
      </c>
      <c r="E40" s="13">
        <v>0.2701388888888889</v>
      </c>
      <c r="F40" s="14">
        <v>100.0</v>
      </c>
      <c r="G40" s="15">
        <v>0.32569444444444445</v>
      </c>
      <c r="H40" s="16">
        <v>0.32569444444444445</v>
      </c>
      <c r="I40" s="11">
        <v>81.0</v>
      </c>
      <c r="J40" s="12">
        <v>0.38819444444444445</v>
      </c>
      <c r="K40" s="13">
        <v>0.39375</v>
      </c>
      <c r="L40" s="17">
        <v>70.0</v>
      </c>
      <c r="M40" s="12">
        <v>0.4722222222222222</v>
      </c>
      <c r="N40" s="12">
        <v>0.4736111111111111</v>
      </c>
      <c r="O40" s="11">
        <v>61.0</v>
      </c>
      <c r="P40" s="12">
        <v>0.51875</v>
      </c>
      <c r="Q40" s="13">
        <v>0.5368055555555555</v>
      </c>
      <c r="R40" s="18">
        <v>58.0</v>
      </c>
      <c r="S40" s="12">
        <v>0.5958333333333333</v>
      </c>
      <c r="T40" s="13">
        <v>0.6</v>
      </c>
      <c r="U40" s="11">
        <v>55.0</v>
      </c>
      <c r="V40" s="12">
        <v>0.6409722222222223</v>
      </c>
      <c r="W40" s="13">
        <v>0.6555555555555556</v>
      </c>
      <c r="X40" s="11">
        <v>57.0</v>
      </c>
      <c r="Y40" s="19"/>
      <c r="Z40" s="13">
        <v>0.75625</v>
      </c>
      <c r="AA40" s="20">
        <v>55.0</v>
      </c>
      <c r="AB40" s="21">
        <v>0.8125</v>
      </c>
      <c r="AC40" s="22">
        <v>0.8208333333333333</v>
      </c>
      <c r="AD40" s="18">
        <v>51.0</v>
      </c>
      <c r="AE40" s="12">
        <v>0.9076388888888889</v>
      </c>
      <c r="AF40" s="23">
        <v>0.91875</v>
      </c>
      <c r="AG40" s="11">
        <v>49.0</v>
      </c>
      <c r="AH40" s="12">
        <v>0.9930555555555556</v>
      </c>
      <c r="AI40" s="13">
        <v>0.9993055555555556</v>
      </c>
      <c r="AJ40" s="14">
        <v>48.0</v>
      </c>
      <c r="AK40" s="15">
        <v>0.09791666666666667</v>
      </c>
      <c r="AL40" s="16">
        <v>0.10694444444444444</v>
      </c>
      <c r="AM40" s="11">
        <v>43.0</v>
      </c>
      <c r="AN40" s="12">
        <v>0.15416666666666667</v>
      </c>
      <c r="AO40" s="13">
        <v>0.1673611111111111</v>
      </c>
      <c r="AP40" s="11">
        <v>41.0</v>
      </c>
      <c r="AQ40" s="12">
        <v>0.2298611111111111</v>
      </c>
      <c r="AR40" s="13">
        <v>0.23680555555555555</v>
      </c>
      <c r="AS40" s="11">
        <v>40.0</v>
      </c>
      <c r="AT40" s="12">
        <v>0.3277777777777778</v>
      </c>
      <c r="AU40" s="13">
        <v>0.33541666666666664</v>
      </c>
      <c r="AV40" s="11">
        <v>39.0</v>
      </c>
      <c r="AW40" s="12">
        <v>0.4027777777777778</v>
      </c>
      <c r="AX40" s="13">
        <v>0.40347222222222223</v>
      </c>
      <c r="AY40" s="34"/>
      <c r="AZ40" s="12"/>
      <c r="BA40" s="12"/>
    </row>
    <row r="41" ht="15.75" customHeight="1">
      <c r="A41" s="7"/>
      <c r="B41" s="47">
        <v>522.0</v>
      </c>
      <c r="C41" s="11">
        <v>87.0</v>
      </c>
      <c r="D41" s="12">
        <v>0.26666666666666666</v>
      </c>
      <c r="E41" s="13">
        <v>0.2673611111111111</v>
      </c>
      <c r="F41" s="14">
        <v>90.0</v>
      </c>
      <c r="G41" s="15">
        <v>0.32430555555555557</v>
      </c>
      <c r="H41" s="16">
        <v>0.32430555555555557</v>
      </c>
      <c r="I41" s="11">
        <v>94.0</v>
      </c>
      <c r="J41" s="12">
        <v>0.39375</v>
      </c>
      <c r="K41" s="13">
        <v>0.39652777777777776</v>
      </c>
      <c r="L41" s="17">
        <v>87.0</v>
      </c>
      <c r="M41" s="12">
        <v>0.4826388888888889</v>
      </c>
      <c r="N41" s="12">
        <v>0.48541666666666666</v>
      </c>
      <c r="O41" s="11">
        <v>88.0</v>
      </c>
      <c r="P41" s="12">
        <v>0.55625</v>
      </c>
      <c r="Q41" s="13">
        <v>0.5583333333333333</v>
      </c>
      <c r="R41" s="18">
        <v>95.0</v>
      </c>
      <c r="S41" s="12">
        <v>0.6298611111111111</v>
      </c>
      <c r="T41" s="13">
        <v>0.6326388888888889</v>
      </c>
      <c r="U41" s="11">
        <v>92.0</v>
      </c>
      <c r="V41" s="12">
        <v>0.6805555555555556</v>
      </c>
      <c r="W41" s="13">
        <v>0.6861111111111111</v>
      </c>
      <c r="X41" s="11">
        <v>81.0</v>
      </c>
      <c r="Y41" s="19"/>
      <c r="Z41" s="13">
        <v>0.7895833333333333</v>
      </c>
      <c r="AA41" s="20">
        <v>80.0</v>
      </c>
      <c r="AB41" s="21">
        <v>0.8534722222222222</v>
      </c>
      <c r="AC41" s="22">
        <v>0.8569444444444444</v>
      </c>
      <c r="AD41" s="18">
        <v>74.0</v>
      </c>
      <c r="AE41" s="12">
        <v>0.9486111111111111</v>
      </c>
      <c r="AF41" s="23">
        <v>0.9548611111111112</v>
      </c>
      <c r="AG41" s="11">
        <v>66.0</v>
      </c>
      <c r="AH41" s="12">
        <v>0.022222222222222223</v>
      </c>
      <c r="AI41" s="13">
        <v>0.025</v>
      </c>
      <c r="AJ41" s="14">
        <v>57.0</v>
      </c>
      <c r="AK41" s="15">
        <v>0.11388888888888889</v>
      </c>
      <c r="AL41" s="16">
        <v>0.12013888888888889</v>
      </c>
      <c r="AM41" s="11">
        <v>54.0</v>
      </c>
      <c r="AN41" s="12">
        <v>0.17847222222222223</v>
      </c>
      <c r="AO41" s="13">
        <v>0.1840277777777778</v>
      </c>
      <c r="AP41" s="11">
        <v>46.0</v>
      </c>
      <c r="AQ41" s="12">
        <v>0.24444444444444444</v>
      </c>
      <c r="AR41" s="13">
        <v>0.2465277777777778</v>
      </c>
      <c r="AS41" s="11">
        <v>42.0</v>
      </c>
      <c r="AT41" s="12">
        <v>0.3375</v>
      </c>
      <c r="AU41" s="13">
        <v>0.3402777777777778</v>
      </c>
      <c r="AV41" s="11">
        <v>40.0</v>
      </c>
      <c r="AW41" s="12">
        <v>0.4076388888888889</v>
      </c>
      <c r="AX41" s="13">
        <v>0.40902777777777777</v>
      </c>
      <c r="AY41" s="34"/>
      <c r="AZ41" s="12"/>
      <c r="BA41" s="12"/>
    </row>
    <row r="42" ht="15.75" customHeight="1">
      <c r="A42" s="7"/>
      <c r="B42" s="47">
        <v>675.0</v>
      </c>
      <c r="C42" s="11">
        <v>94.0</v>
      </c>
      <c r="D42" s="12">
        <v>0.2673611111111111</v>
      </c>
      <c r="E42" s="13">
        <v>0.26805555555555555</v>
      </c>
      <c r="F42" s="14">
        <v>108.0</v>
      </c>
      <c r="G42" s="15">
        <v>0.32569444444444445</v>
      </c>
      <c r="H42" s="16">
        <v>0.32569444444444445</v>
      </c>
      <c r="I42" s="11">
        <v>88.0</v>
      </c>
      <c r="J42" s="12">
        <v>0.38958333333333334</v>
      </c>
      <c r="K42" s="13">
        <v>0.3951388888888889</v>
      </c>
      <c r="L42" s="17">
        <v>79.0</v>
      </c>
      <c r="M42" s="12">
        <v>0.4756944444444444</v>
      </c>
      <c r="N42" s="12">
        <v>0.48055555555555557</v>
      </c>
      <c r="O42" s="11">
        <v>77.0</v>
      </c>
      <c r="P42" s="12">
        <v>0.5465277777777777</v>
      </c>
      <c r="Q42" s="13">
        <v>0.5479166666666667</v>
      </c>
      <c r="R42" s="18">
        <v>65.0</v>
      </c>
      <c r="S42" s="12">
        <v>0.60625</v>
      </c>
      <c r="T42" s="13">
        <v>0.6076388888888888</v>
      </c>
      <c r="U42" s="11">
        <v>64.0</v>
      </c>
      <c r="V42" s="12">
        <v>0.6493055555555556</v>
      </c>
      <c r="W42" s="13">
        <v>0.6576388888888889</v>
      </c>
      <c r="X42" s="11">
        <v>56.0</v>
      </c>
      <c r="Y42" s="19"/>
      <c r="Z42" s="13">
        <v>0.7534722222222222</v>
      </c>
      <c r="AA42" s="20">
        <v>54.0</v>
      </c>
      <c r="AB42" s="21">
        <v>0.8125</v>
      </c>
      <c r="AC42" s="22">
        <v>0.81875</v>
      </c>
      <c r="AD42" s="18">
        <v>55.0</v>
      </c>
      <c r="AE42" s="12">
        <v>0.9111111111111111</v>
      </c>
      <c r="AF42" s="23">
        <v>0.91875</v>
      </c>
      <c r="AG42" s="11">
        <v>46.0</v>
      </c>
      <c r="AH42" s="12">
        <v>0.9909722222222223</v>
      </c>
      <c r="AI42" s="13">
        <v>0.9916666666666667</v>
      </c>
      <c r="AJ42" s="14">
        <v>44.0</v>
      </c>
      <c r="AK42" s="15">
        <v>0.08402777777777778</v>
      </c>
      <c r="AL42" s="16">
        <v>0.08958333333333333</v>
      </c>
      <c r="AM42" s="11">
        <v>41.0</v>
      </c>
      <c r="AN42" s="12">
        <v>0.14375</v>
      </c>
      <c r="AO42" s="13">
        <v>0.1527777777777778</v>
      </c>
      <c r="AP42" s="11">
        <v>39.0</v>
      </c>
      <c r="AQ42" s="12">
        <v>0.22291666666666668</v>
      </c>
      <c r="AR42" s="13">
        <v>0.225</v>
      </c>
      <c r="AS42" s="11">
        <v>39.0</v>
      </c>
      <c r="AT42" s="12">
        <v>0.3277777777777778</v>
      </c>
      <c r="AU42" s="13">
        <v>0.3347222222222222</v>
      </c>
      <c r="AV42" s="11">
        <v>41.0</v>
      </c>
      <c r="AW42" s="12">
        <v>0.4076388888888889</v>
      </c>
      <c r="AX42" s="13">
        <v>0.4083333333333333</v>
      </c>
      <c r="AY42" s="34"/>
      <c r="AZ42" s="12"/>
      <c r="BA42" s="12"/>
    </row>
    <row r="43" ht="15.75" customHeight="1">
      <c r="A43" s="7"/>
      <c r="B43" s="47">
        <v>562.0</v>
      </c>
      <c r="C43" s="11">
        <v>42.0</v>
      </c>
      <c r="D43" s="12">
        <v>0.2604166666666667</v>
      </c>
      <c r="E43" s="13">
        <v>0.26180555555555557</v>
      </c>
      <c r="F43" s="14">
        <v>38.0</v>
      </c>
      <c r="G43" s="15">
        <v>0.31180555555555556</v>
      </c>
      <c r="H43" s="16">
        <v>0.31180555555555556</v>
      </c>
      <c r="I43" s="11">
        <v>49.0</v>
      </c>
      <c r="J43" s="12">
        <v>0.375</v>
      </c>
      <c r="K43" s="13">
        <v>0.3819444444444444</v>
      </c>
      <c r="L43" s="17">
        <v>46.0</v>
      </c>
      <c r="M43" s="12">
        <v>0.45416666666666666</v>
      </c>
      <c r="N43" s="12">
        <v>0.45555555555555555</v>
      </c>
      <c r="O43" s="11">
        <v>46.0</v>
      </c>
      <c r="P43" s="12">
        <v>0.5131944444444444</v>
      </c>
      <c r="Q43" s="13">
        <v>0.5201388888888889</v>
      </c>
      <c r="R43" s="18">
        <v>45.0</v>
      </c>
      <c r="S43" s="12">
        <v>0.5784722222222223</v>
      </c>
      <c r="T43" s="13">
        <v>0.5805555555555556</v>
      </c>
      <c r="U43" s="11">
        <v>44.0</v>
      </c>
      <c r="V43" s="12">
        <v>0.6208333333333333</v>
      </c>
      <c r="W43" s="13">
        <v>0.6277777777777778</v>
      </c>
      <c r="X43" s="11">
        <v>40.0</v>
      </c>
      <c r="Y43" s="19"/>
      <c r="Z43" s="13">
        <v>0.725</v>
      </c>
      <c r="AA43" s="20">
        <v>41.0</v>
      </c>
      <c r="AB43" s="21">
        <v>0.7840277777777778</v>
      </c>
      <c r="AC43" s="22">
        <v>0.7861111111111111</v>
      </c>
      <c r="AD43" s="18">
        <v>36.0</v>
      </c>
      <c r="AE43" s="12">
        <v>0.8694444444444445</v>
      </c>
      <c r="AF43" s="23">
        <v>0.8756944444444444</v>
      </c>
      <c r="AG43" s="11">
        <v>30.0</v>
      </c>
      <c r="AH43" s="12">
        <v>0.9388888888888889</v>
      </c>
      <c r="AI43" s="13">
        <v>0.9416666666666667</v>
      </c>
      <c r="AJ43" s="14">
        <v>33.0</v>
      </c>
      <c r="AK43" s="15">
        <v>0.035416666666666666</v>
      </c>
      <c r="AL43" s="16">
        <v>0.03819444444444445</v>
      </c>
      <c r="AM43" s="11">
        <v>30.0</v>
      </c>
      <c r="AN43" s="12">
        <v>0.10555555555555556</v>
      </c>
      <c r="AO43" s="13">
        <v>0.12083333333333333</v>
      </c>
      <c r="AP43" s="11">
        <v>31.0</v>
      </c>
      <c r="AQ43" s="12">
        <v>0.1951388888888889</v>
      </c>
      <c r="AR43" s="13">
        <v>0.19791666666666666</v>
      </c>
      <c r="AS43" s="11">
        <v>38.0</v>
      </c>
      <c r="AT43" s="12">
        <v>0.3104166666666667</v>
      </c>
      <c r="AU43" s="13">
        <v>0.3277777777777778</v>
      </c>
      <c r="AV43" s="11">
        <v>42.0</v>
      </c>
      <c r="AW43" s="12">
        <v>0.4083333333333333</v>
      </c>
      <c r="AX43" s="13">
        <v>0.4097222222222222</v>
      </c>
      <c r="AY43" s="34"/>
      <c r="AZ43" s="12"/>
      <c r="BA43" s="12"/>
    </row>
    <row r="44" ht="15.75" customHeight="1">
      <c r="A44" s="7"/>
      <c r="B44" s="47">
        <v>642.0</v>
      </c>
      <c r="C44" s="11">
        <v>39.0</v>
      </c>
      <c r="D44" s="12">
        <v>0.2604166666666667</v>
      </c>
      <c r="E44" s="13">
        <v>0.26180555555555557</v>
      </c>
      <c r="F44" s="14">
        <v>37.0</v>
      </c>
      <c r="G44" s="15">
        <v>0.31180555555555556</v>
      </c>
      <c r="H44" s="16">
        <v>0.31180555555555556</v>
      </c>
      <c r="I44" s="11">
        <v>45.0</v>
      </c>
      <c r="J44" s="12">
        <v>0.37430555555555556</v>
      </c>
      <c r="K44" s="13">
        <v>0.3763888888888889</v>
      </c>
      <c r="L44" s="17">
        <v>50.0</v>
      </c>
      <c r="M44" s="12">
        <v>0.45902777777777776</v>
      </c>
      <c r="N44" s="12">
        <v>0.46041666666666664</v>
      </c>
      <c r="O44" s="11">
        <v>52.0</v>
      </c>
      <c r="P44" s="12">
        <v>0.5229166666666667</v>
      </c>
      <c r="Q44" s="13">
        <v>0.525</v>
      </c>
      <c r="R44" s="18">
        <v>54.0</v>
      </c>
      <c r="S44" s="12">
        <v>0.5881944444444445</v>
      </c>
      <c r="T44" s="13">
        <v>0.5895833333333333</v>
      </c>
      <c r="U44" s="11">
        <v>54.0</v>
      </c>
      <c r="V44" s="12">
        <v>0.6333333333333333</v>
      </c>
      <c r="W44" s="13">
        <v>0.6381944444444444</v>
      </c>
      <c r="X44" s="11">
        <v>54.0</v>
      </c>
      <c r="Y44" s="19"/>
      <c r="Z44" s="13">
        <v>0.7513888888888889</v>
      </c>
      <c r="AA44" s="20">
        <v>58.0</v>
      </c>
      <c r="AB44" s="21">
        <v>0.8152777777777778</v>
      </c>
      <c r="AC44" s="22">
        <v>0.8215277777777777</v>
      </c>
      <c r="AD44" s="18">
        <v>58.0</v>
      </c>
      <c r="AE44" s="12">
        <v>0.9166666666666666</v>
      </c>
      <c r="AF44" s="23">
        <v>0.9305555555555556</v>
      </c>
      <c r="AG44" s="11">
        <v>53.0</v>
      </c>
      <c r="AH44" s="12">
        <v>1.0</v>
      </c>
      <c r="AI44" s="13">
        <v>0.007638888888888889</v>
      </c>
      <c r="AJ44" s="14">
        <v>46.0</v>
      </c>
      <c r="AK44" s="15">
        <v>0.09652777777777778</v>
      </c>
      <c r="AL44" s="16">
        <v>0.10555555555555556</v>
      </c>
      <c r="AM44" s="11">
        <v>44.0</v>
      </c>
      <c r="AN44" s="12">
        <v>0.15555555555555556</v>
      </c>
      <c r="AO44" s="13">
        <v>0.16805555555555557</v>
      </c>
      <c r="AP44" s="11">
        <v>44.0</v>
      </c>
      <c r="AQ44" s="12">
        <v>0.23958333333333334</v>
      </c>
      <c r="AR44" s="13">
        <v>0.24722222222222223</v>
      </c>
      <c r="AS44" s="11">
        <v>43.0</v>
      </c>
      <c r="AT44" s="12">
        <v>0.33819444444444446</v>
      </c>
      <c r="AU44" s="13">
        <v>0.34375</v>
      </c>
      <c r="AV44" s="11">
        <v>43.0</v>
      </c>
      <c r="AW44" s="12">
        <v>0.41180555555555554</v>
      </c>
      <c r="AX44" s="13">
        <v>0.41180555555555554</v>
      </c>
      <c r="AY44" s="34"/>
      <c r="AZ44" s="12"/>
      <c r="BA44" s="12"/>
    </row>
    <row r="45" ht="15.75" customHeight="1">
      <c r="A45" s="7"/>
      <c r="B45" s="47">
        <v>585.0</v>
      </c>
      <c r="C45" s="11">
        <v>144.0</v>
      </c>
      <c r="D45" s="12">
        <v>0.27152777777777776</v>
      </c>
      <c r="E45" s="13">
        <v>0.2722222222222222</v>
      </c>
      <c r="F45" s="14">
        <v>141.0</v>
      </c>
      <c r="G45" s="15">
        <v>0.33611111111111114</v>
      </c>
      <c r="H45" s="16">
        <v>0.33611111111111114</v>
      </c>
      <c r="I45" s="11">
        <v>147.0</v>
      </c>
      <c r="J45" s="12">
        <v>0.4125</v>
      </c>
      <c r="K45" s="13">
        <v>0.41944444444444445</v>
      </c>
      <c r="L45" s="17">
        <v>129.0</v>
      </c>
      <c r="M45" s="12">
        <v>0.5041666666666667</v>
      </c>
      <c r="N45" s="12">
        <v>0.5076388888888889</v>
      </c>
      <c r="O45" s="11">
        <v>124.0</v>
      </c>
      <c r="P45" s="12">
        <v>0.5798611111111112</v>
      </c>
      <c r="Q45" s="13">
        <v>0.5826388888888889</v>
      </c>
      <c r="R45" s="18">
        <v>114.0</v>
      </c>
      <c r="S45" s="12">
        <v>0.6479166666666667</v>
      </c>
      <c r="T45" s="13">
        <v>0.6506944444444445</v>
      </c>
      <c r="U45" s="11">
        <v>105.0</v>
      </c>
      <c r="V45" s="12">
        <v>0.6958333333333333</v>
      </c>
      <c r="W45" s="13">
        <v>0.7</v>
      </c>
      <c r="X45" s="11">
        <v>89.0</v>
      </c>
      <c r="Y45" s="19"/>
      <c r="Z45" s="13">
        <v>0.7958333333333333</v>
      </c>
      <c r="AA45" s="20">
        <v>84.0</v>
      </c>
      <c r="AB45" s="21">
        <v>0.8555555555555555</v>
      </c>
      <c r="AC45" s="22">
        <v>0.8555555555555555</v>
      </c>
      <c r="AD45" s="18">
        <v>80.0</v>
      </c>
      <c r="AE45" s="12">
        <v>0.9520833333333333</v>
      </c>
      <c r="AF45" s="23">
        <v>0.95625</v>
      </c>
      <c r="AG45" s="11">
        <v>71.0</v>
      </c>
      <c r="AH45" s="12">
        <v>0.029861111111111113</v>
      </c>
      <c r="AI45" s="13">
        <v>0.03125</v>
      </c>
      <c r="AJ45" s="14">
        <v>60.0</v>
      </c>
      <c r="AK45" s="15">
        <v>0.13194444444444445</v>
      </c>
      <c r="AL45" s="16">
        <v>0.13541666666666666</v>
      </c>
      <c r="AM45" s="11">
        <v>57.0</v>
      </c>
      <c r="AN45" s="12">
        <v>0.19305555555555556</v>
      </c>
      <c r="AO45" s="13">
        <v>0.19375</v>
      </c>
      <c r="AP45" s="11">
        <v>52.0</v>
      </c>
      <c r="AQ45" s="12">
        <v>0.26319444444444445</v>
      </c>
      <c r="AR45" s="13">
        <v>0.2659722222222222</v>
      </c>
      <c r="AS45" s="11">
        <v>47.0</v>
      </c>
      <c r="AT45" s="12">
        <v>0.34791666666666665</v>
      </c>
      <c r="AU45" s="13">
        <v>0.34930555555555554</v>
      </c>
      <c r="AV45" s="11">
        <v>44.0</v>
      </c>
      <c r="AW45" s="12">
        <v>0.4201388888888889</v>
      </c>
      <c r="AX45" s="13">
        <v>0.42083333333333334</v>
      </c>
      <c r="AY45" s="34"/>
      <c r="AZ45" s="12"/>
      <c r="BA45" s="12"/>
    </row>
    <row r="46" ht="15.75" customHeight="1">
      <c r="A46" s="7"/>
      <c r="B46" s="47">
        <v>663.0</v>
      </c>
      <c r="C46" s="11">
        <v>74.0</v>
      </c>
      <c r="D46" s="12">
        <v>0.26458333333333334</v>
      </c>
      <c r="E46" s="13">
        <v>0.2652777777777778</v>
      </c>
      <c r="F46" s="14">
        <v>91.0</v>
      </c>
      <c r="G46" s="15">
        <v>0.32430555555555557</v>
      </c>
      <c r="H46" s="16">
        <v>0.32430555555555557</v>
      </c>
      <c r="I46" s="11">
        <v>95.0</v>
      </c>
      <c r="J46" s="12">
        <v>0.3951388888888889</v>
      </c>
      <c r="K46" s="13">
        <v>0.3972222222222222</v>
      </c>
      <c r="L46" s="34">
        <v>95.0</v>
      </c>
      <c r="M46" s="12">
        <v>0.48541666666666666</v>
      </c>
      <c r="N46" s="12">
        <v>0.48680555555555555</v>
      </c>
      <c r="O46" s="11">
        <v>92.0</v>
      </c>
      <c r="P46" s="12">
        <v>0.5569444444444445</v>
      </c>
      <c r="Q46" s="13">
        <v>0.5576388888888889</v>
      </c>
      <c r="R46" s="18">
        <v>87.0</v>
      </c>
      <c r="S46" s="12">
        <v>0.625</v>
      </c>
      <c r="T46" s="13">
        <v>0.6270833333333333</v>
      </c>
      <c r="U46" s="11">
        <v>85.0</v>
      </c>
      <c r="V46" s="12">
        <v>0.6743055555555556</v>
      </c>
      <c r="W46" s="13">
        <v>0.6791666666666667</v>
      </c>
      <c r="X46" s="11">
        <v>71.0</v>
      </c>
      <c r="Y46" s="19"/>
      <c r="Z46" s="13">
        <v>0.7784722222222222</v>
      </c>
      <c r="AA46" s="20">
        <v>66.0</v>
      </c>
      <c r="AB46" s="21">
        <v>0.8368055555555556</v>
      </c>
      <c r="AC46" s="22">
        <v>0.8388888888888889</v>
      </c>
      <c r="AD46" s="18">
        <v>65.0</v>
      </c>
      <c r="AE46" s="12">
        <v>0.9340277777777778</v>
      </c>
      <c r="AF46" s="23">
        <v>0.9381944444444444</v>
      </c>
      <c r="AG46" s="11">
        <v>55.0</v>
      </c>
      <c r="AH46" s="12">
        <v>0.009027777777777777</v>
      </c>
      <c r="AI46" s="13">
        <v>0.011805555555555555</v>
      </c>
      <c r="AJ46" s="14">
        <v>51.0</v>
      </c>
      <c r="AK46" s="15">
        <v>0.10416666666666667</v>
      </c>
      <c r="AL46" s="16">
        <v>0.10486111111111111</v>
      </c>
      <c r="AM46" s="11">
        <v>47.0</v>
      </c>
      <c r="AN46" s="12">
        <v>0.16458333333333333</v>
      </c>
      <c r="AO46" s="13">
        <v>0.16875</v>
      </c>
      <c r="AP46" s="11">
        <v>43.0</v>
      </c>
      <c r="AQ46" s="12">
        <v>0.2388888888888889</v>
      </c>
      <c r="AR46" s="13">
        <v>0.24027777777777778</v>
      </c>
      <c r="AS46" s="11">
        <v>45.0</v>
      </c>
      <c r="AT46" s="12">
        <v>0.34444444444444444</v>
      </c>
      <c r="AU46" s="13">
        <v>0.34652777777777777</v>
      </c>
      <c r="AV46" s="11">
        <v>45.0</v>
      </c>
      <c r="AW46" s="12">
        <v>0.4222222222222222</v>
      </c>
      <c r="AX46" s="13">
        <v>0.42291666666666666</v>
      </c>
      <c r="AY46" s="34"/>
      <c r="AZ46" s="12"/>
      <c r="BA46" s="12"/>
    </row>
    <row r="47" ht="15.75" customHeight="1">
      <c r="A47" s="7"/>
      <c r="B47" s="47">
        <v>637.0</v>
      </c>
      <c r="C47" s="11">
        <v>73.0</v>
      </c>
      <c r="D47" s="12">
        <v>0.26458333333333334</v>
      </c>
      <c r="E47" s="13">
        <v>0.2652777777777778</v>
      </c>
      <c r="F47" s="27"/>
      <c r="G47" s="28"/>
      <c r="H47" s="29"/>
      <c r="I47" s="11">
        <v>76.0</v>
      </c>
      <c r="J47" s="12">
        <v>0.38819444444444445</v>
      </c>
      <c r="K47" s="13">
        <v>0.3909722222222222</v>
      </c>
      <c r="L47" s="17">
        <v>72.0</v>
      </c>
      <c r="M47" s="12">
        <v>0.4736111111111111</v>
      </c>
      <c r="N47" s="12">
        <v>0.4756944444444444</v>
      </c>
      <c r="O47" s="11">
        <v>81.0</v>
      </c>
      <c r="P47" s="12">
        <v>0.55</v>
      </c>
      <c r="Q47" s="13">
        <v>0.5506944444444445</v>
      </c>
      <c r="R47" s="18">
        <v>76.0</v>
      </c>
      <c r="S47" s="12">
        <v>0.6131944444444445</v>
      </c>
      <c r="T47" s="13">
        <v>0.6145833333333334</v>
      </c>
      <c r="U47" s="11">
        <v>68.0</v>
      </c>
      <c r="V47" s="12">
        <v>0.6597222222222222</v>
      </c>
      <c r="W47" s="13">
        <v>0.6625</v>
      </c>
      <c r="X47" s="11">
        <v>64.0</v>
      </c>
      <c r="Y47" s="19"/>
      <c r="Z47" s="13">
        <v>0.7673611111111112</v>
      </c>
      <c r="AA47" s="20">
        <v>65.0</v>
      </c>
      <c r="AB47" s="21">
        <v>0.8326388888888889</v>
      </c>
      <c r="AC47" s="22">
        <v>0.8402777777777778</v>
      </c>
      <c r="AD47" s="18">
        <v>68.0</v>
      </c>
      <c r="AE47" s="12">
        <v>0.9381944444444444</v>
      </c>
      <c r="AF47" s="23">
        <v>0.9444444444444444</v>
      </c>
      <c r="AG47" s="11">
        <v>58.0</v>
      </c>
      <c r="AH47" s="12">
        <v>0.013194444444444444</v>
      </c>
      <c r="AI47" s="13">
        <v>0.015277777777777777</v>
      </c>
      <c r="AJ47" s="14">
        <v>56.0</v>
      </c>
      <c r="AK47" s="15">
        <v>0.1111111111111111</v>
      </c>
      <c r="AL47" s="16">
        <v>0.11388888888888889</v>
      </c>
      <c r="AM47" s="11">
        <v>53.0</v>
      </c>
      <c r="AN47" s="12">
        <v>0.17430555555555555</v>
      </c>
      <c r="AO47" s="13">
        <v>0.17777777777777778</v>
      </c>
      <c r="AP47" s="11">
        <v>47.0</v>
      </c>
      <c r="AQ47" s="12">
        <v>0.24930555555555556</v>
      </c>
      <c r="AR47" s="13">
        <v>0.25277777777777777</v>
      </c>
      <c r="AS47" s="11">
        <v>48.0</v>
      </c>
      <c r="AT47" s="12">
        <v>0.3506944444444444</v>
      </c>
      <c r="AU47" s="13">
        <v>0.3527777777777778</v>
      </c>
      <c r="AV47" s="11">
        <v>46.0</v>
      </c>
      <c r="AW47" s="12">
        <v>0.42291666666666666</v>
      </c>
      <c r="AX47" s="13">
        <v>0.4236111111111111</v>
      </c>
      <c r="AY47" s="34"/>
      <c r="AZ47" s="12"/>
      <c r="BA47" s="12"/>
    </row>
    <row r="48" ht="15.75" customHeight="1">
      <c r="A48" s="7"/>
      <c r="B48" s="47">
        <v>713.0</v>
      </c>
      <c r="C48" s="11">
        <v>17.0</v>
      </c>
      <c r="D48" s="12">
        <v>0.25763888888888886</v>
      </c>
      <c r="E48" s="13">
        <v>0.25833333333333336</v>
      </c>
      <c r="F48" s="14">
        <v>19.0</v>
      </c>
      <c r="G48" s="15">
        <v>0.30486111111111114</v>
      </c>
      <c r="H48" s="16">
        <v>0.30486111111111114</v>
      </c>
      <c r="I48" s="11">
        <v>20.0</v>
      </c>
      <c r="J48" s="12">
        <v>0.36319444444444443</v>
      </c>
      <c r="K48" s="13">
        <v>0.36527777777777776</v>
      </c>
      <c r="L48" s="17">
        <v>16.0</v>
      </c>
      <c r="M48" s="12">
        <v>0.43333333333333335</v>
      </c>
      <c r="N48" s="12">
        <v>0.43680555555555556</v>
      </c>
      <c r="O48" s="11">
        <v>23.0</v>
      </c>
      <c r="P48" s="12">
        <v>0.4979166666666667</v>
      </c>
      <c r="Q48" s="13">
        <v>0.5020833333333333</v>
      </c>
      <c r="R48" s="18">
        <v>43.0</v>
      </c>
      <c r="S48" s="12">
        <v>0.5729166666666666</v>
      </c>
      <c r="T48" s="13">
        <v>0.5756944444444444</v>
      </c>
      <c r="U48" s="11">
        <v>50.0</v>
      </c>
      <c r="V48" s="12">
        <v>0.63125</v>
      </c>
      <c r="W48" s="13">
        <v>0.6465277777777778</v>
      </c>
      <c r="X48" s="11">
        <v>51.0</v>
      </c>
      <c r="Y48" s="19"/>
      <c r="Z48" s="13">
        <v>0.7451388888888889</v>
      </c>
      <c r="AA48" s="20">
        <v>51.0</v>
      </c>
      <c r="AB48" s="21">
        <v>0.80625</v>
      </c>
      <c r="AC48" s="22">
        <v>0.8104166666666667</v>
      </c>
      <c r="AD48" s="18">
        <v>47.0</v>
      </c>
      <c r="AE48" s="12">
        <v>0.8944444444444445</v>
      </c>
      <c r="AF48" s="23">
        <v>0.9145833333333333</v>
      </c>
      <c r="AG48" s="11">
        <v>44.0</v>
      </c>
      <c r="AH48" s="12">
        <v>0.9833333333333333</v>
      </c>
      <c r="AI48" s="13">
        <v>0.9875</v>
      </c>
      <c r="AJ48" s="14">
        <v>43.0</v>
      </c>
      <c r="AK48" s="15">
        <v>0.07708333333333334</v>
      </c>
      <c r="AL48" s="16">
        <v>0.08055555555555556</v>
      </c>
      <c r="AM48" s="11">
        <v>40.0</v>
      </c>
      <c r="AN48" s="12">
        <v>0.14166666666666666</v>
      </c>
      <c r="AO48" s="13">
        <v>0.16111111111111112</v>
      </c>
      <c r="AP48" s="11">
        <v>40.0</v>
      </c>
      <c r="AQ48" s="12">
        <v>0.2298611111111111</v>
      </c>
      <c r="AR48" s="13">
        <v>0.23333333333333334</v>
      </c>
      <c r="AS48" s="11">
        <v>44.0</v>
      </c>
      <c r="AT48" s="12">
        <v>0.34305555555555556</v>
      </c>
      <c r="AU48" s="13">
        <v>0.34652777777777777</v>
      </c>
      <c r="AV48" s="11">
        <v>47.0</v>
      </c>
      <c r="AW48" s="12">
        <v>0.4284722222222222</v>
      </c>
      <c r="AX48" s="13">
        <v>0.4284722222222222</v>
      </c>
      <c r="AY48" s="34"/>
      <c r="AZ48" s="12"/>
      <c r="BA48" s="12"/>
    </row>
    <row r="49" ht="15.75" customHeight="1">
      <c r="A49" s="7"/>
      <c r="B49" s="47">
        <v>709.0</v>
      </c>
      <c r="C49" s="11">
        <v>78.0</v>
      </c>
      <c r="D49" s="12">
        <v>0.2659722222222222</v>
      </c>
      <c r="E49" s="13">
        <v>0.26666666666666666</v>
      </c>
      <c r="F49" s="14">
        <v>98.0</v>
      </c>
      <c r="G49" s="15">
        <v>0.3729166666666667</v>
      </c>
      <c r="H49" s="16">
        <v>0.3729166666666667</v>
      </c>
      <c r="I49" s="11">
        <v>80.0</v>
      </c>
      <c r="J49" s="12">
        <v>0.38819444444444445</v>
      </c>
      <c r="K49" s="13">
        <v>0.3909722222222222</v>
      </c>
      <c r="L49" s="17">
        <v>68.0</v>
      </c>
      <c r="M49" s="12">
        <v>0.4708333333333333</v>
      </c>
      <c r="N49" s="12">
        <v>0.47430555555555554</v>
      </c>
      <c r="O49" s="11">
        <v>63.0</v>
      </c>
      <c r="P49" s="12">
        <v>0.5375</v>
      </c>
      <c r="Q49" s="13">
        <v>0.5416666666666666</v>
      </c>
      <c r="R49" s="18">
        <v>64.0</v>
      </c>
      <c r="S49" s="12">
        <v>0.60625</v>
      </c>
      <c r="T49" s="13">
        <v>0.6083333333333333</v>
      </c>
      <c r="U49" s="11">
        <v>72.0</v>
      </c>
      <c r="V49" s="12">
        <v>0.6631944444444444</v>
      </c>
      <c r="W49" s="13">
        <v>0.6722222222222223</v>
      </c>
      <c r="X49" s="11">
        <v>73.0</v>
      </c>
      <c r="Y49" s="19"/>
      <c r="Z49" s="13">
        <v>0.7791666666666667</v>
      </c>
      <c r="AA49" s="20">
        <v>69.0</v>
      </c>
      <c r="AB49" s="21">
        <v>0.8388888888888889</v>
      </c>
      <c r="AC49" s="22">
        <v>0.8430555555555556</v>
      </c>
      <c r="AD49" s="18">
        <v>62.0</v>
      </c>
      <c r="AE49" s="12">
        <v>0.93125</v>
      </c>
      <c r="AF49" s="23">
        <v>0.9402777777777778</v>
      </c>
      <c r="AG49" s="11">
        <v>57.0</v>
      </c>
      <c r="AH49" s="12">
        <v>0.011805555555555555</v>
      </c>
      <c r="AI49" s="13">
        <v>0.01875</v>
      </c>
      <c r="AJ49" s="14">
        <v>55.0</v>
      </c>
      <c r="AK49" s="15">
        <v>0.11041666666666666</v>
      </c>
      <c r="AL49" s="16">
        <v>0.11597222222222223</v>
      </c>
      <c r="AM49" s="11">
        <v>50.0</v>
      </c>
      <c r="AN49" s="12">
        <v>0.17222222222222222</v>
      </c>
      <c r="AO49" s="13">
        <v>0.18125</v>
      </c>
      <c r="AP49" s="11">
        <v>51.0</v>
      </c>
      <c r="AQ49" s="12">
        <v>0.2548611111111111</v>
      </c>
      <c r="AR49" s="13">
        <v>0.2590277777777778</v>
      </c>
      <c r="AS49" s="11">
        <v>49.0</v>
      </c>
      <c r="AT49" s="12">
        <v>0.3527777777777778</v>
      </c>
      <c r="AU49" s="13">
        <v>0.35833333333333334</v>
      </c>
      <c r="AV49" s="11">
        <v>48.0</v>
      </c>
      <c r="AW49" s="12">
        <v>0.4305555555555556</v>
      </c>
      <c r="AX49" s="13">
        <v>0.4340277777777778</v>
      </c>
      <c r="AY49" s="34"/>
      <c r="AZ49" s="12"/>
      <c r="BA49" s="12"/>
    </row>
    <row r="50" ht="15.75" customHeight="1">
      <c r="A50" s="7"/>
      <c r="B50" s="47">
        <v>546.0</v>
      </c>
      <c r="C50" s="11">
        <v>100.0</v>
      </c>
      <c r="D50" s="12">
        <v>0.26805555555555555</v>
      </c>
      <c r="E50" s="13">
        <v>0.26875</v>
      </c>
      <c r="F50" s="27"/>
      <c r="G50" s="28"/>
      <c r="H50" s="29"/>
      <c r="I50" s="11">
        <v>84.0</v>
      </c>
      <c r="J50" s="12">
        <v>0.38819444444444445</v>
      </c>
      <c r="K50" s="13">
        <v>0.39166666666666666</v>
      </c>
      <c r="L50" s="17">
        <v>69.0</v>
      </c>
      <c r="M50" s="12">
        <v>0.4722222222222222</v>
      </c>
      <c r="N50" s="12">
        <v>0.4756944444444444</v>
      </c>
      <c r="O50" s="11">
        <v>65.0</v>
      </c>
      <c r="P50" s="12">
        <v>0.5388888888888889</v>
      </c>
      <c r="Q50" s="13">
        <v>0.5409722222222222</v>
      </c>
      <c r="R50" s="18">
        <v>66.0</v>
      </c>
      <c r="S50" s="12">
        <v>0.60625</v>
      </c>
      <c r="T50" s="13">
        <v>0.6083333333333333</v>
      </c>
      <c r="U50" s="11">
        <v>71.0</v>
      </c>
      <c r="V50" s="12">
        <v>0.6631944444444444</v>
      </c>
      <c r="W50" s="13">
        <v>0.6708333333333333</v>
      </c>
      <c r="X50" s="11">
        <v>72.0</v>
      </c>
      <c r="Y50" s="19"/>
      <c r="Z50" s="13">
        <v>0.7791666666666667</v>
      </c>
      <c r="AA50" s="20">
        <v>70.0</v>
      </c>
      <c r="AB50" s="21">
        <v>0.8388888888888889</v>
      </c>
      <c r="AC50" s="22">
        <v>0.8430555555555556</v>
      </c>
      <c r="AD50" s="18">
        <v>63.0</v>
      </c>
      <c r="AE50" s="12">
        <v>0.93125</v>
      </c>
      <c r="AF50" s="23">
        <v>0.9402777777777778</v>
      </c>
      <c r="AG50" s="11">
        <v>56.0</v>
      </c>
      <c r="AH50" s="12">
        <v>0.011805555555555555</v>
      </c>
      <c r="AI50" s="13">
        <v>0.01875</v>
      </c>
      <c r="AJ50" s="14">
        <v>54.0</v>
      </c>
      <c r="AK50" s="15">
        <v>0.11041666666666666</v>
      </c>
      <c r="AL50" s="16">
        <v>0.11597222222222223</v>
      </c>
      <c r="AM50" s="11">
        <v>51.0</v>
      </c>
      <c r="AN50" s="12">
        <v>0.17222222222222222</v>
      </c>
      <c r="AO50" s="13">
        <v>0.18125</v>
      </c>
      <c r="AP50" s="11">
        <v>50.0</v>
      </c>
      <c r="AQ50" s="12">
        <v>0.2548611111111111</v>
      </c>
      <c r="AR50" s="13">
        <v>0.2590277777777778</v>
      </c>
      <c r="AS50" s="11">
        <v>50.0</v>
      </c>
      <c r="AT50" s="12">
        <v>0.35347222222222224</v>
      </c>
      <c r="AU50" s="13">
        <v>0.35833333333333334</v>
      </c>
      <c r="AV50" s="11">
        <v>49.0</v>
      </c>
      <c r="AW50" s="12">
        <v>0.4305555555555556</v>
      </c>
      <c r="AX50" s="13">
        <v>0.4340277777777778</v>
      </c>
      <c r="AY50" s="34"/>
      <c r="AZ50" s="12"/>
      <c r="BA50" s="12"/>
    </row>
    <row r="51" ht="15.75" customHeight="1">
      <c r="A51" s="7"/>
      <c r="B51" s="47">
        <v>583.0</v>
      </c>
      <c r="C51" s="11">
        <v>98.0</v>
      </c>
      <c r="D51" s="12">
        <v>0.26805555555555555</v>
      </c>
      <c r="E51" s="13">
        <v>0.26875</v>
      </c>
      <c r="F51" s="14">
        <v>93.0</v>
      </c>
      <c r="G51" s="15">
        <v>0.32430555555555557</v>
      </c>
      <c r="H51" s="16">
        <v>0.32430555555555557</v>
      </c>
      <c r="I51" s="11">
        <v>77.0</v>
      </c>
      <c r="J51" s="12">
        <v>0.38819444444444445</v>
      </c>
      <c r="K51" s="13">
        <v>0.3902777777777778</v>
      </c>
      <c r="L51" s="17">
        <v>67.0</v>
      </c>
      <c r="M51" s="12">
        <v>0.4708333333333333</v>
      </c>
      <c r="N51" s="12">
        <v>0.4722222222222222</v>
      </c>
      <c r="O51" s="11">
        <v>64.0</v>
      </c>
      <c r="P51" s="12">
        <v>0.5381944444444444</v>
      </c>
      <c r="Q51" s="13">
        <v>0.5395833333333333</v>
      </c>
      <c r="R51" s="18">
        <v>63.0</v>
      </c>
      <c r="S51" s="12">
        <v>0.60625</v>
      </c>
      <c r="T51" s="13">
        <v>0.6083333333333333</v>
      </c>
      <c r="U51" s="11">
        <v>65.0</v>
      </c>
      <c r="V51" s="12">
        <v>0.65625</v>
      </c>
      <c r="W51" s="13">
        <v>0.6604166666666667</v>
      </c>
      <c r="X51" s="11">
        <v>62.0</v>
      </c>
      <c r="Y51" s="19"/>
      <c r="Z51" s="13">
        <v>0.7618055555555555</v>
      </c>
      <c r="AA51" s="20">
        <v>63.0</v>
      </c>
      <c r="AB51" s="21">
        <v>0.8222222222222222</v>
      </c>
      <c r="AC51" s="22">
        <v>0.8263888888888888</v>
      </c>
      <c r="AD51" s="18">
        <v>57.0</v>
      </c>
      <c r="AE51" s="12">
        <v>0.9152777777777777</v>
      </c>
      <c r="AF51" s="23">
        <v>0.9270833333333334</v>
      </c>
      <c r="AG51" s="11">
        <v>50.0</v>
      </c>
      <c r="AH51" s="12">
        <v>0.9958333333333333</v>
      </c>
      <c r="AI51" s="13">
        <v>0.9993055555555556</v>
      </c>
      <c r="AJ51" s="14">
        <v>47.0</v>
      </c>
      <c r="AK51" s="15">
        <v>0.09791666666666667</v>
      </c>
      <c r="AL51" s="16">
        <v>0.09930555555555555</v>
      </c>
      <c r="AM51" s="11">
        <v>46.0</v>
      </c>
      <c r="AN51" s="12">
        <v>0.16319444444444445</v>
      </c>
      <c r="AO51" s="13">
        <v>0.16597222222222222</v>
      </c>
      <c r="AP51" s="11">
        <v>42.0</v>
      </c>
      <c r="AQ51" s="12">
        <v>0.2326388888888889</v>
      </c>
      <c r="AR51" s="13">
        <v>0.23472222222222222</v>
      </c>
      <c r="AS51" s="11">
        <v>46.0</v>
      </c>
      <c r="AT51" s="12">
        <v>0.34444444444444444</v>
      </c>
      <c r="AU51" s="13">
        <v>0.3527777777777778</v>
      </c>
      <c r="AV51" s="11">
        <v>50.0</v>
      </c>
      <c r="AW51" s="12">
        <v>0.4423611111111111</v>
      </c>
      <c r="AX51" s="13">
        <v>0.44930555555555557</v>
      </c>
      <c r="AY51" s="34"/>
      <c r="AZ51" s="12"/>
      <c r="BA51" s="12"/>
    </row>
    <row r="52" ht="15.75" customHeight="1">
      <c r="A52" s="7"/>
      <c r="B52" s="47">
        <v>722.0</v>
      </c>
      <c r="C52" s="11">
        <v>64.0</v>
      </c>
      <c r="D52" s="12">
        <v>0.26319444444444445</v>
      </c>
      <c r="E52" s="13">
        <v>0.2638888888888889</v>
      </c>
      <c r="F52" s="14">
        <v>59.0</v>
      </c>
      <c r="G52" s="15">
        <v>0.3159722222222222</v>
      </c>
      <c r="H52" s="16">
        <v>0.3159722222222222</v>
      </c>
      <c r="I52" s="11">
        <v>71.0</v>
      </c>
      <c r="J52" s="12">
        <v>0.3861111111111111</v>
      </c>
      <c r="K52" s="13">
        <v>0.3923611111111111</v>
      </c>
      <c r="L52" s="36"/>
      <c r="M52" s="19"/>
      <c r="N52" s="19"/>
      <c r="O52" s="11">
        <v>78.0</v>
      </c>
      <c r="P52" s="12">
        <v>0.5451388888888888</v>
      </c>
      <c r="Q52" s="13">
        <v>0.5541666666666667</v>
      </c>
      <c r="R52" s="18">
        <v>77.0</v>
      </c>
      <c r="S52" s="12">
        <v>0.6131944444444445</v>
      </c>
      <c r="T52" s="13">
        <v>0.6180555555555556</v>
      </c>
      <c r="U52" s="11">
        <v>73.0</v>
      </c>
      <c r="V52" s="12">
        <v>0.6638888888888889</v>
      </c>
      <c r="W52" s="13">
        <v>0.6743055555555556</v>
      </c>
      <c r="X52" s="11">
        <v>76.0</v>
      </c>
      <c r="Y52" s="19"/>
      <c r="Z52" s="13">
        <v>0.78125</v>
      </c>
      <c r="AA52" s="20">
        <v>71.0</v>
      </c>
      <c r="AB52" s="21">
        <v>0.8388888888888889</v>
      </c>
      <c r="AC52" s="22">
        <v>0.84375</v>
      </c>
      <c r="AD52" s="18">
        <v>66.0</v>
      </c>
      <c r="AE52" s="12">
        <v>0.9354166666666667</v>
      </c>
      <c r="AF52" s="23">
        <v>0.9472222222222222</v>
      </c>
      <c r="AG52" s="11">
        <v>60.0</v>
      </c>
      <c r="AH52" s="12">
        <v>0.014583333333333334</v>
      </c>
      <c r="AI52" s="13">
        <v>0.020833333333333332</v>
      </c>
      <c r="AJ52" s="14">
        <v>58.0</v>
      </c>
      <c r="AK52" s="15">
        <v>0.11388888888888889</v>
      </c>
      <c r="AL52" s="16">
        <v>0.11944444444444445</v>
      </c>
      <c r="AM52" s="11">
        <v>52.0</v>
      </c>
      <c r="AN52" s="12">
        <v>0.17291666666666666</v>
      </c>
      <c r="AO52" s="13">
        <v>0.18263888888888888</v>
      </c>
      <c r="AP52" s="11">
        <v>48.0</v>
      </c>
      <c r="AQ52" s="12">
        <v>0.25069444444444444</v>
      </c>
      <c r="AR52" s="13">
        <v>0.2590277777777778</v>
      </c>
      <c r="AS52" s="11">
        <v>52.0</v>
      </c>
      <c r="AT52" s="12">
        <v>0.3576388888888889</v>
      </c>
      <c r="AU52" s="13">
        <v>0.36666666666666664</v>
      </c>
      <c r="AV52" s="11">
        <v>51.0</v>
      </c>
      <c r="AW52" s="12">
        <v>0.44375</v>
      </c>
      <c r="AX52" s="13">
        <v>0.4479166666666667</v>
      </c>
      <c r="AY52" s="34"/>
      <c r="AZ52" s="12"/>
      <c r="BA52" s="12"/>
    </row>
    <row r="53" ht="15.75" customHeight="1">
      <c r="A53" s="7"/>
      <c r="B53" s="47">
        <v>565.0</v>
      </c>
      <c r="C53" s="32"/>
      <c r="D53" s="19"/>
      <c r="E53" s="33"/>
      <c r="F53" s="14">
        <v>46.0</v>
      </c>
      <c r="G53" s="15">
        <v>0.3138888888888889</v>
      </c>
      <c r="H53" s="16">
        <v>0.3138888888888889</v>
      </c>
      <c r="I53" s="11">
        <v>12.0</v>
      </c>
      <c r="J53" s="18" t="s">
        <v>105</v>
      </c>
      <c r="K53" s="13">
        <v>0.3541666666666667</v>
      </c>
      <c r="L53" s="17">
        <v>11.0</v>
      </c>
      <c r="M53" s="12">
        <v>0.42083333333333334</v>
      </c>
      <c r="N53" s="12">
        <v>0.42291666666666666</v>
      </c>
      <c r="O53" s="11">
        <v>10.0</v>
      </c>
      <c r="P53" s="12">
        <v>0.475</v>
      </c>
      <c r="Q53" s="13">
        <v>0.4777777777777778</v>
      </c>
      <c r="R53" s="18">
        <v>9.0</v>
      </c>
      <c r="S53" s="12">
        <v>0.5305555555555556</v>
      </c>
      <c r="T53" s="13">
        <v>0.5333333333333333</v>
      </c>
      <c r="U53" s="11">
        <v>11.0</v>
      </c>
      <c r="V53" s="12">
        <v>0.5743055555555555</v>
      </c>
      <c r="W53" s="13">
        <v>0.5868055555555556</v>
      </c>
      <c r="X53" s="11">
        <v>23.0</v>
      </c>
      <c r="Y53" s="19"/>
      <c r="Z53" s="13">
        <v>0.6965277777777777</v>
      </c>
      <c r="AA53" s="20">
        <v>25.0</v>
      </c>
      <c r="AB53" s="21">
        <v>0.75</v>
      </c>
      <c r="AC53" s="22">
        <v>0.7541666666666667</v>
      </c>
      <c r="AD53" s="18">
        <v>25.0</v>
      </c>
      <c r="AE53" s="12">
        <v>0.83125</v>
      </c>
      <c r="AF53" s="23">
        <v>0.9333333333333333</v>
      </c>
      <c r="AG53" s="11">
        <v>54.0</v>
      </c>
      <c r="AH53" s="12">
        <v>0.003472222222222222</v>
      </c>
      <c r="AI53" s="35">
        <v>0.007638888888888889</v>
      </c>
      <c r="AJ53" s="14">
        <v>52.0</v>
      </c>
      <c r="AK53" s="15">
        <v>0.10416666666666667</v>
      </c>
      <c r="AL53" s="16">
        <v>0.10833333333333334</v>
      </c>
      <c r="AM53" s="11">
        <v>48.0</v>
      </c>
      <c r="AN53" s="12">
        <v>0.16527777777777777</v>
      </c>
      <c r="AO53" s="13">
        <v>0.18333333333333332</v>
      </c>
      <c r="AP53" s="11">
        <v>49.0</v>
      </c>
      <c r="AQ53" s="12">
        <v>0.2534722222222222</v>
      </c>
      <c r="AR53" s="13">
        <v>0.26319444444444445</v>
      </c>
      <c r="AS53" s="11">
        <v>51.0</v>
      </c>
      <c r="AT53" s="12">
        <v>0.35625</v>
      </c>
      <c r="AU53" s="13">
        <v>0.36736111111111114</v>
      </c>
      <c r="AV53" s="11">
        <v>52.0</v>
      </c>
      <c r="AW53" s="12">
        <v>0.44722222222222224</v>
      </c>
      <c r="AX53" s="13">
        <v>0.4486111111111111</v>
      </c>
      <c r="AY53" s="34"/>
      <c r="AZ53" s="12"/>
      <c r="BA53" s="12"/>
    </row>
    <row r="54" ht="15.75" customHeight="1">
      <c r="A54" s="7"/>
      <c r="B54" s="47">
        <v>703.0</v>
      </c>
      <c r="C54" s="11">
        <v>18.0</v>
      </c>
      <c r="D54" s="12">
        <v>0.25763888888888886</v>
      </c>
      <c r="E54" s="13">
        <v>0.25833333333333336</v>
      </c>
      <c r="F54" s="14">
        <v>26.0</v>
      </c>
      <c r="G54" s="15">
        <v>0.30694444444444446</v>
      </c>
      <c r="H54" s="16">
        <v>0.30694444444444446</v>
      </c>
      <c r="I54" s="11">
        <v>29.0</v>
      </c>
      <c r="J54" s="12">
        <v>0.36666666666666664</v>
      </c>
      <c r="K54" s="13">
        <v>0.3729166666666667</v>
      </c>
      <c r="L54" s="17">
        <v>26.0</v>
      </c>
      <c r="M54" s="12">
        <v>0.44166666666666665</v>
      </c>
      <c r="N54" s="12">
        <v>0.44305555555555554</v>
      </c>
      <c r="O54" s="11">
        <v>35.0</v>
      </c>
      <c r="P54" s="12">
        <v>0.5069444444444444</v>
      </c>
      <c r="Q54" s="13">
        <v>0.5083333333333333</v>
      </c>
      <c r="R54" s="18">
        <v>36.0</v>
      </c>
      <c r="S54" s="12">
        <v>0.5680555555555555</v>
      </c>
      <c r="T54" s="13">
        <v>0.5694444444444444</v>
      </c>
      <c r="U54" s="11">
        <v>41.0</v>
      </c>
      <c r="V54" s="12">
        <v>0.6138888888888889</v>
      </c>
      <c r="W54" s="13">
        <v>0.6173611111111111</v>
      </c>
      <c r="X54" s="11">
        <v>37.0</v>
      </c>
      <c r="Y54" s="19"/>
      <c r="Z54" s="13">
        <v>0.7208333333333333</v>
      </c>
      <c r="AA54" s="20">
        <v>39.0</v>
      </c>
      <c r="AB54" s="21">
        <v>0.7819444444444444</v>
      </c>
      <c r="AC54" s="22">
        <v>0.7868055555555555</v>
      </c>
      <c r="AD54" s="18">
        <v>49.0</v>
      </c>
      <c r="AE54" s="12">
        <v>0.8993055555555556</v>
      </c>
      <c r="AF54" s="23">
        <v>0.9430555555555555</v>
      </c>
      <c r="AG54" s="11">
        <v>64.0</v>
      </c>
      <c r="AH54" s="12">
        <v>0.021527777777777778</v>
      </c>
      <c r="AI54" s="13">
        <v>0.02638888888888889</v>
      </c>
      <c r="AJ54" s="14">
        <v>74.0</v>
      </c>
      <c r="AK54" s="15">
        <v>0.14722222222222223</v>
      </c>
      <c r="AL54" s="16">
        <v>0.15486111111111112</v>
      </c>
      <c r="AM54" s="11">
        <v>64.0</v>
      </c>
      <c r="AN54" s="12">
        <v>0.21458333333333332</v>
      </c>
      <c r="AO54" s="13">
        <v>0.22152777777777777</v>
      </c>
      <c r="AP54" s="11">
        <v>63.0</v>
      </c>
      <c r="AQ54" s="12">
        <v>0.2965277777777778</v>
      </c>
      <c r="AR54" s="13">
        <v>0.3034722222222222</v>
      </c>
      <c r="AS54" s="11">
        <v>58.0</v>
      </c>
      <c r="AT54" s="12">
        <v>0.40069444444444446</v>
      </c>
      <c r="AU54" s="13">
        <v>0.4048611111111111</v>
      </c>
      <c r="AV54" s="11">
        <v>53.0</v>
      </c>
      <c r="AW54" s="12">
        <v>0.475</v>
      </c>
      <c r="AX54" s="13">
        <v>0.47638888888888886</v>
      </c>
      <c r="AY54" s="34"/>
      <c r="AZ54" s="12"/>
      <c r="BA54" s="12"/>
    </row>
    <row r="55" ht="15.75" customHeight="1">
      <c r="A55" s="7"/>
      <c r="B55" s="47">
        <v>719.0</v>
      </c>
      <c r="C55" s="11">
        <v>86.0</v>
      </c>
      <c r="D55" s="12">
        <v>0.26666666666666666</v>
      </c>
      <c r="E55" s="13">
        <v>0.2673611111111111</v>
      </c>
      <c r="F55" s="14">
        <v>105.0</v>
      </c>
      <c r="G55" s="15">
        <v>0.32569444444444445</v>
      </c>
      <c r="H55" s="16">
        <v>0.32569444444444445</v>
      </c>
      <c r="I55" s="11">
        <v>99.0</v>
      </c>
      <c r="J55" s="12">
        <v>0.39652777777777776</v>
      </c>
      <c r="K55" s="13">
        <v>0.4013888888888889</v>
      </c>
      <c r="L55" s="17">
        <v>100.0</v>
      </c>
      <c r="M55" s="12">
        <v>0.4888888888888889</v>
      </c>
      <c r="N55" s="12">
        <v>0.4930555555555556</v>
      </c>
      <c r="O55" s="11">
        <v>98.0</v>
      </c>
      <c r="P55" s="12">
        <v>0.5611111111111111</v>
      </c>
      <c r="Q55" s="13">
        <v>0.5645833333333333</v>
      </c>
      <c r="R55" s="18">
        <v>93.0</v>
      </c>
      <c r="S55" s="12">
        <v>0.6284722222222222</v>
      </c>
      <c r="T55" s="13">
        <v>0.6333333333333333</v>
      </c>
      <c r="U55" s="11">
        <v>94.0</v>
      </c>
      <c r="V55" s="12">
        <v>0.6805555555555556</v>
      </c>
      <c r="W55" s="13">
        <v>0.6979166666666666</v>
      </c>
      <c r="X55" s="11">
        <v>87.0</v>
      </c>
      <c r="Y55" s="19"/>
      <c r="Z55" s="13">
        <v>0.7930555555555555</v>
      </c>
      <c r="AA55" s="20">
        <v>78.0</v>
      </c>
      <c r="AB55" s="21">
        <v>0.8520833333333333</v>
      </c>
      <c r="AC55" s="22">
        <v>0.8534722222222222</v>
      </c>
      <c r="AD55" s="18">
        <v>82.0</v>
      </c>
      <c r="AE55" s="12">
        <v>0.9527777777777777</v>
      </c>
      <c r="AF55" s="23">
        <v>0.96875</v>
      </c>
      <c r="AG55" s="11">
        <v>77.0</v>
      </c>
      <c r="AH55" s="12">
        <v>0.03958333333333333</v>
      </c>
      <c r="AI55" s="13">
        <v>0.043055555555555555</v>
      </c>
      <c r="AJ55" s="37">
        <v>70.0</v>
      </c>
      <c r="AK55" s="15">
        <v>0.14166666666666666</v>
      </c>
      <c r="AL55" s="16">
        <v>0.14652777777777778</v>
      </c>
      <c r="AM55" s="11">
        <v>63.0</v>
      </c>
      <c r="AN55" s="12">
        <v>0.2125</v>
      </c>
      <c r="AO55" s="13">
        <v>0.22430555555555556</v>
      </c>
      <c r="AP55" s="11">
        <v>61.0</v>
      </c>
      <c r="AQ55" s="12">
        <v>0.29375</v>
      </c>
      <c r="AR55" s="13">
        <v>0.2986111111111111</v>
      </c>
      <c r="AS55" s="11">
        <v>56.0</v>
      </c>
      <c r="AT55" s="12">
        <v>0.39861111111111114</v>
      </c>
      <c r="AU55" s="13">
        <v>0.40347222222222223</v>
      </c>
      <c r="AV55" s="11">
        <v>54.0</v>
      </c>
      <c r="AW55" s="12">
        <v>0.4791666666666667</v>
      </c>
      <c r="AX55" s="13">
        <v>0.48055555555555557</v>
      </c>
      <c r="AY55" s="34"/>
      <c r="AZ55" s="12"/>
      <c r="BA55" s="12"/>
    </row>
    <row r="56" ht="15.75" customHeight="1">
      <c r="A56" s="7"/>
      <c r="B56" s="47">
        <v>549.0</v>
      </c>
      <c r="C56" s="11">
        <v>106.0</v>
      </c>
      <c r="D56" s="12">
        <v>0.26944444444444443</v>
      </c>
      <c r="E56" s="13">
        <v>0.2701388888888889</v>
      </c>
      <c r="F56" s="27"/>
      <c r="G56" s="28"/>
      <c r="H56" s="29"/>
      <c r="I56" s="11">
        <v>104.0</v>
      </c>
      <c r="J56" s="12">
        <v>0.3972222222222222</v>
      </c>
      <c r="K56" s="13">
        <v>0.40208333333333335</v>
      </c>
      <c r="L56" s="17">
        <v>96.0</v>
      </c>
      <c r="M56" s="12">
        <v>0.48541666666666666</v>
      </c>
      <c r="N56" s="12">
        <v>0.4888888888888889</v>
      </c>
      <c r="O56" s="11">
        <v>87.0</v>
      </c>
      <c r="P56" s="12">
        <v>0.5548611111111111</v>
      </c>
      <c r="Q56" s="13">
        <v>0.5569444444444445</v>
      </c>
      <c r="R56" s="18">
        <v>84.0</v>
      </c>
      <c r="S56" s="12">
        <v>0.6243055555555556</v>
      </c>
      <c r="T56" s="13">
        <v>0.6270833333333333</v>
      </c>
      <c r="U56" s="11">
        <v>90.0</v>
      </c>
      <c r="V56" s="12">
        <v>0.6798611111111111</v>
      </c>
      <c r="W56" s="13">
        <v>0.6868055555555556</v>
      </c>
      <c r="X56" s="11">
        <v>77.0</v>
      </c>
      <c r="Y56" s="19"/>
      <c r="Z56" s="13">
        <v>0.7819444444444444</v>
      </c>
      <c r="AA56" s="20">
        <v>77.0</v>
      </c>
      <c r="AB56" s="21">
        <v>0.8513888888888889</v>
      </c>
      <c r="AC56" s="22">
        <v>0.8451388888888889</v>
      </c>
      <c r="AD56" s="18">
        <v>70.0</v>
      </c>
      <c r="AE56" s="12">
        <v>0.9416666666666667</v>
      </c>
      <c r="AF56" s="23">
        <v>0.9548611111111112</v>
      </c>
      <c r="AG56" s="11">
        <v>65.0</v>
      </c>
      <c r="AH56" s="12">
        <v>0.021527777777777778</v>
      </c>
      <c r="AI56" s="13">
        <v>0.024305555555555556</v>
      </c>
      <c r="AJ56" s="14">
        <v>59.0</v>
      </c>
      <c r="AK56" s="15">
        <v>0.12152777777777778</v>
      </c>
      <c r="AL56" s="16">
        <v>0.12569444444444444</v>
      </c>
      <c r="AM56" s="11">
        <v>56.0</v>
      </c>
      <c r="AN56" s="12">
        <v>0.19166666666666668</v>
      </c>
      <c r="AO56" s="13">
        <v>0.20208333333333334</v>
      </c>
      <c r="AP56" s="11">
        <v>54.0</v>
      </c>
      <c r="AQ56" s="12">
        <v>0.2708333333333333</v>
      </c>
      <c r="AR56" s="13">
        <v>0.2763888888888889</v>
      </c>
      <c r="AS56" s="11">
        <v>53.0</v>
      </c>
      <c r="AT56" s="12">
        <v>0.3951388888888889</v>
      </c>
      <c r="AU56" s="13">
        <v>0.4</v>
      </c>
      <c r="AV56" s="11">
        <v>55.0</v>
      </c>
      <c r="AW56" s="12">
        <v>0.48055555555555557</v>
      </c>
      <c r="AX56" s="13">
        <v>0.48194444444444445</v>
      </c>
      <c r="AY56" s="34"/>
      <c r="AZ56" s="12"/>
      <c r="BA56" s="12"/>
    </row>
    <row r="57" ht="15.75" customHeight="1">
      <c r="A57" s="7"/>
      <c r="B57" s="47">
        <v>665.0</v>
      </c>
      <c r="C57" s="11">
        <v>159.0</v>
      </c>
      <c r="D57" s="12">
        <v>0.2743055555555556</v>
      </c>
      <c r="E57" s="13">
        <v>0.275</v>
      </c>
      <c r="F57" s="27"/>
      <c r="G57" s="28"/>
      <c r="H57" s="29"/>
      <c r="I57" s="11">
        <v>169.0</v>
      </c>
      <c r="J57" s="12">
        <v>0.4222222222222222</v>
      </c>
      <c r="K57" s="13">
        <v>0.42986111111111114</v>
      </c>
      <c r="L57" s="17">
        <v>161.0</v>
      </c>
      <c r="M57" s="12">
        <v>0.5270833333333333</v>
      </c>
      <c r="N57" s="12">
        <v>0.53125</v>
      </c>
      <c r="O57" s="11">
        <v>162.0</v>
      </c>
      <c r="P57" s="12">
        <v>0.60625</v>
      </c>
      <c r="Q57" s="13">
        <v>0.6097222222222223</v>
      </c>
      <c r="R57" s="18">
        <v>151.0</v>
      </c>
      <c r="S57" s="12">
        <v>0.68125</v>
      </c>
      <c r="T57" s="13">
        <v>0.6847222222222222</v>
      </c>
      <c r="U57" s="11">
        <v>151.0</v>
      </c>
      <c r="V57" s="12">
        <v>0.7395833333333334</v>
      </c>
      <c r="W57" s="13">
        <v>0.75625</v>
      </c>
      <c r="X57" s="11">
        <v>141.0</v>
      </c>
      <c r="Y57" s="19"/>
      <c r="Z57" s="13">
        <v>0.8673611111111111</v>
      </c>
      <c r="AA57" s="20">
        <v>145.0</v>
      </c>
      <c r="AB57" s="21">
        <v>0.9444444444444444</v>
      </c>
      <c r="AC57" s="22">
        <v>0.95</v>
      </c>
      <c r="AD57" s="18">
        <v>141.0</v>
      </c>
      <c r="AE57" s="12">
        <v>0.06875</v>
      </c>
      <c r="AF57" s="23">
        <v>0.09513888888888888</v>
      </c>
      <c r="AG57" s="11">
        <v>129.0</v>
      </c>
      <c r="AH57" s="12">
        <v>0.15833333333333333</v>
      </c>
      <c r="AI57" s="13">
        <v>0.16041666666666668</v>
      </c>
      <c r="AJ57" s="14">
        <v>118.0</v>
      </c>
      <c r="AK57" s="15">
        <v>0.2520833333333333</v>
      </c>
      <c r="AL57" s="16">
        <v>0.2534722222222222</v>
      </c>
      <c r="AM57" s="11">
        <v>109.0</v>
      </c>
      <c r="AN57" s="12">
        <v>0.3076388888888889</v>
      </c>
      <c r="AO57" s="13">
        <v>0.31527777777777777</v>
      </c>
      <c r="AP57" s="11">
        <v>98.0</v>
      </c>
      <c r="AQ57" s="12">
        <v>0.36666666666666664</v>
      </c>
      <c r="AR57" s="13">
        <v>0.37083333333333335</v>
      </c>
      <c r="AS57" s="11">
        <v>70.0</v>
      </c>
      <c r="AT57" s="12">
        <v>0.4395833333333333</v>
      </c>
      <c r="AU57" s="13">
        <v>0.44166666666666665</v>
      </c>
      <c r="AV57" s="11">
        <v>56.0</v>
      </c>
      <c r="AW57" s="12">
        <v>0.4895833333333333</v>
      </c>
      <c r="AX57" s="13">
        <v>0.49027777777777776</v>
      </c>
      <c r="AY57" s="34"/>
      <c r="AZ57" s="12"/>
      <c r="BA57" s="12"/>
    </row>
    <row r="58" ht="15.75" customHeight="1">
      <c r="A58" s="7"/>
      <c r="B58" s="47">
        <v>547.0</v>
      </c>
      <c r="C58" s="11">
        <v>107.0</v>
      </c>
      <c r="D58" s="12">
        <v>0.26944444444444443</v>
      </c>
      <c r="E58" s="13">
        <v>0.2701388888888889</v>
      </c>
      <c r="F58" s="14">
        <v>87.0</v>
      </c>
      <c r="G58" s="15">
        <v>0.32430555555555557</v>
      </c>
      <c r="H58" s="16">
        <v>0.32430555555555557</v>
      </c>
      <c r="I58" s="11">
        <v>102.0</v>
      </c>
      <c r="J58" s="12">
        <v>0.39652777777777776</v>
      </c>
      <c r="K58" s="13">
        <v>0.40208333333333335</v>
      </c>
      <c r="L58" s="17">
        <v>97.0</v>
      </c>
      <c r="M58" s="12">
        <v>0.48541666666666666</v>
      </c>
      <c r="N58" s="12">
        <v>0.4888888888888889</v>
      </c>
      <c r="O58" s="11">
        <v>86.0</v>
      </c>
      <c r="P58" s="12">
        <v>0.5548611111111111</v>
      </c>
      <c r="Q58" s="13">
        <v>0.5569444444444445</v>
      </c>
      <c r="R58" s="18">
        <v>85.0</v>
      </c>
      <c r="S58" s="12">
        <v>0.625</v>
      </c>
      <c r="T58" s="13">
        <v>0.6270833333333333</v>
      </c>
      <c r="U58" s="11">
        <v>91.0</v>
      </c>
      <c r="V58" s="12">
        <v>0.6798611111111111</v>
      </c>
      <c r="W58" s="13">
        <v>0.6868055555555556</v>
      </c>
      <c r="X58" s="11">
        <v>78.0</v>
      </c>
      <c r="Y58" s="19"/>
      <c r="Z58" s="13">
        <v>0.7819444444444444</v>
      </c>
      <c r="AA58" s="20">
        <v>76.0</v>
      </c>
      <c r="AB58" s="21">
        <v>0.8402777777777778</v>
      </c>
      <c r="AC58" s="22">
        <v>0.8451388888888889</v>
      </c>
      <c r="AD58" s="18">
        <v>72.0</v>
      </c>
      <c r="AE58" s="12">
        <v>0.9458333333333333</v>
      </c>
      <c r="AF58" s="23">
        <v>0.9527777777777777</v>
      </c>
      <c r="AG58" s="11">
        <v>67.0</v>
      </c>
      <c r="AH58" s="12">
        <v>0.024305555555555556</v>
      </c>
      <c r="AI58" s="13">
        <v>0.027083333333333334</v>
      </c>
      <c r="AJ58" s="14">
        <v>61.0</v>
      </c>
      <c r="AK58" s="15">
        <v>0.13194444444444445</v>
      </c>
      <c r="AL58" s="16">
        <v>0.13541666666666666</v>
      </c>
      <c r="AM58" s="11">
        <v>60.0</v>
      </c>
      <c r="AN58" s="12">
        <v>0.20208333333333334</v>
      </c>
      <c r="AO58" s="13">
        <v>0.20833333333333334</v>
      </c>
      <c r="AP58" s="11">
        <v>57.0</v>
      </c>
      <c r="AQ58" s="12">
        <v>0.2791666666666667</v>
      </c>
      <c r="AR58" s="13">
        <v>0.28194444444444444</v>
      </c>
      <c r="AS58" s="11">
        <v>54.0</v>
      </c>
      <c r="AT58" s="12">
        <v>0.39652777777777776</v>
      </c>
      <c r="AU58" s="13">
        <v>0.4</v>
      </c>
      <c r="AV58" s="11">
        <v>57.0</v>
      </c>
      <c r="AW58" s="12">
        <v>0.4909722222222222</v>
      </c>
      <c r="AX58" s="13">
        <v>0.49236111111111114</v>
      </c>
      <c r="AY58" s="34"/>
      <c r="AZ58" s="12"/>
      <c r="BA58" s="12"/>
    </row>
    <row r="59" ht="15.75" customHeight="1">
      <c r="A59" s="7"/>
      <c r="B59" s="47">
        <v>651.0</v>
      </c>
      <c r="C59" s="11">
        <v>123.0</v>
      </c>
      <c r="D59" s="12">
        <v>0.2701388888888889</v>
      </c>
      <c r="E59" s="13">
        <v>0.2708333333333333</v>
      </c>
      <c r="F59" s="14">
        <v>70.0</v>
      </c>
      <c r="G59" s="15">
        <v>0.32083333333333336</v>
      </c>
      <c r="H59" s="16">
        <v>0.32083333333333336</v>
      </c>
      <c r="I59" s="11">
        <v>67.0</v>
      </c>
      <c r="J59" s="12">
        <v>0.3854166666666667</v>
      </c>
      <c r="K59" s="13">
        <v>0.39305555555555555</v>
      </c>
      <c r="L59" s="17">
        <v>73.0</v>
      </c>
      <c r="M59" s="12">
        <v>0.4736111111111111</v>
      </c>
      <c r="N59" s="12">
        <v>0.475</v>
      </c>
      <c r="O59" s="11">
        <v>74.0</v>
      </c>
      <c r="P59" s="12">
        <v>0.5451388888888888</v>
      </c>
      <c r="Q59" s="13">
        <v>0.5472222222222223</v>
      </c>
      <c r="R59" s="18">
        <v>75.0</v>
      </c>
      <c r="S59" s="12">
        <v>0.6125</v>
      </c>
      <c r="T59" s="13">
        <v>0.6131944444444445</v>
      </c>
      <c r="U59" s="11">
        <v>66.0</v>
      </c>
      <c r="V59" s="12">
        <v>0.65625</v>
      </c>
      <c r="W59" s="13">
        <v>0.6722222222222223</v>
      </c>
      <c r="X59" s="11">
        <v>66.0</v>
      </c>
      <c r="Y59" s="19"/>
      <c r="Z59" s="13">
        <v>0.7715277777777778</v>
      </c>
      <c r="AA59" s="20">
        <v>67.0</v>
      </c>
      <c r="AB59" s="21">
        <v>0.8375</v>
      </c>
      <c r="AC59" s="22">
        <v>0.8395833333333333</v>
      </c>
      <c r="AD59" s="18">
        <v>67.0</v>
      </c>
      <c r="AE59" s="12">
        <v>0.9375</v>
      </c>
      <c r="AF59" s="23">
        <v>0.9479166666666666</v>
      </c>
      <c r="AG59" s="11">
        <v>70.0</v>
      </c>
      <c r="AH59" s="12">
        <v>0.02847222222222222</v>
      </c>
      <c r="AI59" s="13">
        <v>0.03194444444444444</v>
      </c>
      <c r="AJ59" s="14">
        <v>65.0</v>
      </c>
      <c r="AK59" s="15">
        <v>0.13333333333333333</v>
      </c>
      <c r="AL59" s="16">
        <v>0.13472222222222222</v>
      </c>
      <c r="AM59" s="11">
        <v>59.0</v>
      </c>
      <c r="AN59" s="12">
        <v>0.2013888888888889</v>
      </c>
      <c r="AO59" s="13">
        <v>0.2152777777777778</v>
      </c>
      <c r="AP59" s="11">
        <v>60.0</v>
      </c>
      <c r="AQ59" s="12">
        <v>0.29375</v>
      </c>
      <c r="AR59" s="13">
        <v>0.2951388888888889</v>
      </c>
      <c r="AS59" s="11">
        <v>55.0</v>
      </c>
      <c r="AT59" s="12">
        <v>0.39791666666666664</v>
      </c>
      <c r="AU59" s="13">
        <v>0.40625</v>
      </c>
      <c r="AV59" s="11">
        <v>58.0</v>
      </c>
      <c r="AW59" s="12">
        <v>0.4930555555555556</v>
      </c>
      <c r="AX59" s="13">
        <v>0.4951388888888889</v>
      </c>
      <c r="AY59" s="34"/>
      <c r="AZ59" s="12"/>
      <c r="BA59" s="12"/>
    </row>
    <row r="60" ht="15.75" customHeight="1">
      <c r="A60" s="7"/>
      <c r="B60" s="47">
        <v>647.0</v>
      </c>
      <c r="C60" s="11">
        <v>112.0</v>
      </c>
      <c r="D60" s="12">
        <v>0.26944444444444443</v>
      </c>
      <c r="E60" s="13">
        <v>0.2701388888888889</v>
      </c>
      <c r="F60" s="14">
        <v>107.0</v>
      </c>
      <c r="G60" s="15">
        <v>0.32569444444444445</v>
      </c>
      <c r="H60" s="16">
        <v>0.32569444444444445</v>
      </c>
      <c r="I60" s="11">
        <v>93.0</v>
      </c>
      <c r="J60" s="12">
        <v>0.39375</v>
      </c>
      <c r="K60" s="13">
        <v>0.39861111111111114</v>
      </c>
      <c r="L60" s="17">
        <v>89.0</v>
      </c>
      <c r="M60" s="12">
        <v>0.4840277777777778</v>
      </c>
      <c r="N60" s="12">
        <v>0.4875</v>
      </c>
      <c r="O60" s="11">
        <v>93.0</v>
      </c>
      <c r="P60" s="12">
        <v>0.5569444444444445</v>
      </c>
      <c r="Q60" s="13">
        <v>0.5597222222222222</v>
      </c>
      <c r="R60" s="18">
        <v>89.0</v>
      </c>
      <c r="S60" s="12">
        <v>0.625</v>
      </c>
      <c r="T60" s="13">
        <v>0.6291666666666667</v>
      </c>
      <c r="U60" s="11">
        <v>83.0</v>
      </c>
      <c r="V60" s="12">
        <v>0.6743055555555556</v>
      </c>
      <c r="W60" s="13">
        <v>0.6895833333333333</v>
      </c>
      <c r="X60" s="11">
        <v>92.0</v>
      </c>
      <c r="Y60" s="19"/>
      <c r="Z60" s="13">
        <v>0.7972222222222223</v>
      </c>
      <c r="AA60" s="20">
        <v>90.0</v>
      </c>
      <c r="AB60" s="21">
        <v>0.8597222222222223</v>
      </c>
      <c r="AC60" s="22">
        <v>0.8645833333333334</v>
      </c>
      <c r="AD60" s="18">
        <v>90.0</v>
      </c>
      <c r="AE60" s="12">
        <v>0.9736111111111111</v>
      </c>
      <c r="AF60" s="23">
        <v>0.003472222222222222</v>
      </c>
      <c r="AG60" s="11">
        <v>91.0</v>
      </c>
      <c r="AH60" s="12">
        <v>0.07847222222222222</v>
      </c>
      <c r="AI60" s="13">
        <v>0.08333333333333333</v>
      </c>
      <c r="AJ60" s="14">
        <v>88.0</v>
      </c>
      <c r="AK60" s="15">
        <v>0.1875</v>
      </c>
      <c r="AL60" s="16">
        <v>0.19930555555555557</v>
      </c>
      <c r="AM60" s="11">
        <v>78.0</v>
      </c>
      <c r="AN60" s="12">
        <v>0.2569444444444444</v>
      </c>
      <c r="AO60" s="13">
        <v>0.2743055555555556</v>
      </c>
      <c r="AP60" s="11">
        <v>80.0</v>
      </c>
      <c r="AQ60" s="12">
        <v>0.3402777777777778</v>
      </c>
      <c r="AR60" s="13">
        <v>0.34444444444444444</v>
      </c>
      <c r="AS60" s="11">
        <v>66.0</v>
      </c>
      <c r="AT60" s="12">
        <v>0.4284722222222222</v>
      </c>
      <c r="AU60" s="13">
        <v>0.42986111111111114</v>
      </c>
      <c r="AV60" s="11">
        <v>59.0</v>
      </c>
      <c r="AW60" s="12">
        <v>0.4930555555555556</v>
      </c>
      <c r="AX60" s="13">
        <v>0.4951388888888889</v>
      </c>
      <c r="AY60" s="34"/>
      <c r="AZ60" s="12"/>
      <c r="BA60" s="12"/>
    </row>
    <row r="61" ht="15.75" customHeight="1">
      <c r="A61" s="7"/>
      <c r="B61" s="47">
        <v>536.0</v>
      </c>
      <c r="C61" s="11">
        <v>63.0</v>
      </c>
      <c r="D61" s="12">
        <v>0.26319444444444445</v>
      </c>
      <c r="E61" s="13">
        <v>0.2638888888888889</v>
      </c>
      <c r="F61" s="14">
        <v>52.0</v>
      </c>
      <c r="G61" s="15">
        <v>0.3145833333333333</v>
      </c>
      <c r="H61" s="16">
        <v>0.3145833333333333</v>
      </c>
      <c r="I61" s="11">
        <v>36.0</v>
      </c>
      <c r="J61" s="12">
        <v>0.37083333333333335</v>
      </c>
      <c r="K61" s="13">
        <v>0.3763888888888889</v>
      </c>
      <c r="L61" s="17">
        <v>35.0</v>
      </c>
      <c r="M61" s="12">
        <v>0.44583333333333336</v>
      </c>
      <c r="N61" s="12">
        <v>0.4479166666666667</v>
      </c>
      <c r="O61" s="11">
        <v>30.0</v>
      </c>
      <c r="P61" s="12">
        <v>0.5034722222222222</v>
      </c>
      <c r="Q61" s="13">
        <v>0.50625</v>
      </c>
      <c r="R61" s="18">
        <v>26.0</v>
      </c>
      <c r="S61" s="12">
        <v>0.5604166666666667</v>
      </c>
      <c r="T61" s="13">
        <v>0.5625</v>
      </c>
      <c r="U61" s="11">
        <v>24.0</v>
      </c>
      <c r="V61" s="12">
        <v>0.6</v>
      </c>
      <c r="W61" s="13">
        <v>0.6145833333333334</v>
      </c>
      <c r="X61" s="11">
        <v>32.0</v>
      </c>
      <c r="Y61" s="19"/>
      <c r="Z61" s="13">
        <v>0.7125</v>
      </c>
      <c r="AA61" s="20">
        <v>32.0</v>
      </c>
      <c r="AB61" s="21">
        <v>0.7694444444444445</v>
      </c>
      <c r="AC61" s="22">
        <v>0.7736111111111111</v>
      </c>
      <c r="AD61" s="18">
        <v>44.0</v>
      </c>
      <c r="AE61" s="12">
        <v>0.8868055555555555</v>
      </c>
      <c r="AF61" s="23">
        <v>0.9138888888888889</v>
      </c>
      <c r="AG61" s="11">
        <v>45.0</v>
      </c>
      <c r="AH61" s="12">
        <v>0.9854166666666667</v>
      </c>
      <c r="AI61" s="13">
        <v>0.9881944444444445</v>
      </c>
      <c r="AJ61" s="14">
        <v>49.0</v>
      </c>
      <c r="AK61" s="15">
        <v>0.09861111111111111</v>
      </c>
      <c r="AL61" s="16">
        <v>0.10694444444444444</v>
      </c>
      <c r="AM61" s="11">
        <v>45.0</v>
      </c>
      <c r="AN61" s="12">
        <v>0.15694444444444444</v>
      </c>
      <c r="AO61" s="13">
        <v>0.17916666666666667</v>
      </c>
      <c r="AP61" s="11">
        <v>53.0</v>
      </c>
      <c r="AQ61" s="12">
        <v>0.2652777777777778</v>
      </c>
      <c r="AR61" s="13">
        <v>0.27708333333333335</v>
      </c>
      <c r="AS61" s="11">
        <v>57.0</v>
      </c>
      <c r="AT61" s="12">
        <v>0.40069444444444446</v>
      </c>
      <c r="AU61" s="13">
        <v>0.41805555555555557</v>
      </c>
      <c r="AV61" s="11">
        <v>60.0</v>
      </c>
      <c r="AW61" s="12">
        <v>0.4930555555555556</v>
      </c>
      <c r="AX61" s="13">
        <v>0.4951388888888889</v>
      </c>
      <c r="AY61" s="34"/>
      <c r="AZ61" s="12"/>
      <c r="BA61" s="12"/>
    </row>
    <row r="62" ht="15.75" customHeight="1">
      <c r="A62" s="7"/>
      <c r="B62" s="47">
        <v>727.0</v>
      </c>
      <c r="C62" s="11">
        <v>77.0</v>
      </c>
      <c r="D62" s="12">
        <v>0.2659722222222222</v>
      </c>
      <c r="E62" s="13">
        <v>0.26666666666666666</v>
      </c>
      <c r="F62" s="27"/>
      <c r="G62" s="28"/>
      <c r="H62" s="29"/>
      <c r="I62" s="11">
        <v>83.0</v>
      </c>
      <c r="J62" s="12">
        <v>0.38819444444444445</v>
      </c>
      <c r="K62" s="13">
        <v>0.39652777777777776</v>
      </c>
      <c r="L62" s="17">
        <v>82.0</v>
      </c>
      <c r="M62" s="12">
        <v>0.47847222222222224</v>
      </c>
      <c r="N62" s="12">
        <v>0.48055555555555557</v>
      </c>
      <c r="O62" s="11">
        <v>75.0</v>
      </c>
      <c r="P62" s="12">
        <v>0.5451388888888888</v>
      </c>
      <c r="Q62" s="13">
        <v>0.5541666666666667</v>
      </c>
      <c r="R62" s="18">
        <v>79.0</v>
      </c>
      <c r="S62" s="12">
        <v>0.6166666666666667</v>
      </c>
      <c r="T62" s="13">
        <v>0.6194444444444445</v>
      </c>
      <c r="U62" s="11">
        <v>76.0</v>
      </c>
      <c r="V62" s="12">
        <v>0.6673611111111111</v>
      </c>
      <c r="W62" s="13">
        <v>0.6722222222222223</v>
      </c>
      <c r="X62" s="11">
        <v>68.0</v>
      </c>
      <c r="Y62" s="19"/>
      <c r="Z62" s="13">
        <v>0.7777777777777778</v>
      </c>
      <c r="AA62" s="20">
        <v>74.0</v>
      </c>
      <c r="AB62" s="21">
        <v>0.8402777777777778</v>
      </c>
      <c r="AC62" s="22">
        <v>0.8430555555555556</v>
      </c>
      <c r="AD62" s="18">
        <v>71.0</v>
      </c>
      <c r="AE62" s="12">
        <v>0.9458333333333333</v>
      </c>
      <c r="AF62" s="23">
        <v>0.9583333333333334</v>
      </c>
      <c r="AG62" s="11">
        <v>73.0</v>
      </c>
      <c r="AH62" s="12">
        <v>0.030555555555555555</v>
      </c>
      <c r="AI62" s="13">
        <v>0.0375</v>
      </c>
      <c r="AJ62" s="14">
        <v>71.0</v>
      </c>
      <c r="AK62" s="15">
        <v>0.14444444444444443</v>
      </c>
      <c r="AL62" s="16">
        <v>0.14930555555555555</v>
      </c>
      <c r="AM62" s="11">
        <v>67.0</v>
      </c>
      <c r="AN62" s="12">
        <v>0.21805555555555556</v>
      </c>
      <c r="AO62" s="13">
        <v>0.2388888888888889</v>
      </c>
      <c r="AP62" s="11">
        <v>65.0</v>
      </c>
      <c r="AQ62" s="12">
        <v>0.30972222222222223</v>
      </c>
      <c r="AR62" s="13">
        <v>0.3215277777777778</v>
      </c>
      <c r="AS62" s="11">
        <v>64.0</v>
      </c>
      <c r="AT62" s="12">
        <v>0.4201388888888889</v>
      </c>
      <c r="AU62" s="13">
        <v>0.42569444444444443</v>
      </c>
      <c r="AV62" s="11">
        <v>61.0</v>
      </c>
      <c r="AW62" s="12">
        <v>0.49583333333333335</v>
      </c>
      <c r="AX62" s="13">
        <v>0.49722222222222223</v>
      </c>
      <c r="AY62" s="34"/>
      <c r="AZ62" s="12"/>
      <c r="BA62" s="12"/>
    </row>
    <row r="63" ht="15.75" customHeight="1">
      <c r="A63" s="7"/>
      <c r="B63" s="47">
        <v>638.0</v>
      </c>
      <c r="C63" s="11">
        <v>161.0</v>
      </c>
      <c r="D63" s="12">
        <v>0.2743055555555556</v>
      </c>
      <c r="E63" s="13">
        <v>0.275</v>
      </c>
      <c r="F63" s="27"/>
      <c r="G63" s="28"/>
      <c r="H63" s="29"/>
      <c r="I63" s="11">
        <v>140.0</v>
      </c>
      <c r="J63" s="12">
        <v>0.4097222222222222</v>
      </c>
      <c r="K63" s="13">
        <v>0.4131944444444444</v>
      </c>
      <c r="L63" s="17">
        <v>113.0</v>
      </c>
      <c r="M63" s="12">
        <v>0.4986111111111111</v>
      </c>
      <c r="N63" s="12">
        <v>0.5006944444444444</v>
      </c>
      <c r="O63" s="11">
        <v>106.0</v>
      </c>
      <c r="P63" s="12">
        <v>0.56875</v>
      </c>
      <c r="Q63" s="13">
        <v>0.5715277777777777</v>
      </c>
      <c r="R63" s="18">
        <v>101.0</v>
      </c>
      <c r="S63" s="12">
        <v>0.6368055555555555</v>
      </c>
      <c r="T63" s="13">
        <v>0.6395833333333333</v>
      </c>
      <c r="U63" s="11">
        <v>97.0</v>
      </c>
      <c r="V63" s="12">
        <v>0.6854166666666667</v>
      </c>
      <c r="W63" s="13">
        <v>0.6895833333333333</v>
      </c>
      <c r="X63" s="11">
        <v>86.0</v>
      </c>
      <c r="Y63" s="19"/>
      <c r="Z63" s="13">
        <v>0.7930555555555555</v>
      </c>
      <c r="AA63" s="20">
        <v>87.0</v>
      </c>
      <c r="AB63" s="21">
        <v>0.8569444444444444</v>
      </c>
      <c r="AC63" s="22">
        <v>0.8604166666666667</v>
      </c>
      <c r="AD63" s="18">
        <v>83.0</v>
      </c>
      <c r="AE63" s="12">
        <v>0.9569444444444445</v>
      </c>
      <c r="AF63" s="23">
        <v>0.96875</v>
      </c>
      <c r="AG63" s="11">
        <v>81.0</v>
      </c>
      <c r="AH63" s="12">
        <v>0.04513888888888889</v>
      </c>
      <c r="AI63" s="13">
        <v>0.04722222222222222</v>
      </c>
      <c r="AJ63" s="14">
        <v>73.0</v>
      </c>
      <c r="AK63" s="15">
        <v>0.14652777777777778</v>
      </c>
      <c r="AL63" s="16">
        <v>0.1486111111111111</v>
      </c>
      <c r="AM63" s="11">
        <v>65.0</v>
      </c>
      <c r="AN63" s="12">
        <v>0.21458333333333332</v>
      </c>
      <c r="AO63" s="13">
        <v>0.2222222222222222</v>
      </c>
      <c r="AP63" s="11">
        <v>62.0</v>
      </c>
      <c r="AQ63" s="12">
        <v>0.29444444444444445</v>
      </c>
      <c r="AR63" s="13">
        <v>0.2965277777777778</v>
      </c>
      <c r="AS63" s="11">
        <v>62.0</v>
      </c>
      <c r="AT63" s="12">
        <v>0.4076388888888889</v>
      </c>
      <c r="AU63" s="13">
        <v>0.40902777777777777</v>
      </c>
      <c r="AV63" s="11">
        <v>62.0</v>
      </c>
      <c r="AW63" s="12">
        <v>0.5020833333333333</v>
      </c>
      <c r="AX63" s="13">
        <v>0.5034722222222222</v>
      </c>
      <c r="AY63" s="34"/>
      <c r="AZ63" s="12"/>
      <c r="BA63" s="12"/>
    </row>
    <row r="64" ht="15.75" customHeight="1">
      <c r="A64" s="7"/>
      <c r="B64" s="47">
        <v>617.0</v>
      </c>
      <c r="C64" s="11">
        <v>82.0</v>
      </c>
      <c r="D64" s="12">
        <v>0.2659722222222222</v>
      </c>
      <c r="E64" s="13">
        <v>0.26666666666666666</v>
      </c>
      <c r="F64" s="14">
        <v>81.0</v>
      </c>
      <c r="G64" s="15">
        <v>0.3215277777777778</v>
      </c>
      <c r="H64" s="16">
        <v>0.3215277777777778</v>
      </c>
      <c r="I64" s="11">
        <v>69.0</v>
      </c>
      <c r="J64" s="12">
        <v>0.3861111111111111</v>
      </c>
      <c r="K64" s="13">
        <v>0.38819444444444445</v>
      </c>
      <c r="L64" s="17">
        <v>58.0</v>
      </c>
      <c r="M64" s="12">
        <v>0.4625</v>
      </c>
      <c r="N64" s="12">
        <v>0.4652777777777778</v>
      </c>
      <c r="O64" s="11">
        <v>56.0</v>
      </c>
      <c r="P64" s="12">
        <v>0.5277777777777778</v>
      </c>
      <c r="Q64" s="13">
        <v>0.5305555555555556</v>
      </c>
      <c r="R64" s="18">
        <v>52.0</v>
      </c>
      <c r="S64" s="12">
        <v>0.5881944444444445</v>
      </c>
      <c r="T64" s="13">
        <v>0.5895833333333333</v>
      </c>
      <c r="U64" s="11">
        <v>51.0</v>
      </c>
      <c r="V64" s="12">
        <v>0.63125</v>
      </c>
      <c r="W64" s="13">
        <v>0.6375</v>
      </c>
      <c r="X64" s="11">
        <v>49.0</v>
      </c>
      <c r="Y64" s="19"/>
      <c r="Z64" s="13">
        <v>0.7423611111111111</v>
      </c>
      <c r="AA64" s="20">
        <v>52.0</v>
      </c>
      <c r="AB64" s="21">
        <v>0.80625</v>
      </c>
      <c r="AC64" s="22">
        <v>0.8125</v>
      </c>
      <c r="AD64" s="18">
        <v>52.0</v>
      </c>
      <c r="AE64" s="12">
        <v>0.9076388888888889</v>
      </c>
      <c r="AF64" s="23">
        <v>0.9194444444444444</v>
      </c>
      <c r="AG64" s="11">
        <v>48.0</v>
      </c>
      <c r="AH64" s="12">
        <v>0.9930555555555556</v>
      </c>
      <c r="AI64" s="13">
        <v>1.0</v>
      </c>
      <c r="AJ64" s="14">
        <v>50.0</v>
      </c>
      <c r="AK64" s="15">
        <v>0.10277777777777777</v>
      </c>
      <c r="AL64" s="16">
        <v>0.10833333333333334</v>
      </c>
      <c r="AM64" s="11">
        <v>55.0</v>
      </c>
      <c r="AN64" s="12">
        <v>0.18472222222222223</v>
      </c>
      <c r="AO64" s="13">
        <v>0.18819444444444444</v>
      </c>
      <c r="AP64" s="11">
        <v>56.0</v>
      </c>
      <c r="AQ64" s="12">
        <v>0.2763888888888889</v>
      </c>
      <c r="AR64" s="13">
        <v>0.28541666666666665</v>
      </c>
      <c r="AS64" s="11">
        <v>59.0</v>
      </c>
      <c r="AT64" s="12">
        <v>0.4013888888888889</v>
      </c>
      <c r="AU64" s="13">
        <v>0.4097222222222222</v>
      </c>
      <c r="AV64" s="11">
        <v>63.0</v>
      </c>
      <c r="AW64" s="12">
        <v>0.5020833333333333</v>
      </c>
      <c r="AX64" s="13">
        <v>0.5048611111111111</v>
      </c>
      <c r="AY64" s="34"/>
      <c r="AZ64" s="12"/>
      <c r="BA64" s="12"/>
    </row>
    <row r="65" ht="15.75" customHeight="1">
      <c r="A65" s="7"/>
      <c r="B65" s="47">
        <v>575.0</v>
      </c>
      <c r="C65" s="11">
        <v>91.0</v>
      </c>
      <c r="D65" s="12">
        <v>0.2673611111111111</v>
      </c>
      <c r="E65" s="13">
        <v>0.26805555555555555</v>
      </c>
      <c r="F65" s="14">
        <v>119.0</v>
      </c>
      <c r="G65" s="15">
        <v>0.3298611111111111</v>
      </c>
      <c r="H65" s="16">
        <v>0.3298611111111111</v>
      </c>
      <c r="I65" s="11">
        <v>100.0</v>
      </c>
      <c r="J65" s="12">
        <v>0.39652777777777776</v>
      </c>
      <c r="K65" s="13">
        <v>0.4</v>
      </c>
      <c r="L65" s="17">
        <v>92.0</v>
      </c>
      <c r="M65" s="12">
        <v>0.4840277777777778</v>
      </c>
      <c r="N65" s="12">
        <v>0.48819444444444443</v>
      </c>
      <c r="O65" s="11">
        <v>94.0</v>
      </c>
      <c r="P65" s="12">
        <v>0.5569444444444445</v>
      </c>
      <c r="Q65" s="13">
        <v>0.5590277777777778</v>
      </c>
      <c r="R65" s="18">
        <v>96.0</v>
      </c>
      <c r="S65" s="12">
        <v>0.6298611111111111</v>
      </c>
      <c r="T65" s="13">
        <v>0.6333333333333333</v>
      </c>
      <c r="U65" s="11">
        <v>95.0</v>
      </c>
      <c r="V65" s="12">
        <v>0.68125</v>
      </c>
      <c r="W65" s="13">
        <v>0.6875</v>
      </c>
      <c r="X65" s="11">
        <v>82.0</v>
      </c>
      <c r="Y65" s="19"/>
      <c r="Z65" s="13">
        <v>0.7902777777777777</v>
      </c>
      <c r="AA65" s="20">
        <v>83.0</v>
      </c>
      <c r="AB65" s="21">
        <v>0.8548611111111111</v>
      </c>
      <c r="AC65" s="22">
        <v>0.8576388888888888</v>
      </c>
      <c r="AD65" s="18">
        <v>81.0</v>
      </c>
      <c r="AE65" s="12">
        <v>0.9527777777777777</v>
      </c>
      <c r="AF65" s="23">
        <v>0.9618055555555556</v>
      </c>
      <c r="AG65" s="11">
        <v>72.0</v>
      </c>
      <c r="AH65" s="12">
        <v>0.030555555555555555</v>
      </c>
      <c r="AI65" s="13">
        <v>0.034722222222222224</v>
      </c>
      <c r="AJ65" s="14">
        <v>63.0</v>
      </c>
      <c r="AK65" s="15">
        <v>0.1326388888888889</v>
      </c>
      <c r="AL65" s="16">
        <v>0.1375</v>
      </c>
      <c r="AM65" s="11">
        <v>58.0</v>
      </c>
      <c r="AN65" s="12">
        <v>0.2013888888888889</v>
      </c>
      <c r="AO65" s="13">
        <v>0.2125</v>
      </c>
      <c r="AP65" s="11">
        <v>58.0</v>
      </c>
      <c r="AQ65" s="12">
        <v>0.28541666666666665</v>
      </c>
      <c r="AR65" s="13">
        <v>0.29097222222222224</v>
      </c>
      <c r="AS65" s="11">
        <v>61.0</v>
      </c>
      <c r="AT65" s="12">
        <v>0.40625</v>
      </c>
      <c r="AU65" s="13">
        <v>0.4166666666666667</v>
      </c>
      <c r="AV65" s="11">
        <v>64.0</v>
      </c>
      <c r="AW65" s="12">
        <v>0.5020833333333333</v>
      </c>
      <c r="AX65" s="13">
        <v>0.5048611111111111</v>
      </c>
      <c r="AY65" s="34"/>
      <c r="AZ65" s="12"/>
      <c r="BA65" s="12"/>
    </row>
    <row r="66" ht="15.75" customHeight="1">
      <c r="A66" s="7"/>
      <c r="B66" s="47">
        <v>687.0</v>
      </c>
      <c r="C66" s="11">
        <v>65.0</v>
      </c>
      <c r="D66" s="12">
        <v>0.26319444444444445</v>
      </c>
      <c r="E66" s="13">
        <v>0.2638888888888889</v>
      </c>
      <c r="F66" s="14">
        <v>56.0</v>
      </c>
      <c r="G66" s="15">
        <v>0.3145833333333333</v>
      </c>
      <c r="H66" s="16">
        <v>0.3145833333333333</v>
      </c>
      <c r="I66" s="11">
        <v>43.0</v>
      </c>
      <c r="J66" s="12">
        <v>0.3729166666666667</v>
      </c>
      <c r="K66" s="13">
        <v>0.3784722222222222</v>
      </c>
      <c r="L66" s="17">
        <v>42.0</v>
      </c>
      <c r="M66" s="12">
        <v>0.45</v>
      </c>
      <c r="N66" s="12">
        <v>0.4527777777777778</v>
      </c>
      <c r="O66" s="11">
        <v>39.0</v>
      </c>
      <c r="P66" s="12">
        <v>0.5097222222222222</v>
      </c>
      <c r="Q66" s="38" t="s">
        <v>122</v>
      </c>
      <c r="R66" s="18">
        <v>39.0</v>
      </c>
      <c r="S66" s="12">
        <v>0.5701388888888889</v>
      </c>
      <c r="T66" s="13">
        <v>0.5708333333333333</v>
      </c>
      <c r="U66" s="11">
        <v>36.0</v>
      </c>
      <c r="V66" s="12">
        <v>0.6111111111111112</v>
      </c>
      <c r="W66" s="13">
        <v>0.625</v>
      </c>
      <c r="X66" s="11">
        <v>38.0</v>
      </c>
      <c r="Y66" s="19"/>
      <c r="Z66" s="13">
        <v>0.7215277777777778</v>
      </c>
      <c r="AA66" s="20">
        <v>40.0</v>
      </c>
      <c r="AB66" s="21">
        <v>0.7819444444444444</v>
      </c>
      <c r="AC66" s="22">
        <v>0.7868055555555555</v>
      </c>
      <c r="AD66" s="18">
        <v>42.0</v>
      </c>
      <c r="AE66" s="12">
        <v>0.8784722222222222</v>
      </c>
      <c r="AF66" s="23">
        <v>0.8972222222222223</v>
      </c>
      <c r="AG66" s="11">
        <v>40.0</v>
      </c>
      <c r="AH66" s="12">
        <v>0.9701388888888889</v>
      </c>
      <c r="AI66" s="13">
        <v>0.9763888888888889</v>
      </c>
      <c r="AJ66" s="14">
        <v>45.0</v>
      </c>
      <c r="AK66" s="15">
        <v>0.08611111111111111</v>
      </c>
      <c r="AL66" s="16">
        <v>0.09027777777777778</v>
      </c>
      <c r="AM66" s="11">
        <v>49.0</v>
      </c>
      <c r="AN66" s="12">
        <v>0.16597222222222222</v>
      </c>
      <c r="AO66" s="13">
        <v>0.18958333333333333</v>
      </c>
      <c r="AP66" s="11">
        <v>55.0</v>
      </c>
      <c r="AQ66" s="12">
        <v>0.2743055555555556</v>
      </c>
      <c r="AR66" s="13">
        <v>0.28402777777777777</v>
      </c>
      <c r="AS66" s="11">
        <v>60.0</v>
      </c>
      <c r="AT66" s="12">
        <v>0.4041666666666667</v>
      </c>
      <c r="AU66" s="13">
        <v>0.4083333333333333</v>
      </c>
      <c r="AV66" s="11">
        <v>65.0</v>
      </c>
      <c r="AW66" s="12">
        <v>0.5083333333333333</v>
      </c>
      <c r="AX66" s="13">
        <v>0.5111111111111111</v>
      </c>
      <c r="AY66" s="34"/>
      <c r="AZ66" s="12"/>
      <c r="BA66" s="12"/>
    </row>
    <row r="67" ht="15.75" customHeight="1">
      <c r="A67" s="7"/>
      <c r="B67" s="47">
        <v>653.0</v>
      </c>
      <c r="C67" s="11">
        <v>41.0</v>
      </c>
      <c r="D67" s="12">
        <v>0.2604166666666667</v>
      </c>
      <c r="E67" s="13">
        <v>0.26180555555555557</v>
      </c>
      <c r="F67" s="14">
        <v>45.0</v>
      </c>
      <c r="G67" s="15">
        <v>0.3138888888888889</v>
      </c>
      <c r="H67" s="16">
        <v>0.3138888888888889</v>
      </c>
      <c r="I67" s="11">
        <v>47.0</v>
      </c>
      <c r="J67" s="12">
        <v>0.375</v>
      </c>
      <c r="K67" s="13">
        <v>0.38125</v>
      </c>
      <c r="L67" s="17">
        <v>54.0</v>
      </c>
      <c r="M67" s="12">
        <v>0.46111111111111114</v>
      </c>
      <c r="N67" s="12">
        <v>0.4652777777777778</v>
      </c>
      <c r="O67" s="11">
        <v>60.0</v>
      </c>
      <c r="P67" s="12">
        <v>0.53125</v>
      </c>
      <c r="Q67" s="13">
        <v>0.5368055555555555</v>
      </c>
      <c r="R67" s="18">
        <v>61.0</v>
      </c>
      <c r="S67" s="12">
        <v>0.5986111111111111</v>
      </c>
      <c r="T67" s="13">
        <v>0.6020833333333333</v>
      </c>
      <c r="U67" s="11">
        <v>62.0</v>
      </c>
      <c r="V67" s="12">
        <v>0.6458333333333334</v>
      </c>
      <c r="W67" s="13">
        <v>0.6597222222222222</v>
      </c>
      <c r="X67" s="11">
        <v>63.0</v>
      </c>
      <c r="Y67" s="19"/>
      <c r="Z67" s="13">
        <v>0.7645833333333333</v>
      </c>
      <c r="AA67" s="20">
        <v>64.0</v>
      </c>
      <c r="AB67" s="21">
        <v>0.8277777777777777</v>
      </c>
      <c r="AC67" s="22">
        <v>0.8326388888888889</v>
      </c>
      <c r="AD67" s="18">
        <v>64.0</v>
      </c>
      <c r="AE67" s="12">
        <v>0.93125</v>
      </c>
      <c r="AF67" s="23">
        <v>0.9465277777777777</v>
      </c>
      <c r="AG67" s="11">
        <v>69.0</v>
      </c>
      <c r="AH67" s="12">
        <v>0.024305555555555556</v>
      </c>
      <c r="AI67" s="13">
        <v>0.03194444444444444</v>
      </c>
      <c r="AJ67" s="14">
        <v>69.0</v>
      </c>
      <c r="AK67" s="15">
        <v>0.14097222222222222</v>
      </c>
      <c r="AL67" s="16">
        <v>0.1527777777777778</v>
      </c>
      <c r="AM67" s="11">
        <v>66.0</v>
      </c>
      <c r="AN67" s="12">
        <v>0.21666666666666667</v>
      </c>
      <c r="AO67" s="13">
        <v>0.22916666666666666</v>
      </c>
      <c r="AP67" s="11">
        <v>66.0</v>
      </c>
      <c r="AQ67" s="12">
        <v>0.3138888888888889</v>
      </c>
      <c r="AR67" s="13">
        <v>0.32013888888888886</v>
      </c>
      <c r="AS67" s="11">
        <v>65.0</v>
      </c>
      <c r="AT67" s="12">
        <v>0.42430555555555555</v>
      </c>
      <c r="AU67" s="13">
        <v>0.4305555555555556</v>
      </c>
      <c r="AV67" s="11">
        <v>66.0</v>
      </c>
      <c r="AW67" s="12">
        <v>0.5152777777777777</v>
      </c>
      <c r="AX67" s="13">
        <v>0.5180555555555556</v>
      </c>
      <c r="AY67" s="34"/>
      <c r="AZ67" s="12"/>
      <c r="BA67" s="12"/>
    </row>
    <row r="68" ht="15.75" customHeight="1">
      <c r="A68" s="7"/>
      <c r="B68" s="47">
        <v>730.0</v>
      </c>
      <c r="C68" s="11">
        <v>59.0</v>
      </c>
      <c r="D68" s="12">
        <v>0.26319444444444445</v>
      </c>
      <c r="E68" s="13">
        <v>0.2638888888888889</v>
      </c>
      <c r="F68" s="14">
        <v>66.0</v>
      </c>
      <c r="G68" s="15">
        <v>0.31875</v>
      </c>
      <c r="H68" s="16">
        <v>0.31875</v>
      </c>
      <c r="I68" s="11">
        <v>70.0</v>
      </c>
      <c r="J68" s="12">
        <v>0.3861111111111111</v>
      </c>
      <c r="K68" s="13">
        <v>0.3902777777777778</v>
      </c>
      <c r="L68" s="17">
        <v>74.0</v>
      </c>
      <c r="M68" s="12">
        <v>0.47430555555555554</v>
      </c>
      <c r="N68" s="12">
        <v>0.4777777777777778</v>
      </c>
      <c r="O68" s="11">
        <v>84.0</v>
      </c>
      <c r="P68" s="12">
        <v>0.5520833333333334</v>
      </c>
      <c r="Q68" s="13">
        <v>0.5548611111111111</v>
      </c>
      <c r="R68" s="18">
        <v>91.0</v>
      </c>
      <c r="S68" s="12">
        <v>0.6277777777777778</v>
      </c>
      <c r="T68" s="13">
        <v>0.6284722222222222</v>
      </c>
      <c r="U68" s="11">
        <v>100.0</v>
      </c>
      <c r="V68" s="12">
        <v>0.6909722222222222</v>
      </c>
      <c r="W68" s="13">
        <v>0.7076388888888889</v>
      </c>
      <c r="X68" s="11">
        <v>102.0</v>
      </c>
      <c r="Y68" s="19"/>
      <c r="Z68" s="13">
        <v>0.8159722222222222</v>
      </c>
      <c r="AA68" s="20">
        <v>98.0</v>
      </c>
      <c r="AB68" s="21">
        <v>0.8819444444444444</v>
      </c>
      <c r="AC68" s="22">
        <v>0.8826388888888889</v>
      </c>
      <c r="AD68" s="18">
        <v>95.0</v>
      </c>
      <c r="AE68" s="12">
        <v>0.9847222222222223</v>
      </c>
      <c r="AF68" s="23">
        <v>0.9979166666666667</v>
      </c>
      <c r="AG68" s="11">
        <v>85.0</v>
      </c>
      <c r="AH68" s="12">
        <v>0.06458333333333334</v>
      </c>
      <c r="AI68" s="13">
        <v>0.06944444444444445</v>
      </c>
      <c r="AJ68" s="14">
        <v>84.0</v>
      </c>
      <c r="AK68" s="15">
        <v>0.17708333333333334</v>
      </c>
      <c r="AL68" s="16">
        <v>0.18125</v>
      </c>
      <c r="AM68" s="11">
        <v>82.0</v>
      </c>
      <c r="AN68" s="12">
        <v>0.2638888888888889</v>
      </c>
      <c r="AO68" s="13">
        <v>0.28680555555555554</v>
      </c>
      <c r="AP68" s="11">
        <v>86.0</v>
      </c>
      <c r="AQ68" s="12">
        <v>0.3506944444444444</v>
      </c>
      <c r="AR68" s="13">
        <v>0.3527777777777778</v>
      </c>
      <c r="AS68" s="11">
        <v>74.0</v>
      </c>
      <c r="AT68" s="12">
        <v>0.44583333333333336</v>
      </c>
      <c r="AU68" s="13">
        <v>0.4486111111111111</v>
      </c>
      <c r="AV68" s="11">
        <v>67.0</v>
      </c>
      <c r="AW68" s="12">
        <v>0.5180555555555556</v>
      </c>
      <c r="AX68" s="13">
        <v>0.5194444444444445</v>
      </c>
      <c r="AY68" s="34"/>
      <c r="AZ68" s="12"/>
      <c r="BA68" s="12"/>
    </row>
    <row r="69" ht="15.75" customHeight="1">
      <c r="A69" s="7"/>
      <c r="B69" s="47">
        <v>737.0</v>
      </c>
      <c r="C69" s="11">
        <v>154.0</v>
      </c>
      <c r="D69" s="12">
        <v>0.2743055555555556</v>
      </c>
      <c r="E69" s="13">
        <v>0.275</v>
      </c>
      <c r="F69" s="14">
        <v>155.0</v>
      </c>
      <c r="G69" s="15">
        <v>0.33819444444444446</v>
      </c>
      <c r="H69" s="16">
        <v>0.33819444444444446</v>
      </c>
      <c r="I69" s="11">
        <v>139.0</v>
      </c>
      <c r="J69" s="12">
        <v>0.4097222222222222</v>
      </c>
      <c r="K69" s="13">
        <v>0.4125</v>
      </c>
      <c r="L69" s="17">
        <v>133.0</v>
      </c>
      <c r="M69" s="12">
        <v>0.5048611111111111</v>
      </c>
      <c r="N69" s="12">
        <v>0.50625</v>
      </c>
      <c r="O69" s="11">
        <v>134.0</v>
      </c>
      <c r="P69" s="12">
        <v>0.58125</v>
      </c>
      <c r="Q69" s="13">
        <v>0.5861111111111111</v>
      </c>
      <c r="R69" s="18">
        <v>131.0</v>
      </c>
      <c r="S69" s="12">
        <v>0.6583333333333333</v>
      </c>
      <c r="T69" s="13">
        <v>0.6597222222222222</v>
      </c>
      <c r="U69" s="11">
        <v>123.0</v>
      </c>
      <c r="V69" s="12">
        <v>0.7104166666666667</v>
      </c>
      <c r="W69" s="13">
        <v>0.71875</v>
      </c>
      <c r="X69" s="11">
        <v>106.0</v>
      </c>
      <c r="Y69" s="19"/>
      <c r="Z69" s="13">
        <v>0.8229166666666666</v>
      </c>
      <c r="AA69" s="20">
        <v>106.0</v>
      </c>
      <c r="AB69" s="21">
        <v>0.8916666666666667</v>
      </c>
      <c r="AC69" s="22">
        <v>0.8902777777777777</v>
      </c>
      <c r="AD69" s="18">
        <v>96.0</v>
      </c>
      <c r="AE69" s="12">
        <v>0.9881944444444445</v>
      </c>
      <c r="AF69" s="23">
        <v>0.9965277777777778</v>
      </c>
      <c r="AG69" s="11">
        <v>89.0</v>
      </c>
      <c r="AH69" s="12">
        <v>0.07083333333333333</v>
      </c>
      <c r="AI69" s="13">
        <v>0.07291666666666667</v>
      </c>
      <c r="AJ69" s="14">
        <v>80.0</v>
      </c>
      <c r="AK69" s="15">
        <v>0.16805555555555557</v>
      </c>
      <c r="AL69" s="16">
        <v>0.16666666666666666</v>
      </c>
      <c r="AM69" s="11">
        <v>70.0</v>
      </c>
      <c r="AN69" s="12">
        <v>0.23055555555555557</v>
      </c>
      <c r="AO69" s="13">
        <v>0.24166666666666667</v>
      </c>
      <c r="AP69" s="11">
        <v>67.0</v>
      </c>
      <c r="AQ69" s="12">
        <v>0.31805555555555554</v>
      </c>
      <c r="AR69" s="13">
        <v>0.32222222222222224</v>
      </c>
      <c r="AS69" s="11">
        <v>68.0</v>
      </c>
      <c r="AT69" s="12">
        <v>0.43194444444444446</v>
      </c>
      <c r="AU69" s="13">
        <v>0.4354166666666667</v>
      </c>
      <c r="AV69" s="11">
        <v>68.0</v>
      </c>
      <c r="AW69" s="12">
        <v>0.5194444444444445</v>
      </c>
      <c r="AX69" s="13">
        <v>0.5194444444444445</v>
      </c>
      <c r="AY69" s="34"/>
      <c r="AZ69" s="12"/>
      <c r="BA69" s="12"/>
    </row>
    <row r="70" ht="15.75" customHeight="1">
      <c r="A70" s="7"/>
      <c r="B70" s="47">
        <v>564.0</v>
      </c>
      <c r="C70" s="11">
        <v>61.0</v>
      </c>
      <c r="D70" s="12">
        <v>0.26319444444444445</v>
      </c>
      <c r="E70" s="13">
        <v>0.2638888888888889</v>
      </c>
      <c r="F70" s="27"/>
      <c r="G70" s="28"/>
      <c r="H70" s="29"/>
      <c r="I70" s="11">
        <v>51.0</v>
      </c>
      <c r="J70" s="12">
        <v>0.3763888888888889</v>
      </c>
      <c r="K70" s="13">
        <v>0.38055555555555554</v>
      </c>
      <c r="L70" s="17">
        <v>48.0</v>
      </c>
      <c r="M70" s="12">
        <v>0.45555555555555555</v>
      </c>
      <c r="N70" s="12">
        <v>0.4576388888888889</v>
      </c>
      <c r="O70" s="11">
        <v>48.0</v>
      </c>
      <c r="P70" s="12">
        <v>0.5194444444444445</v>
      </c>
      <c r="Q70" s="13">
        <v>0.5243055555555556</v>
      </c>
      <c r="R70" s="18">
        <v>48.0</v>
      </c>
      <c r="S70" s="12">
        <v>0.5847222222222223</v>
      </c>
      <c r="T70" s="13">
        <v>0.5875</v>
      </c>
      <c r="U70" s="11">
        <v>59.0</v>
      </c>
      <c r="V70" s="12">
        <v>0.6423611111111112</v>
      </c>
      <c r="W70" s="13">
        <v>0.6513888888888889</v>
      </c>
      <c r="X70" s="11">
        <v>61.0</v>
      </c>
      <c r="Y70" s="19"/>
      <c r="Z70" s="13">
        <v>0.7604166666666666</v>
      </c>
      <c r="AA70" s="20">
        <v>61.0</v>
      </c>
      <c r="AB70" s="21">
        <v>0.8194444444444444</v>
      </c>
      <c r="AC70" s="22">
        <v>0.8215277777777777</v>
      </c>
      <c r="AD70" s="18">
        <v>61.0</v>
      </c>
      <c r="AE70" s="12">
        <v>0.93125</v>
      </c>
      <c r="AF70" s="23">
        <v>0.9513888888888888</v>
      </c>
      <c r="AG70" s="11">
        <v>68.0</v>
      </c>
      <c r="AH70" s="12">
        <v>0.024305555555555556</v>
      </c>
      <c r="AI70" s="13">
        <v>0.027083333333333334</v>
      </c>
      <c r="AJ70" s="14">
        <v>62.0</v>
      </c>
      <c r="AK70" s="15">
        <v>0.13194444444444445</v>
      </c>
      <c r="AL70" s="16">
        <v>0.1361111111111111</v>
      </c>
      <c r="AM70" s="11">
        <v>61.0</v>
      </c>
      <c r="AN70" s="12">
        <v>0.20208333333333334</v>
      </c>
      <c r="AO70" s="13">
        <v>0.2111111111111111</v>
      </c>
      <c r="AP70" s="11">
        <v>59.0</v>
      </c>
      <c r="AQ70" s="12">
        <v>0.2923611111111111</v>
      </c>
      <c r="AR70" s="13">
        <v>0.3020833333333333</v>
      </c>
      <c r="AS70" s="11">
        <v>63.0</v>
      </c>
      <c r="AT70" s="12">
        <v>0.41805555555555557</v>
      </c>
      <c r="AU70" s="13">
        <v>0.4284722222222222</v>
      </c>
      <c r="AV70" s="11">
        <v>69.0</v>
      </c>
      <c r="AW70" s="12">
        <v>0.5194444444444445</v>
      </c>
      <c r="AX70" s="13">
        <v>0.5222222222222223</v>
      </c>
      <c r="AY70" s="34"/>
      <c r="AZ70" s="12"/>
      <c r="BA70" s="12"/>
    </row>
    <row r="71" ht="15.75" customHeight="1">
      <c r="A71" s="7"/>
      <c r="B71" s="47">
        <v>519.0</v>
      </c>
      <c r="C71" s="11">
        <v>133.0</v>
      </c>
      <c r="D71" s="12">
        <v>0.27152777777777776</v>
      </c>
      <c r="E71" s="13">
        <v>0.2722222222222222</v>
      </c>
      <c r="F71" s="14">
        <v>125.0</v>
      </c>
      <c r="G71" s="15">
        <v>0.33194444444444443</v>
      </c>
      <c r="H71" s="16">
        <v>0.33194444444444443</v>
      </c>
      <c r="I71" s="11">
        <v>96.0</v>
      </c>
      <c r="J71" s="12">
        <v>0.3958333333333333</v>
      </c>
      <c r="K71" s="13">
        <v>0.4013888888888889</v>
      </c>
      <c r="L71" s="17">
        <v>105.0</v>
      </c>
      <c r="M71" s="12">
        <v>0.49166666666666664</v>
      </c>
      <c r="N71" s="12">
        <v>0.49444444444444446</v>
      </c>
      <c r="O71" s="11">
        <v>100.0</v>
      </c>
      <c r="P71" s="12">
        <v>0.5625</v>
      </c>
      <c r="Q71" s="13">
        <v>0.5645833333333333</v>
      </c>
      <c r="R71" s="18">
        <v>97.0</v>
      </c>
      <c r="S71" s="12">
        <v>0.6305555555555555</v>
      </c>
      <c r="T71" s="13">
        <v>0.6326388888888889</v>
      </c>
      <c r="U71" s="11">
        <v>89.0</v>
      </c>
      <c r="V71" s="12">
        <v>0.6798611111111111</v>
      </c>
      <c r="W71" s="13">
        <v>0.6944444444444444</v>
      </c>
      <c r="X71" s="11">
        <v>90.0</v>
      </c>
      <c r="Y71" s="19"/>
      <c r="Z71" s="13">
        <v>0.7972222222222223</v>
      </c>
      <c r="AA71" s="20">
        <v>82.0</v>
      </c>
      <c r="AB71" s="21">
        <v>0.8534722222222222</v>
      </c>
      <c r="AC71" s="22">
        <v>0.8555555555555555</v>
      </c>
      <c r="AD71" s="18">
        <v>77.0</v>
      </c>
      <c r="AE71" s="12">
        <v>0.9486111111111111</v>
      </c>
      <c r="AF71" s="23">
        <v>0.9673611111111111</v>
      </c>
      <c r="AG71" s="11">
        <v>82.0</v>
      </c>
      <c r="AH71" s="12">
        <v>0.04722222222222222</v>
      </c>
      <c r="AI71" s="13">
        <v>0.05138888888888889</v>
      </c>
      <c r="AJ71" s="14">
        <v>78.0</v>
      </c>
      <c r="AK71" s="15">
        <v>0.15486111111111112</v>
      </c>
      <c r="AL71" s="16">
        <v>0.16319444444444445</v>
      </c>
      <c r="AM71" s="11">
        <v>73.0</v>
      </c>
      <c r="AN71" s="12">
        <v>0.23819444444444443</v>
      </c>
      <c r="AO71" s="13">
        <v>0.26875</v>
      </c>
      <c r="AP71" s="11">
        <v>72.0</v>
      </c>
      <c r="AQ71" s="12">
        <v>0.3277777777777778</v>
      </c>
      <c r="AR71" s="13">
        <v>0.3326388888888889</v>
      </c>
      <c r="AS71" s="11">
        <v>69.0</v>
      </c>
      <c r="AT71" s="12">
        <v>0.4395833333333333</v>
      </c>
      <c r="AU71" s="13">
        <v>0.4444444444444444</v>
      </c>
      <c r="AV71" s="11">
        <v>70.0</v>
      </c>
      <c r="AW71" s="12">
        <v>0.5215277777777778</v>
      </c>
      <c r="AX71" s="13">
        <v>0.5215277777777778</v>
      </c>
      <c r="AY71" s="34"/>
      <c r="AZ71" s="12"/>
      <c r="BA71" s="12"/>
    </row>
    <row r="72" ht="15.75" customHeight="1">
      <c r="A72" s="7"/>
      <c r="B72" s="47">
        <v>626.0</v>
      </c>
      <c r="C72" s="11">
        <v>139.0</v>
      </c>
      <c r="D72" s="12">
        <v>0.27152777777777776</v>
      </c>
      <c r="E72" s="13">
        <v>0.2722222222222222</v>
      </c>
      <c r="F72" s="14">
        <v>129.0</v>
      </c>
      <c r="G72" s="15">
        <v>0.3326388888888889</v>
      </c>
      <c r="H72" s="16">
        <v>0.3326388888888889</v>
      </c>
      <c r="I72" s="11">
        <v>151.0</v>
      </c>
      <c r="J72" s="12">
        <v>0.4131944444444444</v>
      </c>
      <c r="K72" s="13">
        <v>0.41805555555555557</v>
      </c>
      <c r="L72" s="17">
        <v>137.0</v>
      </c>
      <c r="M72" s="12">
        <v>0.5055555555555555</v>
      </c>
      <c r="N72" s="12">
        <v>0.5076388888888889</v>
      </c>
      <c r="O72" s="11">
        <v>127.0</v>
      </c>
      <c r="P72" s="12">
        <v>0.5798611111111112</v>
      </c>
      <c r="Q72" s="13">
        <v>0.5833333333333334</v>
      </c>
      <c r="R72" s="18">
        <v>110.0</v>
      </c>
      <c r="S72" s="12">
        <v>0.6479166666666667</v>
      </c>
      <c r="T72" s="13">
        <v>0.6506944444444445</v>
      </c>
      <c r="U72" s="11">
        <v>106.0</v>
      </c>
      <c r="V72" s="12">
        <v>0.6979166666666666</v>
      </c>
      <c r="W72" s="13">
        <v>0.70625</v>
      </c>
      <c r="X72" s="11">
        <v>100.0</v>
      </c>
      <c r="Y72" s="26"/>
      <c r="Z72" s="13">
        <v>0.8145833333333333</v>
      </c>
      <c r="AA72" s="20">
        <v>100.0</v>
      </c>
      <c r="AB72" s="21">
        <v>0.8847222222222222</v>
      </c>
      <c r="AC72" s="22">
        <v>0.8875</v>
      </c>
      <c r="AD72" s="18">
        <v>98.0</v>
      </c>
      <c r="AE72" s="12">
        <v>0.9930555555555556</v>
      </c>
      <c r="AF72" s="23">
        <v>0.0</v>
      </c>
      <c r="AG72" s="11">
        <v>97.0</v>
      </c>
      <c r="AH72" s="12">
        <v>0.0875</v>
      </c>
      <c r="AI72" s="13">
        <v>0.09444444444444444</v>
      </c>
      <c r="AJ72" s="14">
        <v>102.0</v>
      </c>
      <c r="AK72" s="15">
        <v>0.20347222222222222</v>
      </c>
      <c r="AL72" s="16">
        <v>0.20694444444444443</v>
      </c>
      <c r="AM72" s="11">
        <v>93.0</v>
      </c>
      <c r="AN72" s="12">
        <v>0.27361111111111114</v>
      </c>
      <c r="AO72" s="13">
        <v>0.2791666666666667</v>
      </c>
      <c r="AP72" s="11">
        <v>85.0</v>
      </c>
      <c r="AQ72" s="12">
        <v>0.34930555555555554</v>
      </c>
      <c r="AR72" s="13">
        <v>0.35208333333333336</v>
      </c>
      <c r="AS72" s="11">
        <v>75.0</v>
      </c>
      <c r="AT72" s="12">
        <v>0.45069444444444445</v>
      </c>
      <c r="AU72" s="13">
        <v>0.4534722222222222</v>
      </c>
      <c r="AV72" s="11">
        <v>71.0</v>
      </c>
      <c r="AW72" s="12">
        <v>0.5305555555555556</v>
      </c>
      <c r="AX72" s="13">
        <v>0.53125</v>
      </c>
      <c r="AY72" s="34"/>
      <c r="AZ72" s="12"/>
      <c r="BA72" s="12"/>
    </row>
    <row r="73" ht="15.75" customHeight="1">
      <c r="A73" s="7"/>
      <c r="B73" s="47">
        <v>604.0</v>
      </c>
      <c r="C73" s="11">
        <v>32.0</v>
      </c>
      <c r="D73" s="12">
        <v>0.25972222222222224</v>
      </c>
      <c r="E73" s="13">
        <v>0.2604166666666667</v>
      </c>
      <c r="F73" s="14">
        <v>35.0</v>
      </c>
      <c r="G73" s="15">
        <v>0.3111111111111111</v>
      </c>
      <c r="H73" s="16">
        <v>0.3111111111111111</v>
      </c>
      <c r="I73" s="11">
        <v>50.0</v>
      </c>
      <c r="J73" s="12">
        <v>0.3763888888888889</v>
      </c>
      <c r="K73" s="13">
        <v>0.38055555555555554</v>
      </c>
      <c r="L73" s="17">
        <v>65.0</v>
      </c>
      <c r="M73" s="12">
        <v>0.4701388888888889</v>
      </c>
      <c r="N73" s="12">
        <v>0.4722222222222222</v>
      </c>
      <c r="O73" s="11">
        <v>71.0</v>
      </c>
      <c r="P73" s="12">
        <v>0.5430555555555555</v>
      </c>
      <c r="Q73" s="13">
        <v>0.5451388888888888</v>
      </c>
      <c r="R73" s="18">
        <v>74.0</v>
      </c>
      <c r="S73" s="12">
        <v>0.6111111111111112</v>
      </c>
      <c r="T73" s="13">
        <v>0.6131944444444445</v>
      </c>
      <c r="U73" s="11">
        <v>69.0</v>
      </c>
      <c r="V73" s="12">
        <v>0.6611111111111111</v>
      </c>
      <c r="W73" s="13">
        <v>0.66875</v>
      </c>
      <c r="X73" s="11">
        <v>67.0</v>
      </c>
      <c r="Y73" s="26"/>
      <c r="Z73" s="13">
        <v>0.7743055555555556</v>
      </c>
      <c r="AA73" s="20">
        <v>73.0</v>
      </c>
      <c r="AB73" s="21">
        <v>0.8395833333333333</v>
      </c>
      <c r="AC73" s="22">
        <v>0.8416666666666667</v>
      </c>
      <c r="AD73" s="18">
        <v>75.0</v>
      </c>
      <c r="AE73" s="12">
        <v>0.9486111111111111</v>
      </c>
      <c r="AF73" s="23">
        <v>0.9590277777777778</v>
      </c>
      <c r="AG73" s="11">
        <v>75.0</v>
      </c>
      <c r="AH73" s="12">
        <v>0.035416666666666666</v>
      </c>
      <c r="AI73" s="13">
        <v>0.0375</v>
      </c>
      <c r="AJ73" s="14">
        <v>75.0</v>
      </c>
      <c r="AK73" s="15">
        <v>0.15416666666666667</v>
      </c>
      <c r="AL73" s="16">
        <v>0.15833333333333333</v>
      </c>
      <c r="AM73" s="11">
        <v>71.0</v>
      </c>
      <c r="AN73" s="12">
        <v>0.23402777777777778</v>
      </c>
      <c r="AO73" s="13">
        <v>0.24583333333333332</v>
      </c>
      <c r="AP73" s="11">
        <v>70.0</v>
      </c>
      <c r="AQ73" s="12">
        <v>0.3236111111111111</v>
      </c>
      <c r="AR73" s="13">
        <v>0.32569444444444445</v>
      </c>
      <c r="AS73" s="11">
        <v>72.0</v>
      </c>
      <c r="AT73" s="12">
        <v>0.4423611111111111</v>
      </c>
      <c r="AU73" s="13">
        <v>0.44513888888888886</v>
      </c>
      <c r="AV73" s="11">
        <v>72.0</v>
      </c>
      <c r="AW73" s="12">
        <v>0.5305555555555556</v>
      </c>
      <c r="AX73" s="13">
        <v>0.5319444444444444</v>
      </c>
      <c r="AY73" s="34"/>
      <c r="AZ73" s="12"/>
      <c r="BA73" s="12"/>
    </row>
    <row r="74" ht="15.75" customHeight="1">
      <c r="A74" s="7"/>
      <c r="B74" s="47">
        <v>714.0</v>
      </c>
      <c r="C74" s="11">
        <v>124.0</v>
      </c>
      <c r="D74" s="12">
        <v>0.2701388888888889</v>
      </c>
      <c r="E74" s="13">
        <v>0.2708333333333333</v>
      </c>
      <c r="F74" s="14">
        <v>137.0</v>
      </c>
      <c r="G74" s="15">
        <v>0.33402777777777776</v>
      </c>
      <c r="H74" s="16">
        <v>0.33402777777777776</v>
      </c>
      <c r="I74" s="11">
        <v>156.0</v>
      </c>
      <c r="J74" s="12">
        <v>0.41388888888888886</v>
      </c>
      <c r="K74" s="13">
        <v>0.4215277777777778</v>
      </c>
      <c r="L74" s="17">
        <v>155.0</v>
      </c>
      <c r="M74" s="12">
        <v>0.5166666666666667</v>
      </c>
      <c r="N74" s="12">
        <v>0.5222222222222223</v>
      </c>
      <c r="O74" s="11">
        <v>151.0</v>
      </c>
      <c r="P74" s="12">
        <v>0.5944444444444444</v>
      </c>
      <c r="Q74" s="13">
        <v>0.6006944444444444</v>
      </c>
      <c r="R74" s="18">
        <v>134.0</v>
      </c>
      <c r="S74" s="12">
        <v>0.6631944444444444</v>
      </c>
      <c r="T74" s="13">
        <v>0.6666666666666666</v>
      </c>
      <c r="U74" s="11">
        <v>127.0</v>
      </c>
      <c r="V74" s="12">
        <v>0.7118055555555556</v>
      </c>
      <c r="W74" s="13">
        <v>0.7222222222222222</v>
      </c>
      <c r="X74" s="11">
        <v>118.0</v>
      </c>
      <c r="Y74" s="19"/>
      <c r="Z74" s="13">
        <v>0.8409722222222222</v>
      </c>
      <c r="AA74" s="20">
        <v>115.0</v>
      </c>
      <c r="AB74" s="21">
        <v>0.9083333333333333</v>
      </c>
      <c r="AC74" s="22">
        <v>0.9111111111111111</v>
      </c>
      <c r="AD74" s="18">
        <v>110.0</v>
      </c>
      <c r="AE74" s="12">
        <v>0.020833333333333332</v>
      </c>
      <c r="AF74" s="23">
        <v>0.03125</v>
      </c>
      <c r="AG74" s="11">
        <v>109.0</v>
      </c>
      <c r="AH74" s="12">
        <v>0.1111111111111111</v>
      </c>
      <c r="AI74" s="13">
        <v>0.12013888888888889</v>
      </c>
      <c r="AJ74" s="14">
        <v>105.0</v>
      </c>
      <c r="AK74" s="15">
        <v>0.21666666666666667</v>
      </c>
      <c r="AL74" s="16">
        <v>0.22291666666666668</v>
      </c>
      <c r="AM74" s="11">
        <v>97.0</v>
      </c>
      <c r="AN74" s="12">
        <v>0.2791666666666667</v>
      </c>
      <c r="AO74" s="13">
        <v>0.2923611111111111</v>
      </c>
      <c r="AP74" s="11">
        <v>95.0</v>
      </c>
      <c r="AQ74" s="12">
        <v>0.3625</v>
      </c>
      <c r="AR74" s="13">
        <v>0.36875</v>
      </c>
      <c r="AS74" s="11">
        <v>86.0</v>
      </c>
      <c r="AT74" s="12">
        <v>0.4625</v>
      </c>
      <c r="AU74" s="13">
        <v>0.4673611111111111</v>
      </c>
      <c r="AV74" s="11">
        <v>73.0</v>
      </c>
      <c r="AW74" s="12">
        <v>0.5326388888888889</v>
      </c>
      <c r="AX74" s="13">
        <v>0.5347222222222222</v>
      </c>
      <c r="AY74" s="34"/>
      <c r="AZ74" s="12"/>
      <c r="BA74" s="12"/>
    </row>
    <row r="75" ht="15.75" customHeight="1">
      <c r="A75" s="7"/>
      <c r="B75" s="47">
        <v>569.0</v>
      </c>
      <c r="C75" s="11">
        <v>85.0</v>
      </c>
      <c r="D75" s="12">
        <v>0.2659722222222222</v>
      </c>
      <c r="E75" s="13">
        <v>0.26666666666666666</v>
      </c>
      <c r="F75" s="14">
        <v>79.0</v>
      </c>
      <c r="G75" s="15">
        <v>0.32083333333333336</v>
      </c>
      <c r="H75" s="16">
        <v>0.32083333333333336</v>
      </c>
      <c r="I75" s="11">
        <v>74.0</v>
      </c>
      <c r="J75" s="12">
        <v>0.3875</v>
      </c>
      <c r="K75" s="13">
        <v>0.3909722222222222</v>
      </c>
      <c r="L75" s="17">
        <v>71.0</v>
      </c>
      <c r="M75" s="12">
        <v>0.47291666666666665</v>
      </c>
      <c r="N75" s="12">
        <v>0.475</v>
      </c>
      <c r="O75" s="11">
        <v>67.0</v>
      </c>
      <c r="P75" s="12">
        <v>0.5402777777777777</v>
      </c>
      <c r="Q75" s="13">
        <v>0.5451388888888888</v>
      </c>
      <c r="R75" s="18">
        <v>72.0</v>
      </c>
      <c r="S75" s="12">
        <v>0.6097222222222223</v>
      </c>
      <c r="T75" s="13">
        <v>0.6118055555555556</v>
      </c>
      <c r="U75" s="11">
        <v>74.0</v>
      </c>
      <c r="V75" s="12">
        <v>0.6645833333333333</v>
      </c>
      <c r="W75" s="13">
        <v>0.6736111111111112</v>
      </c>
      <c r="X75" s="11">
        <v>69.0</v>
      </c>
      <c r="Y75" s="19"/>
      <c r="Z75" s="13">
        <v>0.7777777777777778</v>
      </c>
      <c r="AA75" s="20">
        <v>75.0</v>
      </c>
      <c r="AB75" s="21">
        <v>0.8402777777777778</v>
      </c>
      <c r="AC75" s="22">
        <v>0.8444444444444444</v>
      </c>
      <c r="AD75" s="18">
        <v>79.0</v>
      </c>
      <c r="AE75" s="12">
        <v>0.9493055555555555</v>
      </c>
      <c r="AF75" s="23">
        <v>0.9638888888888889</v>
      </c>
      <c r="AG75" s="11">
        <v>78.0</v>
      </c>
      <c r="AH75" s="12">
        <v>0.03958333333333333</v>
      </c>
      <c r="AI75" s="13">
        <v>0.04236111111111111</v>
      </c>
      <c r="AJ75" s="14">
        <v>76.0</v>
      </c>
      <c r="AK75" s="15">
        <v>0.15416666666666667</v>
      </c>
      <c r="AL75" s="16">
        <v>0.15833333333333333</v>
      </c>
      <c r="AM75" s="11">
        <v>72.0</v>
      </c>
      <c r="AN75" s="12">
        <v>0.23402777777777778</v>
      </c>
      <c r="AO75" s="13">
        <v>0.2465277777777778</v>
      </c>
      <c r="AP75" s="11">
        <v>69.0</v>
      </c>
      <c r="AQ75" s="12">
        <v>0.32013888888888886</v>
      </c>
      <c r="AR75" s="13">
        <v>0.3236111111111111</v>
      </c>
      <c r="AS75" s="11">
        <v>71.0</v>
      </c>
      <c r="AT75" s="12">
        <v>0.4395833333333333</v>
      </c>
      <c r="AU75" s="13">
        <v>0.44305555555555554</v>
      </c>
      <c r="AV75" s="11">
        <v>74.0</v>
      </c>
      <c r="AW75" s="12">
        <v>0.5333333333333333</v>
      </c>
      <c r="AX75" s="13">
        <v>0.5340277777777778</v>
      </c>
      <c r="AY75" s="34"/>
      <c r="AZ75" s="12"/>
      <c r="BA75" s="12"/>
    </row>
    <row r="76" ht="15.75" customHeight="1">
      <c r="A76" s="7"/>
      <c r="B76" s="47">
        <v>538.0</v>
      </c>
      <c r="C76" s="11">
        <v>122.0</v>
      </c>
      <c r="D76" s="12">
        <v>0.2701388888888889</v>
      </c>
      <c r="E76" s="13">
        <v>0.2708333333333333</v>
      </c>
      <c r="F76" s="14">
        <v>127.0</v>
      </c>
      <c r="G76" s="15">
        <v>0.3326388888888889</v>
      </c>
      <c r="H76" s="16">
        <v>0.3326388888888889</v>
      </c>
      <c r="I76" s="11">
        <v>136.0</v>
      </c>
      <c r="J76" s="12">
        <v>0.4083333333333333</v>
      </c>
      <c r="K76" s="13">
        <v>0.41597222222222224</v>
      </c>
      <c r="L76" s="17">
        <v>131.0</v>
      </c>
      <c r="M76" s="12">
        <v>0.5048611111111111</v>
      </c>
      <c r="N76" s="12">
        <v>0.5097222222222222</v>
      </c>
      <c r="O76" s="11">
        <v>123.0</v>
      </c>
      <c r="P76" s="12">
        <v>0.5798611111111112</v>
      </c>
      <c r="Q76" s="13">
        <v>0.5833333333333334</v>
      </c>
      <c r="R76" s="18">
        <v>119.0</v>
      </c>
      <c r="S76" s="12">
        <v>0.6534722222222222</v>
      </c>
      <c r="T76" s="13">
        <v>0.6604166666666667</v>
      </c>
      <c r="U76" s="11">
        <v>117.0</v>
      </c>
      <c r="V76" s="12">
        <v>0.70625</v>
      </c>
      <c r="W76" s="13">
        <v>0.71875</v>
      </c>
      <c r="X76" s="11">
        <v>109.0</v>
      </c>
      <c r="Y76" s="19"/>
      <c r="Z76" s="13">
        <v>0.8277777777777777</v>
      </c>
      <c r="AA76" s="20">
        <v>107.0</v>
      </c>
      <c r="AB76" s="21">
        <v>0.8923611111111112</v>
      </c>
      <c r="AC76" s="22">
        <v>0.8965277777777778</v>
      </c>
      <c r="AD76" s="18">
        <v>104.0</v>
      </c>
      <c r="AE76" s="12">
        <v>0.003472222222222222</v>
      </c>
      <c r="AF76" s="23">
        <v>0.02638888888888889</v>
      </c>
      <c r="AG76" s="11">
        <v>103.0</v>
      </c>
      <c r="AH76" s="12">
        <v>0.09861111111111111</v>
      </c>
      <c r="AI76" s="13">
        <v>0.10486111111111111</v>
      </c>
      <c r="AJ76" s="14">
        <v>93.0</v>
      </c>
      <c r="AK76" s="15">
        <v>0.20069444444444445</v>
      </c>
      <c r="AL76" s="16">
        <v>0.20555555555555555</v>
      </c>
      <c r="AM76" s="11">
        <v>87.0</v>
      </c>
      <c r="AN76" s="12">
        <v>0.26805555555555555</v>
      </c>
      <c r="AO76" s="13">
        <v>0.28402777777777777</v>
      </c>
      <c r="AP76" s="11">
        <v>84.0</v>
      </c>
      <c r="AQ76" s="12">
        <v>0.34930555555555554</v>
      </c>
      <c r="AR76" s="13">
        <v>0.3527777777777778</v>
      </c>
      <c r="AS76" s="11">
        <v>79.0</v>
      </c>
      <c r="AT76" s="12">
        <v>0.4534722222222222</v>
      </c>
      <c r="AU76" s="13">
        <v>0.4583333333333333</v>
      </c>
      <c r="AV76" s="11">
        <v>75.0</v>
      </c>
      <c r="AW76" s="12">
        <v>0.5347222222222222</v>
      </c>
      <c r="AX76" s="13">
        <v>0.5361111111111111</v>
      </c>
      <c r="AY76" s="34"/>
      <c r="AZ76" s="12"/>
      <c r="BA76" s="12"/>
    </row>
    <row r="77" ht="15.75" customHeight="1">
      <c r="A77" s="7"/>
      <c r="B77" s="47">
        <v>577.0</v>
      </c>
      <c r="C77" s="11">
        <v>117.0</v>
      </c>
      <c r="D77" s="12">
        <v>0.26944444444444443</v>
      </c>
      <c r="E77" s="13">
        <v>0.2701388888888889</v>
      </c>
      <c r="F77" s="27"/>
      <c r="G77" s="28"/>
      <c r="H77" s="29"/>
      <c r="I77" s="11">
        <v>134.0</v>
      </c>
      <c r="J77" s="12">
        <v>0.4083333333333333</v>
      </c>
      <c r="K77" s="13">
        <v>0.4111111111111111</v>
      </c>
      <c r="L77" s="17">
        <v>134.0</v>
      </c>
      <c r="M77" s="12">
        <v>0.5048611111111111</v>
      </c>
      <c r="N77" s="12">
        <v>0.5069444444444444</v>
      </c>
      <c r="O77" s="11">
        <v>128.0</v>
      </c>
      <c r="P77" s="12">
        <v>0.5798611111111112</v>
      </c>
      <c r="Q77" s="13">
        <v>0.5826388888888889</v>
      </c>
      <c r="R77" s="18">
        <v>127.0</v>
      </c>
      <c r="S77" s="12">
        <v>0.65625</v>
      </c>
      <c r="T77" s="13">
        <v>0.6583333333333333</v>
      </c>
      <c r="U77" s="11">
        <v>116.0</v>
      </c>
      <c r="V77" s="12">
        <v>0.70625</v>
      </c>
      <c r="W77" s="13">
        <v>0.7131944444444445</v>
      </c>
      <c r="X77" s="11">
        <v>107.0</v>
      </c>
      <c r="Y77" s="19"/>
      <c r="Z77" s="13">
        <v>0.8243055555555555</v>
      </c>
      <c r="AA77" s="20">
        <v>108.0</v>
      </c>
      <c r="AB77" s="21">
        <v>0.8923611111111112</v>
      </c>
      <c r="AC77" s="22">
        <v>0.8951388888888889</v>
      </c>
      <c r="AD77" s="18">
        <v>103.0</v>
      </c>
      <c r="AE77" s="12">
        <v>0.003472222222222222</v>
      </c>
      <c r="AF77" s="23">
        <v>0.010416666666666666</v>
      </c>
      <c r="AG77" s="11">
        <v>94.0</v>
      </c>
      <c r="AH77" s="12">
        <v>0.08402777777777778</v>
      </c>
      <c r="AI77" s="13">
        <v>0.08541666666666667</v>
      </c>
      <c r="AJ77" s="14">
        <v>90.0</v>
      </c>
      <c r="AK77" s="15">
        <v>0.19236111111111112</v>
      </c>
      <c r="AL77" s="16">
        <v>0.19444444444444445</v>
      </c>
      <c r="AM77" s="11">
        <v>79.0</v>
      </c>
      <c r="AN77" s="12">
        <v>0.25833333333333336</v>
      </c>
      <c r="AO77" s="13">
        <v>0.26875</v>
      </c>
      <c r="AP77" s="11">
        <v>76.0</v>
      </c>
      <c r="AQ77" s="12">
        <v>0.3375</v>
      </c>
      <c r="AR77" s="13">
        <v>0.3416666666666667</v>
      </c>
      <c r="AS77" s="11">
        <v>80.0</v>
      </c>
      <c r="AT77" s="12">
        <v>0.4534722222222222</v>
      </c>
      <c r="AU77" s="13">
        <v>0.45694444444444443</v>
      </c>
      <c r="AV77" s="11">
        <v>76.0</v>
      </c>
      <c r="AW77" s="12">
        <v>0.5347222222222222</v>
      </c>
      <c r="AX77" s="13">
        <v>0.5354166666666667</v>
      </c>
      <c r="AY77" s="34"/>
      <c r="AZ77" s="12"/>
      <c r="BA77" s="12"/>
    </row>
    <row r="78" ht="15.75" customHeight="1">
      <c r="A78" s="7"/>
      <c r="B78" s="47">
        <v>631.0</v>
      </c>
      <c r="C78" s="11">
        <v>33.0</v>
      </c>
      <c r="D78" s="12">
        <v>0.25972222222222224</v>
      </c>
      <c r="E78" s="13">
        <v>0.2604166666666667</v>
      </c>
      <c r="F78" s="14">
        <v>31.0</v>
      </c>
      <c r="G78" s="15">
        <v>0.30694444444444446</v>
      </c>
      <c r="H78" s="16">
        <v>0.30694444444444446</v>
      </c>
      <c r="I78" s="11">
        <v>32.0</v>
      </c>
      <c r="J78" s="12">
        <v>0.36875</v>
      </c>
      <c r="K78" s="13">
        <v>0.37083333333333335</v>
      </c>
      <c r="L78" s="17">
        <v>45.0</v>
      </c>
      <c r="M78" s="12">
        <v>0.4534722222222222</v>
      </c>
      <c r="N78" s="12">
        <v>0.45555555555555555</v>
      </c>
      <c r="O78" s="11">
        <v>51.0</v>
      </c>
      <c r="P78" s="12">
        <v>0.5222222222222223</v>
      </c>
      <c r="Q78" s="13">
        <v>0.5243055555555556</v>
      </c>
      <c r="R78" s="18">
        <v>56.0</v>
      </c>
      <c r="S78" s="12">
        <v>0.5909722222222222</v>
      </c>
      <c r="T78" s="13">
        <v>0.5923611111111111</v>
      </c>
      <c r="U78" s="11">
        <v>58.0</v>
      </c>
      <c r="V78" s="12">
        <v>0.6416666666666667</v>
      </c>
      <c r="W78" s="13">
        <v>0.6458333333333334</v>
      </c>
      <c r="X78" s="11">
        <v>55.0</v>
      </c>
      <c r="Y78" s="19"/>
      <c r="Z78" s="13">
        <v>0.7520833333333333</v>
      </c>
      <c r="AA78" s="20">
        <v>59.0</v>
      </c>
      <c r="AB78" s="21">
        <v>0.8173611111111111</v>
      </c>
      <c r="AC78" s="22">
        <v>0.8215277777777777</v>
      </c>
      <c r="AD78" s="18">
        <v>59.0</v>
      </c>
      <c r="AE78" s="12">
        <v>0.9208333333333333</v>
      </c>
      <c r="AF78" s="23">
        <v>0.9423611111111111</v>
      </c>
      <c r="AG78" s="11">
        <v>63.0</v>
      </c>
      <c r="AH78" s="30">
        <v>0.019444444444444445</v>
      </c>
      <c r="AI78" s="13">
        <v>0.029166666666666667</v>
      </c>
      <c r="AJ78" s="14">
        <v>64.0</v>
      </c>
      <c r="AK78" s="15">
        <v>0.1326388888888889</v>
      </c>
      <c r="AL78" s="16">
        <v>0.14305555555555555</v>
      </c>
      <c r="AM78" s="11">
        <v>68.0</v>
      </c>
      <c r="AN78" s="12">
        <v>0.22152777777777777</v>
      </c>
      <c r="AO78" s="13">
        <v>0.2534722222222222</v>
      </c>
      <c r="AP78" s="11">
        <v>71.0</v>
      </c>
      <c r="AQ78" s="12">
        <v>0.32430555555555557</v>
      </c>
      <c r="AR78" s="13">
        <v>0.3298611111111111</v>
      </c>
      <c r="AS78" s="11">
        <v>73.0</v>
      </c>
      <c r="AT78" s="12">
        <v>0.4423611111111111</v>
      </c>
      <c r="AU78" s="13">
        <v>0.4479166666666667</v>
      </c>
      <c r="AV78" s="11">
        <v>77.0</v>
      </c>
      <c r="AW78" s="12">
        <v>0.5347222222222222</v>
      </c>
      <c r="AX78" s="13">
        <v>0.5361111111111111</v>
      </c>
      <c r="AY78" s="34"/>
      <c r="AZ78" s="12"/>
      <c r="BA78" s="12"/>
    </row>
    <row r="79" ht="15.75" customHeight="1">
      <c r="A79" s="7"/>
      <c r="B79" s="47">
        <v>734.0</v>
      </c>
      <c r="C79" s="11">
        <v>89.0</v>
      </c>
      <c r="D79" s="12">
        <v>0.2673611111111111</v>
      </c>
      <c r="E79" s="13">
        <v>0.26805555555555555</v>
      </c>
      <c r="F79" s="14">
        <v>67.0</v>
      </c>
      <c r="G79" s="15">
        <v>0.31875</v>
      </c>
      <c r="H79" s="16">
        <v>0.31875</v>
      </c>
      <c r="I79" s="11">
        <v>65.0</v>
      </c>
      <c r="J79" s="12">
        <v>0.38472222222222224</v>
      </c>
      <c r="K79" s="13">
        <v>0.38819444444444445</v>
      </c>
      <c r="L79" s="17">
        <v>66.0</v>
      </c>
      <c r="M79" s="12">
        <v>0.4701388888888889</v>
      </c>
      <c r="N79" s="12">
        <v>0.4722222222222222</v>
      </c>
      <c r="O79" s="11">
        <v>68.0</v>
      </c>
      <c r="P79" s="12">
        <v>0.5409722222222222</v>
      </c>
      <c r="Q79" s="13">
        <v>0.5451388888888888</v>
      </c>
      <c r="R79" s="18">
        <v>69.0</v>
      </c>
      <c r="S79" s="12">
        <v>0.6076388888888888</v>
      </c>
      <c r="T79" s="13">
        <v>0.6166666666666667</v>
      </c>
      <c r="U79" s="11">
        <v>67.0</v>
      </c>
      <c r="V79" s="12">
        <v>0.6569444444444444</v>
      </c>
      <c r="W79" s="13">
        <v>0.6666666666666666</v>
      </c>
      <c r="X79" s="11">
        <v>80.0</v>
      </c>
      <c r="Y79" s="19"/>
      <c r="Z79" s="13">
        <v>0.7861111111111111</v>
      </c>
      <c r="AA79" s="20">
        <v>85.0</v>
      </c>
      <c r="AB79" s="21">
        <v>0.85625</v>
      </c>
      <c r="AC79" s="22">
        <v>0.8625</v>
      </c>
      <c r="AD79" s="18">
        <v>84.0</v>
      </c>
      <c r="AE79" s="12">
        <v>0.96875</v>
      </c>
      <c r="AF79" s="23">
        <v>0.9909722222222223</v>
      </c>
      <c r="AG79" s="11">
        <v>88.0</v>
      </c>
      <c r="AH79" s="12">
        <v>0.07013888888888889</v>
      </c>
      <c r="AI79" s="13">
        <v>0.07777777777777778</v>
      </c>
      <c r="AJ79" s="14">
        <v>85.0</v>
      </c>
      <c r="AK79" s="15">
        <v>0.18333333333333332</v>
      </c>
      <c r="AL79" s="16">
        <v>0.2</v>
      </c>
      <c r="AM79" s="11">
        <v>80.0</v>
      </c>
      <c r="AN79" s="12">
        <v>0.25972222222222224</v>
      </c>
      <c r="AO79" s="13">
        <v>0.26666666666666666</v>
      </c>
      <c r="AP79" s="11">
        <v>77.0</v>
      </c>
      <c r="AQ79" s="12">
        <v>0.33819444444444446</v>
      </c>
      <c r="AR79" s="13">
        <v>0.34444444444444444</v>
      </c>
      <c r="AS79" s="11">
        <v>77.0</v>
      </c>
      <c r="AT79" s="12">
        <v>0.45208333333333334</v>
      </c>
      <c r="AU79" s="13">
        <v>0.4597222222222222</v>
      </c>
      <c r="AV79" s="11">
        <v>78.0</v>
      </c>
      <c r="AW79" s="12">
        <v>0.5402777777777777</v>
      </c>
      <c r="AX79" s="13">
        <v>0.044444444444444446</v>
      </c>
      <c r="AY79" s="34"/>
      <c r="AZ79" s="12"/>
      <c r="BA79" s="12"/>
    </row>
    <row r="80" ht="15.75" customHeight="1">
      <c r="A80" s="7"/>
      <c r="B80" s="47">
        <v>509.0</v>
      </c>
      <c r="C80" s="11">
        <v>69.0</v>
      </c>
      <c r="D80" s="12">
        <v>0.2638888888888889</v>
      </c>
      <c r="E80" s="13">
        <v>0.26458333333333334</v>
      </c>
      <c r="F80" s="14">
        <v>55.0</v>
      </c>
      <c r="G80" s="15">
        <v>0.3145833333333333</v>
      </c>
      <c r="H80" s="16">
        <v>0.3145833333333333</v>
      </c>
      <c r="I80" s="11">
        <v>52.0</v>
      </c>
      <c r="J80" s="12">
        <v>0.3763888888888889</v>
      </c>
      <c r="K80" s="13">
        <v>0.3798611111111111</v>
      </c>
      <c r="L80" s="17">
        <v>57.0</v>
      </c>
      <c r="M80" s="12">
        <v>0.4618055555555556</v>
      </c>
      <c r="N80" s="12">
        <v>0.46319444444444446</v>
      </c>
      <c r="O80" s="11">
        <v>58.0</v>
      </c>
      <c r="P80" s="12">
        <v>0.5277777777777778</v>
      </c>
      <c r="Q80" s="13">
        <v>0.5305555555555556</v>
      </c>
      <c r="R80" s="18">
        <v>60.0</v>
      </c>
      <c r="S80" s="12">
        <v>0.5972222222222222</v>
      </c>
      <c r="T80" s="13">
        <v>0.5993055555555555</v>
      </c>
      <c r="U80" s="11">
        <v>57.0</v>
      </c>
      <c r="V80" s="12">
        <v>0.6416666666666667</v>
      </c>
      <c r="W80" s="13">
        <v>0.6534722222222222</v>
      </c>
      <c r="X80" s="11">
        <v>79.0</v>
      </c>
      <c r="Y80" s="19"/>
      <c r="Z80" s="13">
        <v>0.7840277777777778</v>
      </c>
      <c r="AA80" s="20">
        <v>79.0</v>
      </c>
      <c r="AB80" s="21">
        <v>0.8534722222222222</v>
      </c>
      <c r="AC80" s="22">
        <v>0.8548611111111111</v>
      </c>
      <c r="AD80" s="18">
        <v>87.0</v>
      </c>
      <c r="AE80" s="12">
        <v>0.9701388888888889</v>
      </c>
      <c r="AF80" s="23">
        <v>0.9916666666666667</v>
      </c>
      <c r="AG80" s="11">
        <v>87.0</v>
      </c>
      <c r="AH80" s="12">
        <v>0.06944444444444445</v>
      </c>
      <c r="AI80" s="13">
        <v>0.07152777777777777</v>
      </c>
      <c r="AJ80" s="14">
        <v>82.0</v>
      </c>
      <c r="AK80" s="15">
        <v>0.17152777777777778</v>
      </c>
      <c r="AL80" s="16">
        <v>0.1736111111111111</v>
      </c>
      <c r="AM80" s="11">
        <v>74.0</v>
      </c>
      <c r="AN80" s="12">
        <v>0.23819444444444443</v>
      </c>
      <c r="AO80" s="13">
        <v>0.2590277777777778</v>
      </c>
      <c r="AP80" s="11">
        <v>78.0</v>
      </c>
      <c r="AQ80" s="12">
        <v>0.33958333333333335</v>
      </c>
      <c r="AR80" s="13">
        <v>0.3458333333333333</v>
      </c>
      <c r="AS80" s="11">
        <v>81.0</v>
      </c>
      <c r="AT80" s="12">
        <v>0.45555555555555555</v>
      </c>
      <c r="AU80" s="13">
        <v>0.4583333333333333</v>
      </c>
      <c r="AV80" s="11">
        <v>79.0</v>
      </c>
      <c r="AW80" s="12">
        <v>0.04513888888888889</v>
      </c>
      <c r="AX80" s="13">
        <v>0.04513888888888889</v>
      </c>
      <c r="AY80" s="34"/>
      <c r="AZ80" s="12"/>
      <c r="BA80" s="12"/>
    </row>
    <row r="81" ht="15.75" customHeight="1">
      <c r="A81" s="7"/>
      <c r="B81" s="47">
        <v>518.0</v>
      </c>
      <c r="C81" s="11">
        <v>150.0</v>
      </c>
      <c r="D81" s="12">
        <v>0.2743055555555556</v>
      </c>
      <c r="E81" s="13">
        <v>0.275</v>
      </c>
      <c r="F81" s="14">
        <v>139.0</v>
      </c>
      <c r="G81" s="15">
        <v>0.33611111111111114</v>
      </c>
      <c r="H81" s="16">
        <v>0.33611111111111114</v>
      </c>
      <c r="I81" s="11">
        <v>135.0</v>
      </c>
      <c r="J81" s="12">
        <v>0.4083333333333333</v>
      </c>
      <c r="K81" s="13">
        <v>0.4166666666666667</v>
      </c>
      <c r="L81" s="17">
        <v>130.0</v>
      </c>
      <c r="M81" s="12">
        <v>0.5041666666666667</v>
      </c>
      <c r="N81" s="12">
        <v>0.5055555555555555</v>
      </c>
      <c r="O81" s="11">
        <v>119.0</v>
      </c>
      <c r="P81" s="12">
        <v>0.5791666666666667</v>
      </c>
      <c r="Q81" s="13">
        <v>0.58125</v>
      </c>
      <c r="R81" s="18">
        <v>109.0</v>
      </c>
      <c r="S81" s="12">
        <v>0.6479166666666667</v>
      </c>
      <c r="T81" s="13">
        <v>0.6493055555555556</v>
      </c>
      <c r="U81" s="11">
        <v>107.0</v>
      </c>
      <c r="V81" s="12">
        <v>0.6979166666666666</v>
      </c>
      <c r="W81" s="13">
        <v>0.7048611111111112</v>
      </c>
      <c r="X81" s="11">
        <v>103.0</v>
      </c>
      <c r="Y81" s="19"/>
      <c r="Z81" s="13">
        <v>0.8166666666666667</v>
      </c>
      <c r="AA81" s="20">
        <v>105.0</v>
      </c>
      <c r="AB81" s="21">
        <v>0.8888888888888888</v>
      </c>
      <c r="AC81" s="22">
        <v>0.8909722222222223</v>
      </c>
      <c r="AD81" s="18">
        <v>102.0</v>
      </c>
      <c r="AE81" s="12">
        <v>0.001388888888888889</v>
      </c>
      <c r="AF81" s="23">
        <v>0.010416666666666666</v>
      </c>
      <c r="AG81" s="11">
        <v>100.0</v>
      </c>
      <c r="AH81" s="12">
        <v>0.09722222222222222</v>
      </c>
      <c r="AI81" s="13">
        <v>0.10208333333333333</v>
      </c>
      <c r="AJ81" s="14">
        <v>103.0</v>
      </c>
      <c r="AK81" s="15">
        <v>0.21041666666666667</v>
      </c>
      <c r="AL81" s="16">
        <v>0.21041666666666667</v>
      </c>
      <c r="AM81" s="11">
        <v>90.0</v>
      </c>
      <c r="AN81" s="12">
        <v>0.2701388888888889</v>
      </c>
      <c r="AO81" s="13">
        <v>0.28125</v>
      </c>
      <c r="AP81" s="11">
        <v>89.0</v>
      </c>
      <c r="AQ81" s="12">
        <v>0.35555555555555557</v>
      </c>
      <c r="AR81" s="13">
        <v>0.3576388888888889</v>
      </c>
      <c r="AS81" s="11">
        <v>87.0</v>
      </c>
      <c r="AT81" s="12">
        <v>0.46319444444444446</v>
      </c>
      <c r="AU81" s="13">
        <v>0.4701388888888889</v>
      </c>
      <c r="AV81" s="11">
        <v>80.0</v>
      </c>
      <c r="AW81" s="12">
        <v>0.04513888888888889</v>
      </c>
      <c r="AX81" s="13">
        <v>0.04583333333333333</v>
      </c>
      <c r="AY81" s="34"/>
      <c r="AZ81" s="12"/>
      <c r="BA81" s="12"/>
    </row>
    <row r="82" ht="15.75" customHeight="1">
      <c r="A82" s="7"/>
      <c r="B82" s="47">
        <v>607.0</v>
      </c>
      <c r="C82" s="11">
        <v>172.0</v>
      </c>
      <c r="D82" s="12">
        <v>0.2743055555555556</v>
      </c>
      <c r="E82" s="13">
        <v>0.275</v>
      </c>
      <c r="F82" s="14">
        <v>180.0</v>
      </c>
      <c r="G82" s="15">
        <v>0.34444444444444444</v>
      </c>
      <c r="H82" s="16">
        <v>0.34444444444444444</v>
      </c>
      <c r="I82" s="11">
        <v>155.0</v>
      </c>
      <c r="J82" s="12">
        <v>0.41388888888888886</v>
      </c>
      <c r="K82" s="13">
        <v>0.42083333333333334</v>
      </c>
      <c r="L82" s="17">
        <v>140.0</v>
      </c>
      <c r="M82" s="12">
        <v>0.5069444444444444</v>
      </c>
      <c r="N82" s="12">
        <v>0.5083333333333333</v>
      </c>
      <c r="O82" s="11">
        <v>130.0</v>
      </c>
      <c r="P82" s="12">
        <v>0.5798611111111112</v>
      </c>
      <c r="Q82" s="13">
        <v>0.5854166666666667</v>
      </c>
      <c r="R82" s="18">
        <v>130.0</v>
      </c>
      <c r="S82" s="12">
        <v>0.6576388888888889</v>
      </c>
      <c r="T82" s="13">
        <v>0.6583333333333333</v>
      </c>
      <c r="U82" s="11">
        <v>124.0</v>
      </c>
      <c r="V82" s="12">
        <v>0.7111111111111111</v>
      </c>
      <c r="W82" s="13">
        <v>0.7194444444444444</v>
      </c>
      <c r="X82" s="11">
        <v>112.0</v>
      </c>
      <c r="Y82" s="19"/>
      <c r="Z82" s="13">
        <v>0.8319444444444445</v>
      </c>
      <c r="AA82" s="20">
        <v>110.0</v>
      </c>
      <c r="AB82" s="21">
        <v>0.9027777777777778</v>
      </c>
      <c r="AC82" s="22">
        <v>0.9013888888888889</v>
      </c>
      <c r="AD82" s="18">
        <v>106.0</v>
      </c>
      <c r="AE82" s="12">
        <v>0.01597222222222222</v>
      </c>
      <c r="AF82" s="23">
        <v>0.024305555555555556</v>
      </c>
      <c r="AG82" s="11">
        <v>102.0</v>
      </c>
      <c r="AH82" s="12">
        <v>0.09861111111111111</v>
      </c>
      <c r="AI82" s="13">
        <v>0.10208333333333333</v>
      </c>
      <c r="AJ82" s="14">
        <v>92.0</v>
      </c>
      <c r="AK82" s="15">
        <v>0.19722222222222222</v>
      </c>
      <c r="AL82" s="16">
        <v>0.19930555555555557</v>
      </c>
      <c r="AM82" s="11">
        <v>81.0</v>
      </c>
      <c r="AN82" s="12">
        <v>0.2638888888888889</v>
      </c>
      <c r="AO82" s="13">
        <v>0.26666666666666666</v>
      </c>
      <c r="AP82" s="11">
        <v>79.0</v>
      </c>
      <c r="AQ82" s="12">
        <v>0.33958333333333335</v>
      </c>
      <c r="AR82" s="13">
        <v>0.3423611111111111</v>
      </c>
      <c r="AS82" s="11">
        <v>78.0</v>
      </c>
      <c r="AT82" s="12">
        <v>0.45208333333333334</v>
      </c>
      <c r="AU82" s="13">
        <v>0.45625</v>
      </c>
      <c r="AV82" s="11">
        <v>81.0</v>
      </c>
      <c r="AW82" s="12">
        <v>0.04513888888888889</v>
      </c>
      <c r="AX82" s="13">
        <v>0.04583333333333333</v>
      </c>
      <c r="AY82" s="34"/>
      <c r="AZ82" s="12"/>
      <c r="BA82" s="12"/>
    </row>
    <row r="83" ht="15.75" customHeight="1">
      <c r="A83" s="7"/>
      <c r="B83" s="47">
        <v>548.0</v>
      </c>
      <c r="C83" s="32"/>
      <c r="D83" s="19"/>
      <c r="E83" s="33"/>
      <c r="F83" s="14">
        <v>104.0</v>
      </c>
      <c r="G83" s="15">
        <v>0.32569444444444445</v>
      </c>
      <c r="H83" s="16">
        <v>0.32569444444444445</v>
      </c>
      <c r="I83" s="11">
        <v>130.0</v>
      </c>
      <c r="J83" s="12">
        <v>0.40555555555555556</v>
      </c>
      <c r="K83" s="13">
        <v>0.4097222222222222</v>
      </c>
      <c r="L83" s="17">
        <v>123.0</v>
      </c>
      <c r="M83" s="30">
        <v>0.5013888888888889</v>
      </c>
      <c r="N83" s="30">
        <v>0.5055555555555555</v>
      </c>
      <c r="O83" s="11">
        <v>117.0</v>
      </c>
      <c r="P83" s="12">
        <v>0.5784722222222223</v>
      </c>
      <c r="Q83" s="13">
        <v>0.5819444444444445</v>
      </c>
      <c r="R83" s="18">
        <v>122.0</v>
      </c>
      <c r="S83" s="12">
        <v>0.65625</v>
      </c>
      <c r="T83" s="13">
        <v>0.6597222222222222</v>
      </c>
      <c r="U83" s="11">
        <v>126.0</v>
      </c>
      <c r="V83" s="12">
        <v>0.7111111111111111</v>
      </c>
      <c r="W83" s="13">
        <v>0.7180555555555556</v>
      </c>
      <c r="X83" s="11">
        <v>114.0</v>
      </c>
      <c r="Y83" s="19"/>
      <c r="Z83" s="13">
        <v>0.8319444444444445</v>
      </c>
      <c r="AA83" s="20">
        <v>112.0</v>
      </c>
      <c r="AB83" s="21">
        <v>0.9027777777777778</v>
      </c>
      <c r="AC83" s="22">
        <v>0.9083333333333333</v>
      </c>
      <c r="AD83" s="18">
        <v>107.0</v>
      </c>
      <c r="AE83" s="12">
        <v>0.01597222222222222</v>
      </c>
      <c r="AF83" s="23">
        <v>0.024305555555555556</v>
      </c>
      <c r="AG83" s="11">
        <v>104.0</v>
      </c>
      <c r="AH83" s="12">
        <v>0.09930555555555555</v>
      </c>
      <c r="AI83" s="13">
        <v>0.10416666666666667</v>
      </c>
      <c r="AJ83" s="14">
        <v>100.0</v>
      </c>
      <c r="AK83" s="15">
        <v>0.20347222222222222</v>
      </c>
      <c r="AL83" s="16">
        <v>0.20625</v>
      </c>
      <c r="AM83" s="11">
        <v>83.0</v>
      </c>
      <c r="AN83" s="12">
        <v>0.2673611111111111</v>
      </c>
      <c r="AO83" s="13">
        <v>0.2743055555555556</v>
      </c>
      <c r="AP83" s="11">
        <v>81.0</v>
      </c>
      <c r="AQ83" s="12">
        <v>0.34791666666666665</v>
      </c>
      <c r="AR83" s="13">
        <v>0.35347222222222224</v>
      </c>
      <c r="AS83" s="11">
        <v>85.0</v>
      </c>
      <c r="AT83" s="12">
        <v>0.4618055555555556</v>
      </c>
      <c r="AU83" s="13">
        <v>0.46458333333333335</v>
      </c>
      <c r="AV83" s="11">
        <v>82.0</v>
      </c>
      <c r="AW83" s="12">
        <v>0.04652777777777778</v>
      </c>
      <c r="AX83" s="13">
        <v>0.04791666666666667</v>
      </c>
      <c r="AY83" s="34"/>
      <c r="AZ83" s="12"/>
      <c r="BA83" s="12"/>
    </row>
    <row r="84" ht="15.75" customHeight="1">
      <c r="A84" s="7"/>
      <c r="B84" s="47">
        <v>683.0</v>
      </c>
      <c r="C84" s="11">
        <v>38.0</v>
      </c>
      <c r="D84" s="12">
        <v>0.2604166666666667</v>
      </c>
      <c r="E84" s="13">
        <v>0.26180555555555557</v>
      </c>
      <c r="F84" s="14">
        <v>25.0</v>
      </c>
      <c r="G84" s="15">
        <v>0.30694444444444446</v>
      </c>
      <c r="H84" s="16">
        <v>0.30694444444444446</v>
      </c>
      <c r="I84" s="11">
        <v>26.0</v>
      </c>
      <c r="J84" s="12">
        <v>0.36527777777777776</v>
      </c>
      <c r="K84" s="13">
        <v>0.3680555555555556</v>
      </c>
      <c r="L84" s="17">
        <v>27.0</v>
      </c>
      <c r="M84" s="12">
        <v>0.44166666666666665</v>
      </c>
      <c r="N84" s="12">
        <v>0.44375</v>
      </c>
      <c r="O84" s="11">
        <v>28.0</v>
      </c>
      <c r="P84" s="12">
        <v>0.5020833333333333</v>
      </c>
      <c r="Q84" s="13">
        <v>0.5048611111111111</v>
      </c>
      <c r="R84" s="18">
        <v>37.0</v>
      </c>
      <c r="S84" s="12">
        <v>0.56875</v>
      </c>
      <c r="T84" s="13">
        <v>0.5722222222222222</v>
      </c>
      <c r="U84" s="11">
        <v>43.0</v>
      </c>
      <c r="V84" s="12">
        <v>0.6194444444444445</v>
      </c>
      <c r="W84" s="13">
        <v>0.6270833333333333</v>
      </c>
      <c r="X84" s="11">
        <v>53.0</v>
      </c>
      <c r="Y84" s="19"/>
      <c r="Z84" s="13">
        <v>0.7458333333333333</v>
      </c>
      <c r="AA84" s="20">
        <v>53.0</v>
      </c>
      <c r="AB84" s="21">
        <v>0.8125</v>
      </c>
      <c r="AC84" s="22">
        <v>0.8201388888888889</v>
      </c>
      <c r="AD84" s="18">
        <v>69.0</v>
      </c>
      <c r="AE84" s="12">
        <v>0.9402777777777778</v>
      </c>
      <c r="AF84" s="23">
        <v>0.9604166666666667</v>
      </c>
      <c r="AG84" s="11">
        <v>76.0</v>
      </c>
      <c r="AH84" s="12">
        <v>0.03888888888888889</v>
      </c>
      <c r="AI84" s="13">
        <v>0.04722222222222222</v>
      </c>
      <c r="AJ84" s="14">
        <v>72.0</v>
      </c>
      <c r="AK84" s="15">
        <v>0.14652777777777778</v>
      </c>
      <c r="AL84" s="16">
        <v>0.15347222222222223</v>
      </c>
      <c r="AM84" s="11">
        <v>69.0</v>
      </c>
      <c r="AN84" s="12">
        <v>0.22916666666666666</v>
      </c>
      <c r="AO84" s="13">
        <v>0.24791666666666667</v>
      </c>
      <c r="AP84" s="11">
        <v>68.0</v>
      </c>
      <c r="AQ84" s="12">
        <v>0.31875</v>
      </c>
      <c r="AR84" s="13">
        <v>0.32916666666666666</v>
      </c>
      <c r="AS84" s="11">
        <v>76.0</v>
      </c>
      <c r="AT84" s="12">
        <v>0.45069444444444445</v>
      </c>
      <c r="AU84" s="13">
        <v>0.4625</v>
      </c>
      <c r="AV84" s="11">
        <v>83.0</v>
      </c>
      <c r="AW84" s="12">
        <v>0.04652777777777778</v>
      </c>
      <c r="AX84" s="13">
        <v>0.04791666666666667</v>
      </c>
      <c r="AY84" s="34"/>
      <c r="AZ84" s="12"/>
      <c r="BA84" s="12"/>
    </row>
    <row r="85" ht="15.75" customHeight="1">
      <c r="A85" s="7"/>
      <c r="B85" s="47">
        <v>670.0</v>
      </c>
      <c r="C85" s="11">
        <v>96.0</v>
      </c>
      <c r="D85" s="12">
        <v>0.26805555555555555</v>
      </c>
      <c r="E85" s="13">
        <v>0.26875</v>
      </c>
      <c r="F85" s="27"/>
      <c r="G85" s="28"/>
      <c r="H85" s="29"/>
      <c r="I85" s="32"/>
      <c r="J85" s="26"/>
      <c r="K85" s="39"/>
      <c r="L85" s="17">
        <v>75.0</v>
      </c>
      <c r="M85" s="12">
        <v>0.47430555555555554</v>
      </c>
      <c r="N85" s="12">
        <v>0.47638888888888886</v>
      </c>
      <c r="O85" s="11">
        <v>73.0</v>
      </c>
      <c r="P85" s="12">
        <v>0.54375</v>
      </c>
      <c r="Q85" s="13">
        <v>0.5479166666666667</v>
      </c>
      <c r="R85" s="18">
        <v>71.0</v>
      </c>
      <c r="S85" s="12">
        <v>0.6097222222222223</v>
      </c>
      <c r="T85" s="13">
        <v>0.6118055555555556</v>
      </c>
      <c r="U85" s="11">
        <v>78.0</v>
      </c>
      <c r="V85" s="12">
        <v>0.6694444444444444</v>
      </c>
      <c r="W85" s="13">
        <v>0.6736111111111112</v>
      </c>
      <c r="X85" s="11">
        <v>70.0</v>
      </c>
      <c r="Y85" s="19"/>
      <c r="Z85" s="13">
        <v>0.7777777777777778</v>
      </c>
      <c r="AA85" s="20">
        <v>68.0</v>
      </c>
      <c r="AB85" s="21">
        <v>0.8381944444444445</v>
      </c>
      <c r="AC85" s="22">
        <v>0.8423611111111111</v>
      </c>
      <c r="AD85" s="18">
        <v>73.0</v>
      </c>
      <c r="AE85" s="12">
        <v>0.9458333333333333</v>
      </c>
      <c r="AF85" s="23">
        <v>0.9645833333333333</v>
      </c>
      <c r="AG85" s="11">
        <v>80.0</v>
      </c>
      <c r="AH85" s="12">
        <v>0.043055555555555555</v>
      </c>
      <c r="AI85" s="13">
        <v>0.04722222222222222</v>
      </c>
      <c r="AJ85" s="14">
        <v>77.0</v>
      </c>
      <c r="AK85" s="15">
        <v>0.15416666666666667</v>
      </c>
      <c r="AL85" s="16">
        <v>0.16319444444444445</v>
      </c>
      <c r="AM85" s="11">
        <v>75.0</v>
      </c>
      <c r="AN85" s="12">
        <v>0.2388888888888889</v>
      </c>
      <c r="AO85" s="13">
        <v>0.2520833333333333</v>
      </c>
      <c r="AP85" s="11">
        <v>73.0</v>
      </c>
      <c r="AQ85" s="12">
        <v>0.3298611111111111</v>
      </c>
      <c r="AR85" s="13">
        <v>0.3375</v>
      </c>
      <c r="AS85" s="11">
        <v>88.0</v>
      </c>
      <c r="AT85" s="12">
        <v>0.46319444444444446</v>
      </c>
      <c r="AU85" s="13">
        <v>0.46805555555555556</v>
      </c>
      <c r="AV85" s="11">
        <v>84.0</v>
      </c>
      <c r="AW85" s="12">
        <v>0.04722222222222222</v>
      </c>
      <c r="AX85" s="13">
        <v>0.050694444444444445</v>
      </c>
      <c r="AY85" s="34"/>
      <c r="AZ85" s="12"/>
      <c r="BA85" s="12"/>
    </row>
    <row r="86" ht="15.75" customHeight="1">
      <c r="A86" s="7"/>
      <c r="B86" s="47">
        <v>553.0</v>
      </c>
      <c r="C86" s="11">
        <v>93.0</v>
      </c>
      <c r="D86" s="12">
        <v>0.2673611111111111</v>
      </c>
      <c r="E86" s="13">
        <v>0.26805555555555555</v>
      </c>
      <c r="F86" s="27"/>
      <c r="G86" s="28"/>
      <c r="H86" s="29"/>
      <c r="I86" s="11">
        <v>98.0</v>
      </c>
      <c r="J86" s="12">
        <v>0.3958333333333333</v>
      </c>
      <c r="K86" s="13">
        <v>0.4</v>
      </c>
      <c r="L86" s="17">
        <v>93.0</v>
      </c>
      <c r="M86" s="12">
        <v>0.4847222222222222</v>
      </c>
      <c r="N86" s="12">
        <v>0.4888888888888889</v>
      </c>
      <c r="O86" s="11">
        <v>91.0</v>
      </c>
      <c r="P86" s="12">
        <v>0.5555555555555556</v>
      </c>
      <c r="Q86" s="13">
        <v>0.5604166666666667</v>
      </c>
      <c r="R86" s="18">
        <v>88.0</v>
      </c>
      <c r="S86" s="12">
        <v>0.625</v>
      </c>
      <c r="T86" s="13">
        <v>0.6298611111111111</v>
      </c>
      <c r="U86" s="11">
        <v>84.0</v>
      </c>
      <c r="V86" s="12">
        <v>0.6743055555555556</v>
      </c>
      <c r="W86" s="13">
        <v>0.6861111111111111</v>
      </c>
      <c r="X86" s="11">
        <v>74.0</v>
      </c>
      <c r="Y86" s="19"/>
      <c r="Z86" s="13">
        <v>0.7798611111111111</v>
      </c>
      <c r="AA86" s="20">
        <v>72.0</v>
      </c>
      <c r="AB86" s="21">
        <v>0.8388888888888889</v>
      </c>
      <c r="AC86" s="22">
        <v>0.8444444444444444</v>
      </c>
      <c r="AD86" s="18">
        <v>76.0</v>
      </c>
      <c r="AE86" s="12">
        <v>0.9486111111111111</v>
      </c>
      <c r="AF86" s="23">
        <v>0.9659722222222222</v>
      </c>
      <c r="AG86" s="11">
        <v>79.0</v>
      </c>
      <c r="AH86" s="12">
        <v>0.043055555555555555</v>
      </c>
      <c r="AI86" s="13">
        <v>0.04722222222222222</v>
      </c>
      <c r="AJ86" s="14">
        <v>79.0</v>
      </c>
      <c r="AK86" s="15">
        <v>0.15486111111111112</v>
      </c>
      <c r="AL86" s="16">
        <v>0.16319444444444445</v>
      </c>
      <c r="AM86" s="11">
        <v>76.0</v>
      </c>
      <c r="AN86" s="12">
        <v>0.2388888888888889</v>
      </c>
      <c r="AO86" s="13">
        <v>0.2520833333333333</v>
      </c>
      <c r="AP86" s="11">
        <v>75.0</v>
      </c>
      <c r="AQ86" s="12">
        <v>0.33055555555555555</v>
      </c>
      <c r="AR86" s="13">
        <v>0.3375</v>
      </c>
      <c r="AS86" s="11">
        <v>89.0</v>
      </c>
      <c r="AT86" s="12">
        <v>0.4638888888888889</v>
      </c>
      <c r="AU86" s="13">
        <v>0.46805555555555556</v>
      </c>
      <c r="AV86" s="11">
        <v>85.0</v>
      </c>
      <c r="AW86" s="12">
        <v>0.04861111111111111</v>
      </c>
      <c r="AX86" s="13">
        <v>0.050694444444444445</v>
      </c>
      <c r="AY86" s="34"/>
      <c r="AZ86" s="12"/>
      <c r="BA86" s="12"/>
    </row>
    <row r="87" ht="15.75" customHeight="1">
      <c r="A87" s="7"/>
      <c r="B87" s="47">
        <v>739.0</v>
      </c>
      <c r="C87" s="11">
        <v>146.0</v>
      </c>
      <c r="D87" s="12">
        <v>0.27152777777777776</v>
      </c>
      <c r="E87" s="13">
        <v>0.2722222222222222</v>
      </c>
      <c r="F87" s="27"/>
      <c r="G87" s="28"/>
      <c r="H87" s="29"/>
      <c r="I87" s="11">
        <v>131.0</v>
      </c>
      <c r="J87" s="12">
        <v>0.40555555555555556</v>
      </c>
      <c r="K87" s="13">
        <v>0.4097222222222222</v>
      </c>
      <c r="L87" s="17">
        <v>121.0</v>
      </c>
      <c r="M87" s="12">
        <v>0.5013888888888889</v>
      </c>
      <c r="N87" s="12">
        <v>0.5055555555555555</v>
      </c>
      <c r="O87" s="11">
        <v>118.0</v>
      </c>
      <c r="P87" s="12">
        <v>0.5784722222222223</v>
      </c>
      <c r="Q87" s="13">
        <v>0.5833333333333334</v>
      </c>
      <c r="R87" s="18">
        <v>124.0</v>
      </c>
      <c r="S87" s="12">
        <v>0.65625</v>
      </c>
      <c r="T87" s="13">
        <v>0.6597222222222222</v>
      </c>
      <c r="U87" s="11">
        <v>125.0</v>
      </c>
      <c r="V87" s="12">
        <v>0.7111111111111111</v>
      </c>
      <c r="W87" s="13">
        <v>0.7180555555555556</v>
      </c>
      <c r="X87" s="11">
        <v>113.0</v>
      </c>
      <c r="Y87" s="19"/>
      <c r="Z87" s="13">
        <v>0.8319444444444445</v>
      </c>
      <c r="AA87" s="20">
        <v>113.0</v>
      </c>
      <c r="AB87" s="21">
        <v>0.9027777777777778</v>
      </c>
      <c r="AC87" s="22">
        <v>0.9083333333333333</v>
      </c>
      <c r="AD87" s="18">
        <v>108.0</v>
      </c>
      <c r="AE87" s="12">
        <v>0.01597222222222222</v>
      </c>
      <c r="AF87" s="23">
        <v>0.024305555555555556</v>
      </c>
      <c r="AG87" s="11">
        <v>105.0</v>
      </c>
      <c r="AH87" s="12">
        <v>0.09930555555555555</v>
      </c>
      <c r="AI87" s="13">
        <v>0.10416666666666667</v>
      </c>
      <c r="AJ87" s="14">
        <v>97.0</v>
      </c>
      <c r="AK87" s="15">
        <v>0.20277777777777778</v>
      </c>
      <c r="AL87" s="16">
        <v>0.20555555555555555</v>
      </c>
      <c r="AM87" s="11">
        <v>84.0</v>
      </c>
      <c r="AN87" s="12">
        <v>0.2673611111111111</v>
      </c>
      <c r="AO87" s="13">
        <v>0.27291666666666664</v>
      </c>
      <c r="AP87" s="11">
        <v>82.0</v>
      </c>
      <c r="AQ87" s="12">
        <v>0.34791666666666665</v>
      </c>
      <c r="AR87" s="13">
        <v>0.35347222222222224</v>
      </c>
      <c r="AS87" s="11">
        <v>84.0</v>
      </c>
      <c r="AT87" s="12">
        <v>0.4618055555555556</v>
      </c>
      <c r="AU87" s="13">
        <v>0.46458333333333335</v>
      </c>
      <c r="AV87" s="11">
        <v>86.0</v>
      </c>
      <c r="AW87" s="12">
        <v>0.04861111111111111</v>
      </c>
      <c r="AX87" s="13">
        <v>0.05</v>
      </c>
      <c r="AY87" s="34"/>
      <c r="AZ87" s="12"/>
      <c r="BA87" s="12"/>
    </row>
    <row r="88" ht="15.75" customHeight="1">
      <c r="A88" s="7"/>
      <c r="B88" s="47">
        <v>625.0</v>
      </c>
      <c r="C88" s="11">
        <v>134.0</v>
      </c>
      <c r="D88" s="12">
        <v>0.27152777777777776</v>
      </c>
      <c r="E88" s="13">
        <v>0.2722222222222222</v>
      </c>
      <c r="F88" s="14">
        <v>182.0</v>
      </c>
      <c r="G88" s="15">
        <v>0.34444444444444444</v>
      </c>
      <c r="H88" s="16">
        <v>0.34444444444444444</v>
      </c>
      <c r="I88" s="11">
        <v>125.0</v>
      </c>
      <c r="J88" s="12">
        <v>0.4041666666666667</v>
      </c>
      <c r="K88" s="13">
        <v>0.4125</v>
      </c>
      <c r="L88" s="17">
        <v>112.0</v>
      </c>
      <c r="M88" s="12">
        <v>0.4979166666666667</v>
      </c>
      <c r="N88" s="12">
        <v>0.5</v>
      </c>
      <c r="O88" s="11">
        <v>107.0</v>
      </c>
      <c r="P88" s="12">
        <v>0.56875</v>
      </c>
      <c r="Q88" s="13">
        <v>0.5715277777777777</v>
      </c>
      <c r="R88" s="18">
        <v>100.0</v>
      </c>
      <c r="S88" s="12">
        <v>0.6368055555555555</v>
      </c>
      <c r="T88" s="13">
        <v>0.6402777777777777</v>
      </c>
      <c r="U88" s="11">
        <v>96.0</v>
      </c>
      <c r="V88" s="12">
        <v>0.6854166666666667</v>
      </c>
      <c r="W88" s="13">
        <v>0.6993055555555555</v>
      </c>
      <c r="X88" s="11">
        <v>85.0</v>
      </c>
      <c r="Y88" s="19"/>
      <c r="Z88" s="13">
        <v>0.7930555555555555</v>
      </c>
      <c r="AA88" s="20">
        <v>88.0</v>
      </c>
      <c r="AB88" s="21">
        <v>0.8583333333333333</v>
      </c>
      <c r="AC88" s="22">
        <v>0.8604166666666667</v>
      </c>
      <c r="AD88" s="18">
        <v>78.0</v>
      </c>
      <c r="AE88" s="12">
        <v>0.9486111111111111</v>
      </c>
      <c r="AF88" s="23">
        <v>0.9597222222222223</v>
      </c>
      <c r="AG88" s="11">
        <v>74.0</v>
      </c>
      <c r="AH88" s="12">
        <v>0.03125</v>
      </c>
      <c r="AI88" s="13">
        <v>0.03680555555555556</v>
      </c>
      <c r="AJ88" s="14">
        <v>68.0</v>
      </c>
      <c r="AK88" s="15">
        <v>0.1361111111111111</v>
      </c>
      <c r="AL88" s="16">
        <v>0.13958333333333334</v>
      </c>
      <c r="AM88" s="11">
        <v>62.0</v>
      </c>
      <c r="AN88" s="12">
        <v>0.20555555555555555</v>
      </c>
      <c r="AO88" s="13">
        <v>0.2263888888888889</v>
      </c>
      <c r="AP88" s="11">
        <v>64.0</v>
      </c>
      <c r="AQ88" s="12">
        <v>0.30416666666666664</v>
      </c>
      <c r="AR88" s="13">
        <v>0.3076388888888889</v>
      </c>
      <c r="AS88" s="11">
        <v>67.0</v>
      </c>
      <c r="AT88" s="12">
        <v>0.4305555555555556</v>
      </c>
      <c r="AU88" s="13">
        <v>0.4409722222222222</v>
      </c>
      <c r="AV88" s="11">
        <v>87.0</v>
      </c>
      <c r="AW88" s="12">
        <v>0.05</v>
      </c>
      <c r="AX88" s="13">
        <v>0.05625</v>
      </c>
      <c r="AY88" s="34"/>
      <c r="AZ88" s="12"/>
      <c r="BA88" s="12"/>
    </row>
    <row r="89" ht="15.75" customHeight="1">
      <c r="A89" s="7"/>
      <c r="B89" s="47">
        <v>699.0</v>
      </c>
      <c r="C89" s="11">
        <v>125.0</v>
      </c>
      <c r="D89" s="12">
        <v>0.2708333333333333</v>
      </c>
      <c r="E89" s="13">
        <v>0.27152777777777776</v>
      </c>
      <c r="F89" s="14">
        <v>133.0</v>
      </c>
      <c r="G89" s="15">
        <v>0.33402777777777776</v>
      </c>
      <c r="H89" s="16">
        <v>0.33402777777777776</v>
      </c>
      <c r="I89" s="11">
        <v>126.0</v>
      </c>
      <c r="J89" s="12">
        <v>0.4048611111111111</v>
      </c>
      <c r="K89" s="13">
        <v>0.41458333333333336</v>
      </c>
      <c r="L89" s="17">
        <v>136.0</v>
      </c>
      <c r="M89" s="12">
        <v>0.5055555555555555</v>
      </c>
      <c r="N89" s="12">
        <v>0.50625</v>
      </c>
      <c r="O89" s="11">
        <v>113.0</v>
      </c>
      <c r="P89" s="12">
        <v>0.5770833333333333</v>
      </c>
      <c r="Q89" s="13">
        <v>0.5791666666666667</v>
      </c>
      <c r="R89" s="18">
        <v>111.0</v>
      </c>
      <c r="S89" s="12">
        <v>0.6479166666666667</v>
      </c>
      <c r="T89" s="13">
        <v>0.6486111111111111</v>
      </c>
      <c r="U89" s="11">
        <v>108.0</v>
      </c>
      <c r="V89" s="12">
        <v>0.6986111111111111</v>
      </c>
      <c r="W89" s="13">
        <v>0.7055555555555556</v>
      </c>
      <c r="X89" s="11">
        <v>108.0</v>
      </c>
      <c r="Y89" s="19"/>
      <c r="Z89" s="13">
        <v>0.8256944444444444</v>
      </c>
      <c r="AA89" s="20">
        <v>109.0</v>
      </c>
      <c r="AB89" s="21">
        <v>0.8986111111111111</v>
      </c>
      <c r="AC89" s="22">
        <v>0.8944444444444445</v>
      </c>
      <c r="AD89" s="18">
        <v>100.0</v>
      </c>
      <c r="AE89" s="12">
        <v>0.9965277777777778</v>
      </c>
      <c r="AF89" s="23">
        <v>0.024305555555555556</v>
      </c>
      <c r="AG89" s="11">
        <v>106.0</v>
      </c>
      <c r="AH89" s="12">
        <v>0.10069444444444445</v>
      </c>
      <c r="AI89" s="13">
        <v>0.10208333333333333</v>
      </c>
      <c r="AJ89" s="14">
        <v>96.0</v>
      </c>
      <c r="AK89" s="15">
        <v>0.20277777777777778</v>
      </c>
      <c r="AL89" s="16">
        <v>0.20555555555555555</v>
      </c>
      <c r="AM89" s="11">
        <v>86.0</v>
      </c>
      <c r="AN89" s="12">
        <v>0.26805555555555555</v>
      </c>
      <c r="AO89" s="13">
        <v>0.27569444444444446</v>
      </c>
      <c r="AP89" s="11">
        <v>83.0</v>
      </c>
      <c r="AQ89" s="12">
        <v>0.34791666666666665</v>
      </c>
      <c r="AR89" s="13">
        <v>0.35138888888888886</v>
      </c>
      <c r="AS89" s="11">
        <v>82.0</v>
      </c>
      <c r="AT89" s="12">
        <v>0.45555555555555555</v>
      </c>
      <c r="AU89" s="13">
        <v>0.46319444444444446</v>
      </c>
      <c r="AV89" s="11">
        <v>88.0</v>
      </c>
      <c r="AW89" s="12">
        <v>0.05</v>
      </c>
      <c r="AX89" s="13">
        <v>0.050694444444444445</v>
      </c>
      <c r="AY89" s="34"/>
      <c r="AZ89" s="12"/>
      <c r="BA89" s="12"/>
    </row>
    <row r="90" ht="15.75" customHeight="1">
      <c r="A90" s="7"/>
      <c r="B90" s="47">
        <v>705.0</v>
      </c>
      <c r="C90" s="11">
        <v>95.0</v>
      </c>
      <c r="D90" s="12">
        <v>0.26805555555555555</v>
      </c>
      <c r="E90" s="13">
        <v>0.26875</v>
      </c>
      <c r="F90" s="14">
        <v>101.0</v>
      </c>
      <c r="G90" s="15">
        <v>0.32569444444444445</v>
      </c>
      <c r="H90" s="16">
        <v>0.32569444444444445</v>
      </c>
      <c r="I90" s="11">
        <v>108.0</v>
      </c>
      <c r="J90" s="12">
        <v>0.3993055555555556</v>
      </c>
      <c r="K90" s="13">
        <v>0.40347222222222223</v>
      </c>
      <c r="L90" s="17">
        <v>107.0</v>
      </c>
      <c r="M90" s="12">
        <v>0.4930555555555556</v>
      </c>
      <c r="N90" s="12">
        <v>0.4979166666666667</v>
      </c>
      <c r="O90" s="11">
        <v>102.0</v>
      </c>
      <c r="P90" s="12">
        <v>0.5673611111111111</v>
      </c>
      <c r="Q90" s="13">
        <v>0.5722222222222222</v>
      </c>
      <c r="R90" s="18">
        <v>104.0</v>
      </c>
      <c r="S90" s="12">
        <v>0.6409722222222223</v>
      </c>
      <c r="T90" s="13">
        <v>0.6416666666666667</v>
      </c>
      <c r="U90" s="11">
        <v>111.0</v>
      </c>
      <c r="V90" s="12">
        <v>0.6993055555555555</v>
      </c>
      <c r="W90" s="13">
        <v>0.7166666666666667</v>
      </c>
      <c r="X90" s="11">
        <v>133.0</v>
      </c>
      <c r="Y90" s="19"/>
      <c r="Z90" s="13">
        <v>0.8513888888888889</v>
      </c>
      <c r="AA90" s="20">
        <v>125.0</v>
      </c>
      <c r="AB90" s="21">
        <v>0.9166666666666666</v>
      </c>
      <c r="AC90" s="22">
        <v>0.91875</v>
      </c>
      <c r="AD90" s="18">
        <v>113.0</v>
      </c>
      <c r="AE90" s="12">
        <v>0.025694444444444443</v>
      </c>
      <c r="AF90" s="23">
        <v>0.04652777777777778</v>
      </c>
      <c r="AG90" s="11">
        <v>112.0</v>
      </c>
      <c r="AH90" s="12">
        <v>0.11666666666666667</v>
      </c>
      <c r="AI90" s="13">
        <v>0.13333333333333333</v>
      </c>
      <c r="AJ90" s="14">
        <v>107.0</v>
      </c>
      <c r="AK90" s="15">
        <v>0.23055555555555557</v>
      </c>
      <c r="AL90" s="16">
        <v>0.3159722222222222</v>
      </c>
      <c r="AM90" s="11">
        <v>100.0</v>
      </c>
      <c r="AN90" s="12">
        <v>0.2861111111111111</v>
      </c>
      <c r="AO90" s="13">
        <v>0.28680555555555554</v>
      </c>
      <c r="AP90" s="11">
        <v>93.0</v>
      </c>
      <c r="AQ90" s="12">
        <v>0.3611111111111111</v>
      </c>
      <c r="AR90" s="13">
        <v>0.3638888888888889</v>
      </c>
      <c r="AS90" s="11">
        <v>92.0</v>
      </c>
      <c r="AT90" s="12">
        <v>0.46805555555555556</v>
      </c>
      <c r="AU90" s="13">
        <v>0.46944444444444444</v>
      </c>
      <c r="AV90" s="11">
        <v>89.0</v>
      </c>
      <c r="AW90" s="12">
        <v>0.05486111111111111</v>
      </c>
      <c r="AX90" s="13">
        <v>0.06527777777777778</v>
      </c>
      <c r="AY90" s="34"/>
      <c r="AZ90" s="12"/>
      <c r="BA90" s="12"/>
    </row>
    <row r="91" ht="15.75" customHeight="1">
      <c r="A91" s="7"/>
      <c r="B91" s="47">
        <v>706.0</v>
      </c>
      <c r="C91" s="11">
        <v>79.0</v>
      </c>
      <c r="D91" s="12">
        <v>0.2659722222222222</v>
      </c>
      <c r="E91" s="13">
        <v>0.26666666666666666</v>
      </c>
      <c r="F91" s="14">
        <v>63.0</v>
      </c>
      <c r="G91" s="15">
        <v>0.31805555555555554</v>
      </c>
      <c r="H91" s="16">
        <v>0.31805555555555554</v>
      </c>
      <c r="I91" s="11">
        <v>62.0</v>
      </c>
      <c r="J91" s="12">
        <v>0.38333333333333336</v>
      </c>
      <c r="K91" s="13">
        <v>0.38958333333333334</v>
      </c>
      <c r="L91" s="17">
        <v>64.0</v>
      </c>
      <c r="M91" s="12">
        <v>0.46944444444444444</v>
      </c>
      <c r="N91" s="12">
        <v>0.4722222222222222</v>
      </c>
      <c r="O91" s="11">
        <v>66.0</v>
      </c>
      <c r="P91" s="12">
        <v>0.5402777777777777</v>
      </c>
      <c r="Q91" s="13">
        <v>0.5451388888888888</v>
      </c>
      <c r="R91" s="18">
        <v>73.0</v>
      </c>
      <c r="S91" s="12">
        <v>0.6097222222222223</v>
      </c>
      <c r="T91" s="13">
        <v>0.6118055555555556</v>
      </c>
      <c r="U91" s="11">
        <v>81.0</v>
      </c>
      <c r="V91" s="12">
        <v>0.6694444444444444</v>
      </c>
      <c r="W91" s="13">
        <v>0.6805555555555556</v>
      </c>
      <c r="X91" s="11">
        <v>84.0</v>
      </c>
      <c r="Y91" s="19"/>
      <c r="Z91" s="13">
        <v>0.7902777777777777</v>
      </c>
      <c r="AA91" s="20">
        <v>86.0</v>
      </c>
      <c r="AB91" s="21">
        <v>0.8569444444444444</v>
      </c>
      <c r="AC91" s="22">
        <v>0.8645833333333334</v>
      </c>
      <c r="AD91" s="18">
        <v>85.0</v>
      </c>
      <c r="AE91" s="12">
        <v>0.96875</v>
      </c>
      <c r="AF91" s="23">
        <v>0.9840277777777777</v>
      </c>
      <c r="AG91" s="11">
        <v>83.0</v>
      </c>
      <c r="AH91" s="12">
        <v>0.06180555555555556</v>
      </c>
      <c r="AI91" s="13">
        <v>0.07222222222222222</v>
      </c>
      <c r="AJ91" s="14">
        <v>83.0</v>
      </c>
      <c r="AK91" s="15">
        <v>0.17291666666666666</v>
      </c>
      <c r="AL91" s="16">
        <v>0.18125</v>
      </c>
      <c r="AM91" s="11">
        <v>77.0</v>
      </c>
      <c r="AN91" s="12">
        <v>0.24166666666666667</v>
      </c>
      <c r="AO91" s="13">
        <v>0.25763888888888886</v>
      </c>
      <c r="AP91" s="11">
        <v>74.0</v>
      </c>
      <c r="AQ91" s="12">
        <v>0.3298611111111111</v>
      </c>
      <c r="AR91" s="13">
        <v>0.3423611111111111</v>
      </c>
      <c r="AS91" s="11">
        <v>83.0</v>
      </c>
      <c r="AT91" s="12">
        <v>0.4173611111111111</v>
      </c>
      <c r="AU91" s="13">
        <v>0.46597222222222223</v>
      </c>
      <c r="AV91" s="11">
        <v>90.0</v>
      </c>
      <c r="AW91" s="12">
        <v>0.05625</v>
      </c>
      <c r="AX91" s="13">
        <v>0.059027777777777776</v>
      </c>
      <c r="AY91" s="34"/>
      <c r="AZ91" s="12"/>
      <c r="BA91" s="12"/>
    </row>
    <row r="92" ht="15.75" customHeight="1">
      <c r="A92" s="7"/>
      <c r="B92" s="47">
        <v>716.0</v>
      </c>
      <c r="C92" s="11">
        <v>72.0</v>
      </c>
      <c r="D92" s="12">
        <v>0.26458333333333334</v>
      </c>
      <c r="E92" s="13">
        <v>0.2652777777777778</v>
      </c>
      <c r="F92" s="14">
        <v>83.0</v>
      </c>
      <c r="G92" s="15">
        <v>0.3229166666666667</v>
      </c>
      <c r="H92" s="16">
        <v>0.3229166666666667</v>
      </c>
      <c r="I92" s="11">
        <v>90.0</v>
      </c>
      <c r="J92" s="12">
        <v>0.3923611111111111</v>
      </c>
      <c r="K92" s="13">
        <v>0.3958333333333333</v>
      </c>
      <c r="L92" s="17">
        <v>83.0</v>
      </c>
      <c r="M92" s="12">
        <v>0.4791666666666667</v>
      </c>
      <c r="N92" s="12">
        <v>0.48333333333333334</v>
      </c>
      <c r="O92" s="11">
        <v>83.0</v>
      </c>
      <c r="P92" s="12">
        <v>0.5506944444444445</v>
      </c>
      <c r="Q92" s="13">
        <v>0.55625</v>
      </c>
      <c r="R92" s="18">
        <v>82.0</v>
      </c>
      <c r="S92" s="12">
        <v>0.6222222222222222</v>
      </c>
      <c r="T92" s="13">
        <v>0.6277777777777778</v>
      </c>
      <c r="U92" s="11">
        <v>87.0</v>
      </c>
      <c r="V92" s="12">
        <v>0.6763888888888889</v>
      </c>
      <c r="W92" s="13">
        <v>0.6868055555555556</v>
      </c>
      <c r="X92" s="11">
        <v>93.0</v>
      </c>
      <c r="Y92" s="19"/>
      <c r="Z92" s="13">
        <v>0.7986111111111112</v>
      </c>
      <c r="AA92" s="20">
        <v>93.0</v>
      </c>
      <c r="AB92" s="21">
        <v>0.8673611111111111</v>
      </c>
      <c r="AC92" s="22">
        <v>0.8708333333333333</v>
      </c>
      <c r="AD92" s="18">
        <v>94.0</v>
      </c>
      <c r="AE92" s="12">
        <v>0.9840277777777777</v>
      </c>
      <c r="AF92" s="23">
        <v>0.003472222222222222</v>
      </c>
      <c r="AG92" s="11">
        <v>95.0</v>
      </c>
      <c r="AH92" s="12">
        <v>0.08541666666666667</v>
      </c>
      <c r="AI92" s="13">
        <v>0.09305555555555556</v>
      </c>
      <c r="AJ92" s="14">
        <v>101.0</v>
      </c>
      <c r="AK92" s="15">
        <v>0.20347222222222222</v>
      </c>
      <c r="AL92" s="16">
        <v>0.21180555555555555</v>
      </c>
      <c r="AM92" s="11">
        <v>96.0</v>
      </c>
      <c r="AN92" s="12">
        <v>0.27847222222222223</v>
      </c>
      <c r="AO92" s="13">
        <v>0.28402777777777777</v>
      </c>
      <c r="AP92" s="11">
        <v>90.0</v>
      </c>
      <c r="AQ92" s="12">
        <v>0.35555555555555557</v>
      </c>
      <c r="AR92" s="13">
        <v>0.36041666666666666</v>
      </c>
      <c r="AS92" s="11">
        <v>91.0</v>
      </c>
      <c r="AT92" s="12">
        <v>0.4673611111111111</v>
      </c>
      <c r="AU92" s="13">
        <v>0.4708333333333333</v>
      </c>
      <c r="AV92" s="11">
        <v>91.0</v>
      </c>
      <c r="AW92" s="12">
        <v>0.059722222222222225</v>
      </c>
      <c r="AX92" s="13">
        <v>0.06319444444444444</v>
      </c>
      <c r="AY92" s="34"/>
      <c r="AZ92" s="12"/>
      <c r="BA92" s="12"/>
    </row>
    <row r="93" ht="15.75" customHeight="1">
      <c r="A93" s="7"/>
      <c r="B93" s="47">
        <v>688.0</v>
      </c>
      <c r="C93" s="11">
        <v>152.0</v>
      </c>
      <c r="D93" s="12">
        <v>0.2743055555555556</v>
      </c>
      <c r="E93" s="13">
        <v>0.275</v>
      </c>
      <c r="F93" s="14">
        <v>140.0</v>
      </c>
      <c r="G93" s="15">
        <v>0.33611111111111114</v>
      </c>
      <c r="H93" s="16">
        <v>0.33611111111111114</v>
      </c>
      <c r="I93" s="11">
        <v>148.0</v>
      </c>
      <c r="J93" s="12">
        <v>0.4125</v>
      </c>
      <c r="K93" s="13">
        <v>0.42083333333333334</v>
      </c>
      <c r="L93" s="17">
        <v>128.0</v>
      </c>
      <c r="M93" s="12">
        <v>0.5041666666666667</v>
      </c>
      <c r="N93" s="12">
        <v>0.5076388888888889</v>
      </c>
      <c r="O93" s="11">
        <v>125.0</v>
      </c>
      <c r="P93" s="12">
        <v>0.5798611111111112</v>
      </c>
      <c r="Q93" s="13">
        <v>0.5826388888888889</v>
      </c>
      <c r="R93" s="18">
        <v>113.0</v>
      </c>
      <c r="S93" s="12">
        <v>0.6479166666666667</v>
      </c>
      <c r="T93" s="13">
        <v>0.65</v>
      </c>
      <c r="U93" s="11">
        <v>104.0</v>
      </c>
      <c r="V93" s="12">
        <v>0.6958333333333333</v>
      </c>
      <c r="W93" s="13">
        <v>0.70625</v>
      </c>
      <c r="X93" s="11">
        <v>104.0</v>
      </c>
      <c r="Y93" s="19"/>
      <c r="Z93" s="13">
        <v>0.8180555555555555</v>
      </c>
      <c r="AA93" s="20">
        <v>104.0</v>
      </c>
      <c r="AB93" s="21">
        <v>0.8881944444444444</v>
      </c>
      <c r="AC93" s="22">
        <v>0.8930555555555556</v>
      </c>
      <c r="AD93" s="18">
        <v>99.0</v>
      </c>
      <c r="AE93" s="12">
        <v>0.9965277777777778</v>
      </c>
      <c r="AF93" s="23">
        <v>0.004166666666666667</v>
      </c>
      <c r="AG93" s="11">
        <v>93.0</v>
      </c>
      <c r="AH93" s="12">
        <v>0.08402777777777778</v>
      </c>
      <c r="AI93" s="13">
        <v>0.08819444444444445</v>
      </c>
      <c r="AJ93" s="14">
        <v>94.0</v>
      </c>
      <c r="AK93" s="15">
        <v>0.2013888888888889</v>
      </c>
      <c r="AL93" s="16">
        <v>0.2048611111111111</v>
      </c>
      <c r="AM93" s="11">
        <v>91.0</v>
      </c>
      <c r="AN93" s="12">
        <v>0.27152777777777776</v>
      </c>
      <c r="AO93" s="13">
        <v>0.2777777777777778</v>
      </c>
      <c r="AP93" s="11">
        <v>87.0</v>
      </c>
      <c r="AQ93" s="12">
        <v>0.35208333333333336</v>
      </c>
      <c r="AR93" s="13">
        <v>0.3611111111111111</v>
      </c>
      <c r="AS93" s="11">
        <v>90.0</v>
      </c>
      <c r="AT93" s="12">
        <v>0.46597222222222223</v>
      </c>
      <c r="AU93" s="13">
        <v>0.4722222222222222</v>
      </c>
      <c r="AV93" s="11">
        <v>92.0</v>
      </c>
      <c r="AW93" s="12">
        <v>0.06319444444444444</v>
      </c>
      <c r="AX93" s="13">
        <v>0.06527777777777778</v>
      </c>
      <c r="AY93" s="34"/>
      <c r="AZ93" s="12"/>
      <c r="BA93" s="12"/>
    </row>
    <row r="94" ht="15.75" customHeight="1">
      <c r="A94" s="7"/>
      <c r="B94" s="47">
        <v>545.0</v>
      </c>
      <c r="C94" s="11">
        <v>143.0</v>
      </c>
      <c r="D94" s="12">
        <v>0.27152777777777776</v>
      </c>
      <c r="E94" s="13">
        <v>0.2722222222222222</v>
      </c>
      <c r="F94" s="27"/>
      <c r="G94" s="28"/>
      <c r="H94" s="29"/>
      <c r="I94" s="32"/>
      <c r="J94" s="19"/>
      <c r="K94" s="39"/>
      <c r="L94" s="17">
        <v>147.0</v>
      </c>
      <c r="M94" s="12">
        <v>0.5138888888888888</v>
      </c>
      <c r="N94" s="12">
        <v>0.5173611111111112</v>
      </c>
      <c r="O94" s="11">
        <v>143.0</v>
      </c>
      <c r="P94" s="12">
        <v>0.5916666666666667</v>
      </c>
      <c r="Q94" s="13">
        <v>0.5951388888888889</v>
      </c>
      <c r="R94" s="18">
        <v>143.0</v>
      </c>
      <c r="S94" s="12">
        <v>0.6673611111111111</v>
      </c>
      <c r="T94" s="13">
        <v>0.6694444444444444</v>
      </c>
      <c r="U94" s="11">
        <v>135.0</v>
      </c>
      <c r="V94" s="12">
        <v>0.71875</v>
      </c>
      <c r="W94" s="13">
        <v>0.7298611111111111</v>
      </c>
      <c r="X94" s="11">
        <v>121.0</v>
      </c>
      <c r="Y94" s="19"/>
      <c r="Z94" s="13">
        <v>0.8423611111111111</v>
      </c>
      <c r="AA94" s="20">
        <v>119.0</v>
      </c>
      <c r="AB94" s="21">
        <v>0.9097222222222222</v>
      </c>
      <c r="AC94" s="22">
        <v>0.9166666666666666</v>
      </c>
      <c r="AD94" s="18">
        <v>117.0</v>
      </c>
      <c r="AE94" s="12">
        <v>0.027777777777777776</v>
      </c>
      <c r="AF94" s="23">
        <v>0.03819444444444445</v>
      </c>
      <c r="AG94" s="11">
        <v>111.0</v>
      </c>
      <c r="AH94" s="12">
        <v>0.11666666666666667</v>
      </c>
      <c r="AI94" s="13">
        <v>0.12013888888888889</v>
      </c>
      <c r="AJ94" s="14">
        <v>111.0</v>
      </c>
      <c r="AK94" s="15">
        <v>0.2361111111111111</v>
      </c>
      <c r="AL94" s="16">
        <v>0.24027777777777778</v>
      </c>
      <c r="AM94" s="11">
        <v>104.0</v>
      </c>
      <c r="AN94" s="12">
        <v>0.2972222222222222</v>
      </c>
      <c r="AO94" s="13">
        <v>0.3055555555555556</v>
      </c>
      <c r="AP94" s="11">
        <v>100.0</v>
      </c>
      <c r="AQ94" s="12">
        <v>0.3715277777777778</v>
      </c>
      <c r="AR94" s="13">
        <v>0.3763888888888889</v>
      </c>
      <c r="AS94" s="11">
        <v>95.0</v>
      </c>
      <c r="AT94" s="12">
        <v>0.48125</v>
      </c>
      <c r="AU94" s="13">
        <v>0.4861111111111111</v>
      </c>
      <c r="AV94" s="11">
        <v>93.0</v>
      </c>
      <c r="AW94" s="12">
        <v>0.06388888888888888</v>
      </c>
      <c r="AX94" s="13">
        <v>0.06597222222222222</v>
      </c>
      <c r="AY94" s="34"/>
      <c r="AZ94" s="12"/>
      <c r="BA94" s="12"/>
    </row>
    <row r="95" ht="15.75" customHeight="1">
      <c r="A95" s="7"/>
      <c r="B95" s="47">
        <v>605.0</v>
      </c>
      <c r="C95" s="11">
        <v>141.0</v>
      </c>
      <c r="D95" s="12">
        <v>0.27152777777777776</v>
      </c>
      <c r="E95" s="13">
        <v>0.2722222222222222</v>
      </c>
      <c r="F95" s="14">
        <v>92.0</v>
      </c>
      <c r="G95" s="15">
        <v>0.32430555555555557</v>
      </c>
      <c r="H95" s="16">
        <v>0.32430555555555557</v>
      </c>
      <c r="I95" s="11">
        <v>174.0</v>
      </c>
      <c r="J95" s="12">
        <v>0.4236111111111111</v>
      </c>
      <c r="K95" s="13">
        <v>0.4284722222222222</v>
      </c>
      <c r="L95" s="17">
        <v>179.0</v>
      </c>
      <c r="M95" s="12">
        <v>0.5381944444444444</v>
      </c>
      <c r="N95" s="12">
        <v>0.5423611111111111</v>
      </c>
      <c r="O95" s="11">
        <v>176.0</v>
      </c>
      <c r="P95" s="12">
        <v>0.6180555555555556</v>
      </c>
      <c r="Q95" s="13">
        <v>0.6256944444444444</v>
      </c>
      <c r="R95" s="18">
        <v>174.0</v>
      </c>
      <c r="S95" s="12">
        <v>0.7041666666666667</v>
      </c>
      <c r="T95" s="13">
        <v>0.7118055555555556</v>
      </c>
      <c r="U95" s="11">
        <v>173.0</v>
      </c>
      <c r="V95" s="12">
        <v>0.7638888888888888</v>
      </c>
      <c r="W95" s="13">
        <v>0.7715277777777778</v>
      </c>
      <c r="X95" s="11">
        <v>153.0</v>
      </c>
      <c r="Y95" s="19"/>
      <c r="Z95" s="13">
        <v>0.8798611111111111</v>
      </c>
      <c r="AA95" s="20">
        <v>147.0</v>
      </c>
      <c r="AB95" s="21">
        <v>0.9465277777777777</v>
      </c>
      <c r="AC95" s="22">
        <v>0.9513888888888888</v>
      </c>
      <c r="AD95" s="18">
        <v>135.0</v>
      </c>
      <c r="AE95" s="12">
        <v>0.059027777777777776</v>
      </c>
      <c r="AF95" s="23">
        <v>0.06875</v>
      </c>
      <c r="AG95" s="11">
        <v>124.0</v>
      </c>
      <c r="AH95" s="12">
        <v>0.1423611111111111</v>
      </c>
      <c r="AI95" s="13">
        <v>0.14583333333333334</v>
      </c>
      <c r="AJ95" s="14">
        <v>117.0</v>
      </c>
      <c r="AK95" s="15">
        <v>0.24791666666666667</v>
      </c>
      <c r="AL95" s="16">
        <v>0.24930555555555556</v>
      </c>
      <c r="AM95" s="11">
        <v>108.0</v>
      </c>
      <c r="AN95" s="12">
        <v>0.30694444444444446</v>
      </c>
      <c r="AO95" s="13">
        <v>0.31180555555555556</v>
      </c>
      <c r="AP95" s="11">
        <v>104.0</v>
      </c>
      <c r="AQ95" s="12">
        <v>0.3798611111111111</v>
      </c>
      <c r="AR95" s="13">
        <v>0.3840277777777778</v>
      </c>
      <c r="AS95" s="11">
        <v>99.0</v>
      </c>
      <c r="AT95" s="12">
        <v>0.48333333333333334</v>
      </c>
      <c r="AU95" s="13">
        <v>0.48680555555555555</v>
      </c>
      <c r="AV95" s="11">
        <v>94.0</v>
      </c>
      <c r="AW95" s="12">
        <v>0.06527777777777778</v>
      </c>
      <c r="AX95" s="13">
        <v>0.06666666666666667</v>
      </c>
      <c r="AY95" s="34"/>
      <c r="AZ95" s="12"/>
      <c r="BA95" s="12"/>
    </row>
    <row r="96" ht="15.75" customHeight="1">
      <c r="A96" s="7"/>
      <c r="B96" s="47">
        <v>534.0</v>
      </c>
      <c r="C96" s="11">
        <v>167.0</v>
      </c>
      <c r="D96" s="12">
        <v>0.2743055555555556</v>
      </c>
      <c r="E96" s="13">
        <v>0.275</v>
      </c>
      <c r="F96" s="14">
        <v>164.0</v>
      </c>
      <c r="G96" s="15">
        <v>0.3388888888888889</v>
      </c>
      <c r="H96" s="16">
        <v>0.3388888888888889</v>
      </c>
      <c r="I96" s="11">
        <v>152.0</v>
      </c>
      <c r="J96" s="12">
        <v>0.4131944444444444</v>
      </c>
      <c r="K96" s="13">
        <v>0.41944444444444445</v>
      </c>
      <c r="L96" s="17">
        <v>148.0</v>
      </c>
      <c r="M96" s="12">
        <v>0.5138888888888888</v>
      </c>
      <c r="N96" s="12">
        <v>0.5180555555555556</v>
      </c>
      <c r="O96" s="11">
        <v>144.0</v>
      </c>
      <c r="P96" s="12">
        <v>0.5916666666666667</v>
      </c>
      <c r="Q96" s="13">
        <v>0.5951388888888889</v>
      </c>
      <c r="R96" s="18">
        <v>144.0</v>
      </c>
      <c r="S96" s="12">
        <v>0.6673611111111111</v>
      </c>
      <c r="T96" s="13">
        <v>0.6701388888888888</v>
      </c>
      <c r="U96" s="11">
        <v>134.0</v>
      </c>
      <c r="V96" s="12">
        <v>0.71875</v>
      </c>
      <c r="W96" s="13">
        <v>0.7305555555555555</v>
      </c>
      <c r="X96" s="11">
        <v>122.0</v>
      </c>
      <c r="Y96" s="19"/>
      <c r="Z96" s="13">
        <v>0.8423611111111111</v>
      </c>
      <c r="AA96" s="20">
        <v>118.0</v>
      </c>
      <c r="AB96" s="21">
        <v>0.9097222222222222</v>
      </c>
      <c r="AC96" s="22">
        <v>0.9166666666666666</v>
      </c>
      <c r="AD96" s="18">
        <v>115.0</v>
      </c>
      <c r="AE96" s="12">
        <v>0.027777777777777776</v>
      </c>
      <c r="AF96" s="23">
        <v>0.04513888888888889</v>
      </c>
      <c r="AG96" s="11">
        <v>114.0</v>
      </c>
      <c r="AH96" s="12">
        <v>0.11736111111111111</v>
      </c>
      <c r="AI96" s="13">
        <v>0.12222222222222222</v>
      </c>
      <c r="AJ96" s="14">
        <v>113.0</v>
      </c>
      <c r="AK96" s="15">
        <v>0.2361111111111111</v>
      </c>
      <c r="AL96" s="16">
        <v>0.24513888888888888</v>
      </c>
      <c r="AM96" s="11">
        <v>105.0</v>
      </c>
      <c r="AN96" s="12">
        <v>0.3034722222222222</v>
      </c>
      <c r="AO96" s="13">
        <v>0.3173611111111111</v>
      </c>
      <c r="AP96" s="11">
        <v>105.0</v>
      </c>
      <c r="AQ96" s="12">
        <v>0.3819444444444444</v>
      </c>
      <c r="AR96" s="13">
        <v>0.3888888888888889</v>
      </c>
      <c r="AS96" s="11">
        <v>100.0</v>
      </c>
      <c r="AT96" s="12">
        <v>0.4847222222222222</v>
      </c>
      <c r="AU96" s="13">
        <v>0.4965277777777778</v>
      </c>
      <c r="AV96" s="11">
        <v>95.0</v>
      </c>
      <c r="AW96" s="12">
        <v>0.06527777777777778</v>
      </c>
      <c r="AX96" s="13">
        <v>0.06805555555555555</v>
      </c>
      <c r="AY96" s="34"/>
      <c r="AZ96" s="12"/>
      <c r="BA96" s="12"/>
    </row>
    <row r="97" ht="15.75" customHeight="1">
      <c r="A97" s="7"/>
      <c r="B97" s="47">
        <v>695.0</v>
      </c>
      <c r="C97" s="11">
        <v>68.0</v>
      </c>
      <c r="D97" s="12">
        <v>0.2638888888888889</v>
      </c>
      <c r="E97" s="13">
        <v>0.26458333333333334</v>
      </c>
      <c r="F97" s="14">
        <v>64.0</v>
      </c>
      <c r="G97" s="15">
        <v>0.31875</v>
      </c>
      <c r="H97" s="16">
        <v>0.31875</v>
      </c>
      <c r="I97" s="11">
        <v>64.0</v>
      </c>
      <c r="J97" s="12">
        <v>0.3840277777777778</v>
      </c>
      <c r="K97" s="13">
        <v>0.3875</v>
      </c>
      <c r="L97" s="17">
        <v>63.0</v>
      </c>
      <c r="M97" s="12">
        <v>0.46944444444444444</v>
      </c>
      <c r="N97" s="12">
        <v>0.47291666666666665</v>
      </c>
      <c r="O97" s="11">
        <v>70.0</v>
      </c>
      <c r="P97" s="12">
        <v>0.5430555555555555</v>
      </c>
      <c r="Q97" s="13">
        <v>0.5472222222222223</v>
      </c>
      <c r="R97" s="18">
        <v>68.0</v>
      </c>
      <c r="S97" s="12">
        <v>0.6069444444444444</v>
      </c>
      <c r="T97" s="13">
        <v>0.6111111111111112</v>
      </c>
      <c r="U97" s="11">
        <v>79.0</v>
      </c>
      <c r="V97" s="12">
        <v>0.6694444444444444</v>
      </c>
      <c r="W97" s="13">
        <v>0.68125</v>
      </c>
      <c r="X97" s="11">
        <v>83.0</v>
      </c>
      <c r="Y97" s="19"/>
      <c r="Z97" s="13">
        <v>0.7902777777777777</v>
      </c>
      <c r="AA97" s="20">
        <v>92.0</v>
      </c>
      <c r="AB97" s="21">
        <v>0.8652777777777778</v>
      </c>
      <c r="AC97" s="22">
        <v>0.8652777777777778</v>
      </c>
      <c r="AD97" s="18">
        <v>88.0</v>
      </c>
      <c r="AE97" s="12">
        <v>0.9736111111111111</v>
      </c>
      <c r="AF97" s="23">
        <v>0.9805555555555555</v>
      </c>
      <c r="AG97" s="11">
        <v>84.0</v>
      </c>
      <c r="AH97" s="12">
        <v>0.06388888888888888</v>
      </c>
      <c r="AI97" s="13">
        <v>0.06875</v>
      </c>
      <c r="AJ97" s="14">
        <v>86.0</v>
      </c>
      <c r="AK97" s="15">
        <v>0.18472222222222223</v>
      </c>
      <c r="AL97" s="16">
        <v>0.1875</v>
      </c>
      <c r="AM97" s="11">
        <v>88.0</v>
      </c>
      <c r="AN97" s="12">
        <v>0.26944444444444443</v>
      </c>
      <c r="AO97" s="13">
        <v>0.28888888888888886</v>
      </c>
      <c r="AP97" s="11">
        <v>97.0</v>
      </c>
      <c r="AQ97" s="12">
        <v>0.36527777777777776</v>
      </c>
      <c r="AR97" s="13">
        <v>0.37083333333333335</v>
      </c>
      <c r="AS97" s="11">
        <v>94.0</v>
      </c>
      <c r="AT97" s="12">
        <v>0.47708333333333336</v>
      </c>
      <c r="AU97" s="13">
        <v>0.4798611111111111</v>
      </c>
      <c r="AV97" s="11">
        <v>96.0</v>
      </c>
      <c r="AW97" s="12">
        <v>0.07083333333333333</v>
      </c>
      <c r="AX97" s="13">
        <v>0.07222222222222222</v>
      </c>
      <c r="AY97" s="34"/>
      <c r="AZ97" s="12"/>
      <c r="BA97" s="12"/>
    </row>
    <row r="98" ht="15.75" customHeight="1">
      <c r="A98" s="7"/>
      <c r="B98" s="47">
        <v>595.0</v>
      </c>
      <c r="C98" s="11">
        <v>137.0</v>
      </c>
      <c r="D98" s="12">
        <v>0.27152777777777776</v>
      </c>
      <c r="E98" s="13">
        <v>0.2722222222222222</v>
      </c>
      <c r="F98" s="14">
        <v>128.0</v>
      </c>
      <c r="G98" s="15">
        <v>0.3326388888888889</v>
      </c>
      <c r="H98" s="16">
        <v>0.3326388888888889</v>
      </c>
      <c r="I98" s="11">
        <v>162.0</v>
      </c>
      <c r="J98" s="12">
        <v>0.41597222222222224</v>
      </c>
      <c r="K98" s="13">
        <v>0.4284722222222222</v>
      </c>
      <c r="L98" s="17">
        <v>164.0</v>
      </c>
      <c r="M98" s="12">
        <v>0.5270833333333333</v>
      </c>
      <c r="N98" s="12">
        <v>0.5368055555555555</v>
      </c>
      <c r="O98" s="11">
        <v>167.0</v>
      </c>
      <c r="P98" s="12">
        <v>0.6111111111111112</v>
      </c>
      <c r="Q98" s="13">
        <v>0.6194444444444445</v>
      </c>
      <c r="R98" s="18">
        <v>164.0</v>
      </c>
      <c r="S98" s="12">
        <v>0.6923611111111111</v>
      </c>
      <c r="T98" s="13">
        <v>0.6944444444444444</v>
      </c>
      <c r="U98" s="11">
        <v>148.0</v>
      </c>
      <c r="V98" s="12">
        <v>0.7375</v>
      </c>
      <c r="W98" s="13">
        <v>0.7555555555555555</v>
      </c>
      <c r="X98" s="11">
        <v>155.0</v>
      </c>
      <c r="Y98" s="26"/>
      <c r="Z98" s="13">
        <v>0.88125</v>
      </c>
      <c r="AA98" s="20">
        <v>150.0</v>
      </c>
      <c r="AB98" s="21">
        <v>0.9548611111111112</v>
      </c>
      <c r="AC98" s="22">
        <v>0.9638888888888889</v>
      </c>
      <c r="AD98" s="18">
        <v>143.0</v>
      </c>
      <c r="AE98" s="12">
        <v>0.07847222222222222</v>
      </c>
      <c r="AF98" s="23">
        <v>0.10069444444444445</v>
      </c>
      <c r="AG98" s="11">
        <v>135.0</v>
      </c>
      <c r="AH98" s="12">
        <v>0.17430555555555555</v>
      </c>
      <c r="AI98" s="13">
        <v>0.17916666666666667</v>
      </c>
      <c r="AJ98" s="14">
        <v>125.0</v>
      </c>
      <c r="AK98" s="15">
        <v>0.2673611111111111</v>
      </c>
      <c r="AL98" s="16">
        <v>0.2743055555555556</v>
      </c>
      <c r="AM98" s="11">
        <v>115.0</v>
      </c>
      <c r="AN98" s="12">
        <v>0.31875</v>
      </c>
      <c r="AO98" s="13">
        <v>0.3326388888888889</v>
      </c>
      <c r="AP98" s="11">
        <v>110.0</v>
      </c>
      <c r="AQ98" s="12">
        <v>0.40208333333333335</v>
      </c>
      <c r="AR98" s="13">
        <v>0.41041666666666665</v>
      </c>
      <c r="AS98" s="11">
        <v>107.0</v>
      </c>
      <c r="AT98" s="12">
        <v>0.5027777777777778</v>
      </c>
      <c r="AU98" s="13">
        <v>0.5090277777777777</v>
      </c>
      <c r="AV98" s="11">
        <v>97.0</v>
      </c>
      <c r="AW98" s="12">
        <v>0.07708333333333334</v>
      </c>
      <c r="AX98" s="13">
        <v>0.07847222222222222</v>
      </c>
      <c r="AY98" s="34"/>
      <c r="AZ98" s="12"/>
      <c r="BA98" s="12"/>
    </row>
    <row r="99" ht="15.75" customHeight="1">
      <c r="A99" s="7"/>
      <c r="B99" s="47">
        <v>528.0</v>
      </c>
      <c r="C99" s="11">
        <v>84.0</v>
      </c>
      <c r="D99" s="12">
        <v>0.2659722222222222</v>
      </c>
      <c r="E99" s="13">
        <v>0.26666666666666666</v>
      </c>
      <c r="F99" s="14">
        <v>78.0</v>
      </c>
      <c r="G99" s="15">
        <v>0.32083333333333336</v>
      </c>
      <c r="H99" s="16">
        <v>0.32083333333333336</v>
      </c>
      <c r="I99" s="32"/>
      <c r="J99" s="19"/>
      <c r="K99" s="39"/>
      <c r="L99" s="17">
        <v>90.0</v>
      </c>
      <c r="M99" s="12">
        <v>0.4840277777777778</v>
      </c>
      <c r="N99" s="12">
        <v>0.48680555555555555</v>
      </c>
      <c r="O99" s="11">
        <v>95.0</v>
      </c>
      <c r="P99" s="12">
        <v>0.5569444444444445</v>
      </c>
      <c r="Q99" s="13">
        <v>0.5590277777777778</v>
      </c>
      <c r="R99" s="18">
        <v>94.0</v>
      </c>
      <c r="S99" s="12">
        <v>0.6284722222222222</v>
      </c>
      <c r="T99" s="13">
        <v>0.63125</v>
      </c>
      <c r="U99" s="11">
        <v>93.0</v>
      </c>
      <c r="V99" s="12">
        <v>0.6805555555555556</v>
      </c>
      <c r="W99" s="13">
        <v>0.6930555555555555</v>
      </c>
      <c r="X99" s="11">
        <v>94.0</v>
      </c>
      <c r="Y99" s="19"/>
      <c r="Z99" s="13">
        <v>0.8013888888888889</v>
      </c>
      <c r="AA99" s="20">
        <v>95.0</v>
      </c>
      <c r="AB99" s="21">
        <v>0.8708333333333333</v>
      </c>
      <c r="AC99" s="22">
        <v>0.8736111111111111</v>
      </c>
      <c r="AD99" s="18">
        <v>91.0</v>
      </c>
      <c r="AE99" s="12">
        <v>0.9833333333333333</v>
      </c>
      <c r="AF99" s="23">
        <v>0.004166666666666667</v>
      </c>
      <c r="AG99" s="11">
        <v>92.0</v>
      </c>
      <c r="AH99" s="12">
        <v>0.08333333333333333</v>
      </c>
      <c r="AI99" s="13">
        <v>0.08819444444444445</v>
      </c>
      <c r="AJ99" s="14">
        <v>95.0</v>
      </c>
      <c r="AK99" s="15">
        <v>0.20208333333333334</v>
      </c>
      <c r="AL99" s="16">
        <v>0.20902777777777778</v>
      </c>
      <c r="AM99" s="11">
        <v>98.0</v>
      </c>
      <c r="AN99" s="12">
        <v>0.28125</v>
      </c>
      <c r="AO99" s="13">
        <v>0.2847222222222222</v>
      </c>
      <c r="AP99" s="11">
        <v>94.0</v>
      </c>
      <c r="AQ99" s="12">
        <v>0.3625</v>
      </c>
      <c r="AR99" s="13">
        <v>0.36666666666666664</v>
      </c>
      <c r="AS99" s="11">
        <v>97.0</v>
      </c>
      <c r="AT99" s="12">
        <v>0.48333333333333334</v>
      </c>
      <c r="AU99" s="13">
        <v>0.4875</v>
      </c>
      <c r="AV99" s="11">
        <v>98.0</v>
      </c>
      <c r="AW99" s="12">
        <v>0.07708333333333334</v>
      </c>
      <c r="AX99" s="13">
        <v>0.07847222222222222</v>
      </c>
      <c r="AY99" s="34"/>
      <c r="AZ99" s="12"/>
      <c r="BA99" s="12"/>
    </row>
    <row r="100" ht="15.75" customHeight="1">
      <c r="A100" s="7"/>
      <c r="B100" s="47">
        <v>696.0</v>
      </c>
      <c r="C100" s="11">
        <v>113.0</v>
      </c>
      <c r="D100" s="12">
        <v>0.26944444444444443</v>
      </c>
      <c r="E100" s="13">
        <v>0.2701388888888889</v>
      </c>
      <c r="F100" s="14">
        <v>109.0</v>
      </c>
      <c r="G100" s="15">
        <v>0.32569444444444445</v>
      </c>
      <c r="H100" s="16">
        <v>0.32569444444444445</v>
      </c>
      <c r="I100" s="11">
        <v>91.0</v>
      </c>
      <c r="J100" s="12">
        <v>0.39305555555555555</v>
      </c>
      <c r="K100" s="13">
        <v>0.39861111111111114</v>
      </c>
      <c r="L100" s="17">
        <v>91.0</v>
      </c>
      <c r="M100" s="12">
        <v>0.4840277777777778</v>
      </c>
      <c r="N100" s="12">
        <v>0.4875</v>
      </c>
      <c r="O100" s="11">
        <v>89.0</v>
      </c>
      <c r="P100" s="12">
        <v>0.5555555555555556</v>
      </c>
      <c r="Q100" s="13">
        <v>0.5604166666666667</v>
      </c>
      <c r="R100" s="18">
        <v>90.0</v>
      </c>
      <c r="S100" s="12">
        <v>0.6256944444444444</v>
      </c>
      <c r="T100" s="13">
        <v>0.6291666666666667</v>
      </c>
      <c r="U100" s="11">
        <v>86.0</v>
      </c>
      <c r="V100" s="12">
        <v>0.6743055555555556</v>
      </c>
      <c r="W100" s="13">
        <v>0.6888888888888889</v>
      </c>
      <c r="X100" s="11">
        <v>91.0</v>
      </c>
      <c r="Y100" s="19"/>
      <c r="Z100" s="13">
        <v>0.7972222222222223</v>
      </c>
      <c r="AA100" s="20">
        <v>91.0</v>
      </c>
      <c r="AB100" s="21">
        <v>0.8597222222222223</v>
      </c>
      <c r="AC100" s="22">
        <v>0.8645833333333334</v>
      </c>
      <c r="AD100" s="18">
        <v>89.0</v>
      </c>
      <c r="AE100" s="12">
        <v>0.9736111111111111</v>
      </c>
      <c r="AF100" s="23">
        <v>0.9986111111111111</v>
      </c>
      <c r="AG100" s="11">
        <v>90.0</v>
      </c>
      <c r="AH100" s="12">
        <v>0.07222222222222222</v>
      </c>
      <c r="AI100" s="13">
        <v>0.07916666666666666</v>
      </c>
      <c r="AJ100" s="14">
        <v>89.0</v>
      </c>
      <c r="AK100" s="15">
        <v>0.18958333333333333</v>
      </c>
      <c r="AL100" s="16">
        <v>0.19444444444444445</v>
      </c>
      <c r="AM100" s="11">
        <v>85.0</v>
      </c>
      <c r="AN100" s="12">
        <v>0.26805555555555555</v>
      </c>
      <c r="AO100" s="13">
        <v>0.28541666666666665</v>
      </c>
      <c r="AP100" s="11">
        <v>88.0</v>
      </c>
      <c r="AQ100" s="12">
        <v>0.35555555555555557</v>
      </c>
      <c r="AR100" s="13">
        <v>0.36180555555555555</v>
      </c>
      <c r="AS100" s="11">
        <v>93.0</v>
      </c>
      <c r="AT100" s="12">
        <v>0.47638888888888886</v>
      </c>
      <c r="AU100" s="13">
        <v>0.4847222222222222</v>
      </c>
      <c r="AV100" s="11">
        <v>99.0</v>
      </c>
      <c r="AW100" s="12">
        <v>0.07847222222222222</v>
      </c>
      <c r="AX100" s="13">
        <v>0.08194444444444444</v>
      </c>
      <c r="AY100" s="34"/>
      <c r="AZ100" s="12"/>
      <c r="BA100" s="12"/>
    </row>
    <row r="101" ht="15.75" customHeight="1">
      <c r="A101" s="7"/>
      <c r="B101" s="47">
        <v>582.0</v>
      </c>
      <c r="C101" s="11">
        <v>70.0</v>
      </c>
      <c r="D101" s="12">
        <v>0.2638888888888889</v>
      </c>
      <c r="E101" s="13">
        <v>0.26458333333333334</v>
      </c>
      <c r="F101" s="14">
        <v>85.0</v>
      </c>
      <c r="G101" s="15">
        <v>0.32430555555555557</v>
      </c>
      <c r="H101" s="16">
        <v>0.32430555555555557</v>
      </c>
      <c r="I101" s="11">
        <v>119.0</v>
      </c>
      <c r="J101" s="12">
        <v>0.40208333333333335</v>
      </c>
      <c r="K101" s="13">
        <v>0.4097222222222222</v>
      </c>
      <c r="L101" s="17">
        <v>114.0</v>
      </c>
      <c r="M101" s="12">
        <v>0.4986111111111111</v>
      </c>
      <c r="N101" s="12">
        <v>0.5020833333333333</v>
      </c>
      <c r="O101" s="11">
        <v>121.0</v>
      </c>
      <c r="P101" s="12">
        <v>0.5791666666666667</v>
      </c>
      <c r="Q101" s="13">
        <v>0.5833333333333334</v>
      </c>
      <c r="R101" s="18">
        <v>120.0</v>
      </c>
      <c r="S101" s="12">
        <v>0.6541666666666667</v>
      </c>
      <c r="T101" s="13">
        <v>0.6555555555555556</v>
      </c>
      <c r="U101" s="11">
        <v>114.0</v>
      </c>
      <c r="V101" s="12">
        <v>0.7027777777777777</v>
      </c>
      <c r="W101" s="13">
        <v>0.7076388888888889</v>
      </c>
      <c r="X101" s="11">
        <v>101.0</v>
      </c>
      <c r="Y101" s="19"/>
      <c r="Z101" s="13">
        <v>0.8152777777777778</v>
      </c>
      <c r="AA101" s="20">
        <v>103.0</v>
      </c>
      <c r="AB101" s="21">
        <v>0.8881944444444444</v>
      </c>
      <c r="AC101" s="22">
        <v>0.8895833333333333</v>
      </c>
      <c r="AD101" s="18">
        <v>105.0</v>
      </c>
      <c r="AE101" s="12">
        <v>0.010416666666666666</v>
      </c>
      <c r="AF101" s="23">
        <v>0.020833333333333332</v>
      </c>
      <c r="AG101" s="11">
        <v>101.0</v>
      </c>
      <c r="AH101" s="12">
        <v>0.09861111111111111</v>
      </c>
      <c r="AI101" s="13">
        <v>0.10208333333333333</v>
      </c>
      <c r="AJ101" s="14">
        <v>99.0</v>
      </c>
      <c r="AK101" s="15">
        <v>0.20277777777777778</v>
      </c>
      <c r="AL101" s="16">
        <v>0.20555555555555555</v>
      </c>
      <c r="AM101" s="11">
        <v>94.0</v>
      </c>
      <c r="AN101" s="12">
        <v>0.27569444444444446</v>
      </c>
      <c r="AO101" s="13">
        <v>0.2833333333333333</v>
      </c>
      <c r="AP101" s="11">
        <v>91.0</v>
      </c>
      <c r="AQ101" s="12">
        <v>0.36041666666666666</v>
      </c>
      <c r="AR101" s="13">
        <v>0.3645833333333333</v>
      </c>
      <c r="AS101" s="11">
        <v>96.0</v>
      </c>
      <c r="AT101" s="12">
        <v>0.48333333333333334</v>
      </c>
      <c r="AU101" s="13">
        <v>0.4847222222222222</v>
      </c>
      <c r="AV101" s="11">
        <v>100.0</v>
      </c>
      <c r="AW101" s="12">
        <v>0.07916666666666666</v>
      </c>
      <c r="AX101" s="13">
        <v>0.08194444444444444</v>
      </c>
      <c r="AY101" s="34"/>
      <c r="AZ101" s="12"/>
      <c r="BA101" s="12"/>
    </row>
    <row r="102" ht="15.75" customHeight="1">
      <c r="A102" s="7"/>
      <c r="B102" s="47">
        <v>606.0</v>
      </c>
      <c r="C102" s="11">
        <v>92.0</v>
      </c>
      <c r="D102" s="12">
        <v>0.2673611111111111</v>
      </c>
      <c r="E102" s="13">
        <v>0.26805555555555555</v>
      </c>
      <c r="F102" s="14">
        <v>173.0</v>
      </c>
      <c r="G102" s="15">
        <v>0.3416666666666667</v>
      </c>
      <c r="H102" s="16">
        <v>0.3416666666666667</v>
      </c>
      <c r="I102" s="11">
        <v>118.0</v>
      </c>
      <c r="J102" s="12">
        <v>0.4013888888888889</v>
      </c>
      <c r="K102" s="13">
        <v>0.4097222222222222</v>
      </c>
      <c r="L102" s="17">
        <v>115.0</v>
      </c>
      <c r="M102" s="12">
        <v>0.4986111111111111</v>
      </c>
      <c r="N102" s="12">
        <v>0.5020833333333333</v>
      </c>
      <c r="O102" s="11">
        <v>120.0</v>
      </c>
      <c r="P102" s="12">
        <v>0.5791666666666667</v>
      </c>
      <c r="Q102" s="13">
        <v>0.5833333333333334</v>
      </c>
      <c r="R102" s="18">
        <v>126.0</v>
      </c>
      <c r="S102" s="12">
        <v>0.65625</v>
      </c>
      <c r="T102" s="13">
        <v>0.6597222222222222</v>
      </c>
      <c r="U102" s="11">
        <v>120.0</v>
      </c>
      <c r="V102" s="12">
        <v>0.7090277777777778</v>
      </c>
      <c r="W102" s="13">
        <v>0.7145833333333333</v>
      </c>
      <c r="X102" s="11">
        <v>110.0</v>
      </c>
      <c r="Y102" s="26"/>
      <c r="Z102" s="13">
        <v>0.8284722222222223</v>
      </c>
      <c r="AA102" s="20">
        <v>111.0</v>
      </c>
      <c r="AB102" s="21">
        <v>0.9027777777777778</v>
      </c>
      <c r="AC102" s="22">
        <v>0.9083333333333333</v>
      </c>
      <c r="AD102" s="18">
        <v>119.0</v>
      </c>
      <c r="AE102" s="12">
        <v>0.030555555555555555</v>
      </c>
      <c r="AF102" s="23">
        <v>0.04027777777777778</v>
      </c>
      <c r="AG102" s="11">
        <v>115.0</v>
      </c>
      <c r="AH102" s="12">
        <v>0.12083333333333333</v>
      </c>
      <c r="AI102" s="13">
        <v>0.12361111111111112</v>
      </c>
      <c r="AJ102" s="14">
        <v>109.0</v>
      </c>
      <c r="AK102" s="15">
        <v>0.23541666666666666</v>
      </c>
      <c r="AL102" s="16">
        <v>0.23819444444444443</v>
      </c>
      <c r="AM102" s="11">
        <v>101.0</v>
      </c>
      <c r="AN102" s="12">
        <v>0.29097222222222224</v>
      </c>
      <c r="AO102" s="13">
        <v>0.29583333333333334</v>
      </c>
      <c r="AP102" s="11">
        <v>92.0</v>
      </c>
      <c r="AQ102" s="12">
        <v>0.36041666666666666</v>
      </c>
      <c r="AR102" s="13">
        <v>0.3645833333333333</v>
      </c>
      <c r="AS102" s="11">
        <v>98.0</v>
      </c>
      <c r="AT102" s="12">
        <v>0.48333333333333334</v>
      </c>
      <c r="AU102" s="13">
        <v>0.48680555555555555</v>
      </c>
      <c r="AV102" s="11">
        <v>101.0</v>
      </c>
      <c r="AW102" s="12">
        <v>0.07916666666666666</v>
      </c>
      <c r="AX102" s="13">
        <v>0.08194444444444444</v>
      </c>
      <c r="AY102" s="34"/>
      <c r="AZ102" s="12"/>
      <c r="BA102" s="12"/>
    </row>
    <row r="103" ht="15.75" customHeight="1">
      <c r="A103" s="7"/>
      <c r="B103" s="47">
        <v>571.0</v>
      </c>
      <c r="C103" s="11">
        <v>50.0</v>
      </c>
      <c r="D103" s="12">
        <v>0.26180555555555557</v>
      </c>
      <c r="E103" s="13">
        <v>0.2625</v>
      </c>
      <c r="F103" s="14">
        <v>54.0</v>
      </c>
      <c r="G103" s="15">
        <v>0.3145833333333333</v>
      </c>
      <c r="H103" s="16">
        <v>0.3145833333333333</v>
      </c>
      <c r="I103" s="11">
        <v>61.0</v>
      </c>
      <c r="J103" s="12">
        <v>0.38263888888888886</v>
      </c>
      <c r="K103" s="13">
        <v>0.3888888888888889</v>
      </c>
      <c r="L103" s="17">
        <v>77.0</v>
      </c>
      <c r="M103" s="12">
        <v>0.475</v>
      </c>
      <c r="N103" s="12">
        <v>0.4791666666666667</v>
      </c>
      <c r="O103" s="11">
        <v>82.0</v>
      </c>
      <c r="P103" s="12">
        <v>0.55</v>
      </c>
      <c r="Q103" s="13">
        <v>0.5534722222222223</v>
      </c>
      <c r="R103" s="18">
        <v>83.0</v>
      </c>
      <c r="S103" s="12">
        <v>0.6229166666666667</v>
      </c>
      <c r="T103" s="13">
        <v>0.6243055555555556</v>
      </c>
      <c r="U103" s="11">
        <v>80.0</v>
      </c>
      <c r="V103" s="12">
        <v>0.6694444444444444</v>
      </c>
      <c r="W103" s="13">
        <v>0.7</v>
      </c>
      <c r="X103" s="11">
        <v>99.0</v>
      </c>
      <c r="Y103" s="19"/>
      <c r="Z103" s="13">
        <v>0.8111111111111111</v>
      </c>
      <c r="AA103" s="20">
        <v>97.0</v>
      </c>
      <c r="AB103" s="21">
        <v>0.8777777777777778</v>
      </c>
      <c r="AC103" s="22">
        <v>0.8875</v>
      </c>
      <c r="AD103" s="18">
        <v>97.0</v>
      </c>
      <c r="AE103" s="12">
        <v>0.9888888888888889</v>
      </c>
      <c r="AF103" s="23">
        <v>0.010416666666666666</v>
      </c>
      <c r="AG103" s="11">
        <v>98.0</v>
      </c>
      <c r="AH103" s="12">
        <v>0.08958333333333333</v>
      </c>
      <c r="AI103" s="13">
        <v>0.10069444444444445</v>
      </c>
      <c r="AJ103" s="14">
        <v>98.0</v>
      </c>
      <c r="AK103" s="15">
        <v>0.20277777777777778</v>
      </c>
      <c r="AL103" s="16">
        <v>0.21041666666666667</v>
      </c>
      <c r="AM103" s="11">
        <v>89.0</v>
      </c>
      <c r="AN103" s="12">
        <v>0.26944444444444443</v>
      </c>
      <c r="AO103" s="13">
        <v>0.2916666666666667</v>
      </c>
      <c r="AP103" s="11">
        <v>101.0</v>
      </c>
      <c r="AQ103" s="12">
        <v>0.37222222222222223</v>
      </c>
      <c r="AR103" s="13">
        <v>0.38263888888888886</v>
      </c>
      <c r="AS103" s="11">
        <v>104.0</v>
      </c>
      <c r="AT103" s="12">
        <v>0.07361111111111111</v>
      </c>
      <c r="AU103" s="13">
        <v>0.4986111111111111</v>
      </c>
      <c r="AV103" s="11">
        <v>102.0</v>
      </c>
      <c r="AW103" s="12">
        <v>0.08055555555555556</v>
      </c>
      <c r="AX103" s="13">
        <v>0.08333333333333333</v>
      </c>
      <c r="AY103" s="34"/>
      <c r="AZ103" s="12"/>
      <c r="BA103" s="12"/>
    </row>
    <row r="104" ht="15.75" customHeight="1">
      <c r="A104" s="7"/>
      <c r="B104" s="47">
        <v>525.0</v>
      </c>
      <c r="C104" s="11">
        <v>115.0</v>
      </c>
      <c r="D104" s="12">
        <v>0.26944444444444443</v>
      </c>
      <c r="E104" s="13">
        <v>0.2701388888888889</v>
      </c>
      <c r="F104" s="14">
        <v>121.0</v>
      </c>
      <c r="G104" s="15">
        <v>0.33055555555555555</v>
      </c>
      <c r="H104" s="16">
        <v>0.33055555555555555</v>
      </c>
      <c r="I104" s="11">
        <v>129.0</v>
      </c>
      <c r="J104" s="12">
        <v>0.40555555555555556</v>
      </c>
      <c r="K104" s="13">
        <v>0.4083333333333333</v>
      </c>
      <c r="L104" s="17">
        <v>126.0</v>
      </c>
      <c r="M104" s="12">
        <v>0.5034722222222222</v>
      </c>
      <c r="N104" s="12">
        <v>0.50625</v>
      </c>
      <c r="O104" s="11">
        <v>136.0</v>
      </c>
      <c r="P104" s="12">
        <v>0.5833333333333334</v>
      </c>
      <c r="Q104" s="13">
        <v>0.5875</v>
      </c>
      <c r="R104" s="18">
        <v>128.0</v>
      </c>
      <c r="S104" s="12">
        <v>0.6576388888888889</v>
      </c>
      <c r="T104" s="13">
        <v>0.6611111111111111</v>
      </c>
      <c r="U104" s="11">
        <v>131.0</v>
      </c>
      <c r="V104" s="12">
        <v>0.7166666666666667</v>
      </c>
      <c r="W104" s="13">
        <v>0.7347222222222223</v>
      </c>
      <c r="X104" s="11">
        <v>124.0</v>
      </c>
      <c r="Y104" s="19"/>
      <c r="Z104" s="13">
        <v>0.84375</v>
      </c>
      <c r="AA104" s="20">
        <v>117.0</v>
      </c>
      <c r="AB104" s="21">
        <v>0.9097222222222222</v>
      </c>
      <c r="AC104" s="22">
        <v>0.9138888888888889</v>
      </c>
      <c r="AD104" s="18">
        <v>111.0</v>
      </c>
      <c r="AE104" s="12">
        <v>0.024305555555555556</v>
      </c>
      <c r="AF104" s="23">
        <v>0.03819444444444445</v>
      </c>
      <c r="AG104" s="11">
        <v>110.0</v>
      </c>
      <c r="AH104" s="12">
        <v>0.11666666666666667</v>
      </c>
      <c r="AI104" s="13">
        <v>0.12013888888888889</v>
      </c>
      <c r="AJ104" s="14">
        <v>108.0</v>
      </c>
      <c r="AK104" s="15">
        <v>0.23333333333333334</v>
      </c>
      <c r="AL104" s="16">
        <v>0.23680555555555555</v>
      </c>
      <c r="AM104" s="11">
        <v>102.0</v>
      </c>
      <c r="AN104" s="12">
        <v>0.29583333333333334</v>
      </c>
      <c r="AO104" s="13">
        <v>0.3013888888888889</v>
      </c>
      <c r="AP104" s="11">
        <v>102.0</v>
      </c>
      <c r="AQ104" s="12">
        <v>0.37430555555555556</v>
      </c>
      <c r="AR104" s="13">
        <v>0.38125</v>
      </c>
      <c r="AS104" s="11">
        <v>102.0</v>
      </c>
      <c r="AT104" s="12">
        <v>0.4875</v>
      </c>
      <c r="AU104" s="13">
        <v>0.4930555555555556</v>
      </c>
      <c r="AV104" s="11">
        <v>103.0</v>
      </c>
      <c r="AW104" s="12">
        <v>0.08125</v>
      </c>
      <c r="AX104" s="13">
        <v>0.08611111111111111</v>
      </c>
      <c r="AY104" s="34"/>
      <c r="AZ104" s="12"/>
      <c r="BA104" s="12"/>
    </row>
    <row r="105" ht="15.75" customHeight="1">
      <c r="A105" s="7"/>
      <c r="B105" s="47">
        <v>580.0</v>
      </c>
      <c r="C105" s="11">
        <v>120.0</v>
      </c>
      <c r="D105" s="12">
        <v>0.2701388888888889</v>
      </c>
      <c r="E105" s="13">
        <v>0.2708333333333333</v>
      </c>
      <c r="F105" s="14">
        <v>114.0</v>
      </c>
      <c r="G105" s="15">
        <v>0.32916666666666666</v>
      </c>
      <c r="H105" s="16">
        <v>0.32916666666666666</v>
      </c>
      <c r="I105" s="11">
        <v>116.0</v>
      </c>
      <c r="J105" s="12">
        <v>0.4013888888888889</v>
      </c>
      <c r="K105" s="13">
        <v>0.41180555555555554</v>
      </c>
      <c r="L105" s="17">
        <v>122.0</v>
      </c>
      <c r="M105" s="12">
        <v>0.5013888888888889</v>
      </c>
      <c r="N105" s="12">
        <v>0.50625</v>
      </c>
      <c r="O105" s="11">
        <v>131.0</v>
      </c>
      <c r="P105" s="12">
        <v>0.5805555555555556</v>
      </c>
      <c r="Q105" s="13">
        <v>0.5854166666666667</v>
      </c>
      <c r="R105" s="18">
        <v>125.0</v>
      </c>
      <c r="S105" s="12">
        <v>0.65625</v>
      </c>
      <c r="T105" s="13">
        <v>0.6604166666666667</v>
      </c>
      <c r="U105" s="11">
        <v>119.0</v>
      </c>
      <c r="V105" s="12">
        <v>0.7090277777777778</v>
      </c>
      <c r="W105" s="13">
        <v>0.7319444444444444</v>
      </c>
      <c r="X105" s="11">
        <v>123.0</v>
      </c>
      <c r="Y105" s="19"/>
      <c r="Z105" s="13">
        <v>0.8423611111111111</v>
      </c>
      <c r="AA105" s="20">
        <v>120.0</v>
      </c>
      <c r="AB105" s="21">
        <v>0.9104166666666667</v>
      </c>
      <c r="AC105" s="22">
        <v>0.9152777777777777</v>
      </c>
      <c r="AD105" s="18">
        <v>116.0</v>
      </c>
      <c r="AE105" s="12">
        <v>0.027777777777777776</v>
      </c>
      <c r="AF105" s="23">
        <v>0.04513888888888889</v>
      </c>
      <c r="AG105" s="11">
        <v>113.0</v>
      </c>
      <c r="AH105" s="12">
        <v>0.11736111111111111</v>
      </c>
      <c r="AI105" s="13">
        <v>0.12222222222222222</v>
      </c>
      <c r="AJ105" s="14">
        <v>112.0</v>
      </c>
      <c r="AK105" s="15">
        <v>0.2361111111111111</v>
      </c>
      <c r="AL105" s="16">
        <v>0.24513888888888888</v>
      </c>
      <c r="AM105" s="11">
        <v>106.0</v>
      </c>
      <c r="AN105" s="12">
        <v>0.3034722222222222</v>
      </c>
      <c r="AO105" s="13">
        <v>0.3173611111111111</v>
      </c>
      <c r="AP105" s="11">
        <v>106.0</v>
      </c>
      <c r="AQ105" s="12">
        <v>0.38263888888888886</v>
      </c>
      <c r="AR105" s="13">
        <v>0.3888888888888889</v>
      </c>
      <c r="AS105" s="11">
        <v>101.0</v>
      </c>
      <c r="AT105" s="12">
        <v>0.4847222222222222</v>
      </c>
      <c r="AU105" s="13">
        <v>0.4965277777777778</v>
      </c>
      <c r="AV105" s="11">
        <v>104.0</v>
      </c>
      <c r="AW105" s="12">
        <v>0.08125</v>
      </c>
      <c r="AX105" s="13">
        <v>0.08611111111111111</v>
      </c>
      <c r="AY105" s="34"/>
      <c r="AZ105" s="12"/>
      <c r="BA105" s="12"/>
    </row>
    <row r="106" ht="15.75" customHeight="1">
      <c r="A106" s="7"/>
      <c r="B106" s="47">
        <v>693.0</v>
      </c>
      <c r="C106" s="11">
        <v>129.0</v>
      </c>
      <c r="D106" s="12">
        <v>0.2708333333333333</v>
      </c>
      <c r="E106" s="13">
        <v>0.27152777777777776</v>
      </c>
      <c r="F106" s="14">
        <v>123.0</v>
      </c>
      <c r="G106" s="15">
        <v>0.33125</v>
      </c>
      <c r="H106" s="16">
        <v>0.33125</v>
      </c>
      <c r="I106" s="11">
        <v>111.0</v>
      </c>
      <c r="J106" s="12">
        <v>0.40208333333333335</v>
      </c>
      <c r="K106" s="39"/>
      <c r="L106" s="17">
        <v>111.0</v>
      </c>
      <c r="M106" s="12">
        <v>0.49722222222222223</v>
      </c>
      <c r="N106" s="12">
        <v>0.5</v>
      </c>
      <c r="O106" s="11">
        <v>110.0</v>
      </c>
      <c r="P106" s="12">
        <v>0.5729166666666666</v>
      </c>
      <c r="Q106" s="13">
        <v>0.5763888888888888</v>
      </c>
      <c r="R106" s="18">
        <v>106.0</v>
      </c>
      <c r="S106" s="12">
        <v>0.64375</v>
      </c>
      <c r="T106" s="13">
        <v>0.6458333333333334</v>
      </c>
      <c r="U106" s="11">
        <v>109.0</v>
      </c>
      <c r="V106" s="12">
        <v>0.6993055555555555</v>
      </c>
      <c r="W106" s="13">
        <v>0.7069444444444445</v>
      </c>
      <c r="X106" s="11">
        <v>105.0</v>
      </c>
      <c r="Y106" s="19"/>
      <c r="Z106" s="13">
        <v>0.81875</v>
      </c>
      <c r="AA106" s="20">
        <v>101.0</v>
      </c>
      <c r="AB106" s="21">
        <v>0.8861111111111111</v>
      </c>
      <c r="AC106" s="22">
        <v>0.8888888888888888</v>
      </c>
      <c r="AD106" s="18">
        <v>101.0</v>
      </c>
      <c r="AE106" s="12">
        <v>0.001388888888888889</v>
      </c>
      <c r="AF106" s="23">
        <v>0.010416666666666666</v>
      </c>
      <c r="AG106" s="11">
        <v>99.0</v>
      </c>
      <c r="AH106" s="12">
        <v>0.09027777777777778</v>
      </c>
      <c r="AI106" s="13">
        <v>0.09236111111111112</v>
      </c>
      <c r="AJ106" s="14">
        <v>104.0</v>
      </c>
      <c r="AK106" s="15">
        <v>0.21041666666666667</v>
      </c>
      <c r="AL106" s="16">
        <v>0.21666666666666667</v>
      </c>
      <c r="AM106" s="11">
        <v>99.0</v>
      </c>
      <c r="AN106" s="12">
        <v>0.28125</v>
      </c>
      <c r="AO106" s="13">
        <v>0.28888888888888886</v>
      </c>
      <c r="AP106" s="11">
        <v>96.0</v>
      </c>
      <c r="AQ106" s="12">
        <v>0.3638888888888889</v>
      </c>
      <c r="AR106" s="13">
        <v>0.3736111111111111</v>
      </c>
      <c r="AS106" s="11">
        <v>103.0</v>
      </c>
      <c r="AT106" s="12">
        <v>0.48819444444444443</v>
      </c>
      <c r="AU106" s="13">
        <v>0.4930555555555556</v>
      </c>
      <c r="AV106" s="11">
        <v>105.0</v>
      </c>
      <c r="AW106" s="12">
        <v>0.08333333333333333</v>
      </c>
      <c r="AX106" s="13">
        <v>0.08472222222222223</v>
      </c>
      <c r="AY106" s="34"/>
      <c r="AZ106" s="12"/>
      <c r="BA106" s="12"/>
    </row>
    <row r="107" ht="15.75" customHeight="1">
      <c r="A107" s="7"/>
      <c r="B107" s="47">
        <v>598.0</v>
      </c>
      <c r="C107" s="11">
        <v>126.0</v>
      </c>
      <c r="D107" s="12">
        <v>0.2708333333333333</v>
      </c>
      <c r="E107" s="13">
        <v>0.27152777777777776</v>
      </c>
      <c r="F107" s="14">
        <v>151.0</v>
      </c>
      <c r="G107" s="15">
        <v>0.3368055555555556</v>
      </c>
      <c r="H107" s="16">
        <v>0.3368055555555556</v>
      </c>
      <c r="I107" s="11">
        <v>138.0</v>
      </c>
      <c r="J107" s="12">
        <v>0.40902777777777777</v>
      </c>
      <c r="K107" s="13">
        <v>0.4131944444444444</v>
      </c>
      <c r="L107" s="17">
        <v>144.0</v>
      </c>
      <c r="M107" s="12">
        <v>0.5111111111111111</v>
      </c>
      <c r="N107" s="12">
        <v>0.5145833333333333</v>
      </c>
      <c r="O107" s="11">
        <v>141.0</v>
      </c>
      <c r="P107" s="12">
        <v>0.5916666666666667</v>
      </c>
      <c r="Q107" s="13">
        <v>0.5916666666666667</v>
      </c>
      <c r="R107" s="18">
        <v>137.0</v>
      </c>
      <c r="S107" s="12">
        <v>0.6652777777777777</v>
      </c>
      <c r="T107" s="13">
        <v>0.6673611111111111</v>
      </c>
      <c r="U107" s="11">
        <v>137.0</v>
      </c>
      <c r="V107" s="12">
        <v>0.7201388888888889</v>
      </c>
      <c r="W107" s="13">
        <v>0.7305555555555555</v>
      </c>
      <c r="X107" s="11">
        <v>129.0</v>
      </c>
      <c r="Y107" s="19"/>
      <c r="Z107" s="13">
        <v>0.8493055555555555</v>
      </c>
      <c r="AA107" s="20">
        <v>129.0</v>
      </c>
      <c r="AB107" s="21">
        <v>0.9256944444444445</v>
      </c>
      <c r="AC107" s="22">
        <v>0.9236111111111112</v>
      </c>
      <c r="AD107" s="18">
        <v>120.0</v>
      </c>
      <c r="AE107" s="12">
        <v>0.03888888888888889</v>
      </c>
      <c r="AF107" s="23">
        <v>0.04652777777777778</v>
      </c>
      <c r="AG107" s="11">
        <v>117.0</v>
      </c>
      <c r="AH107" s="12">
        <v>0.12777777777777777</v>
      </c>
      <c r="AI107" s="13">
        <v>0.13333333333333333</v>
      </c>
      <c r="AJ107" s="14">
        <v>110.0</v>
      </c>
      <c r="AK107" s="15">
        <v>0.23541666666666666</v>
      </c>
      <c r="AL107" s="16">
        <v>0.23680555555555555</v>
      </c>
      <c r="AM107" s="11">
        <v>103.0</v>
      </c>
      <c r="AN107" s="12">
        <v>0.2972222222222222</v>
      </c>
      <c r="AO107" s="13">
        <v>0.3</v>
      </c>
      <c r="AP107" s="11">
        <v>103.0</v>
      </c>
      <c r="AQ107" s="12">
        <v>0.3784722222222222</v>
      </c>
      <c r="AR107" s="13">
        <v>0.3854166666666667</v>
      </c>
      <c r="AS107" s="11">
        <v>106.0</v>
      </c>
      <c r="AT107" s="12">
        <v>0.4965277777777778</v>
      </c>
      <c r="AU107" s="13">
        <v>0.5006944444444444</v>
      </c>
      <c r="AV107" s="11">
        <v>106.0</v>
      </c>
      <c r="AW107" s="12">
        <v>0.08958333333333333</v>
      </c>
      <c r="AX107" s="13">
        <v>0.09166666666666666</v>
      </c>
      <c r="AY107" s="34"/>
      <c r="AZ107" s="12"/>
      <c r="BA107" s="12"/>
    </row>
    <row r="108" ht="15.75" customHeight="1">
      <c r="A108" s="7"/>
      <c r="B108" s="47">
        <v>732.0</v>
      </c>
      <c r="C108" s="11">
        <v>153.0</v>
      </c>
      <c r="D108" s="12">
        <v>0.2743055555555556</v>
      </c>
      <c r="E108" s="13">
        <v>0.275</v>
      </c>
      <c r="F108" s="14">
        <v>118.0</v>
      </c>
      <c r="G108" s="15">
        <v>0.3298611111111111</v>
      </c>
      <c r="H108" s="16">
        <v>0.3298611111111111</v>
      </c>
      <c r="I108" s="11">
        <v>109.0</v>
      </c>
      <c r="J108" s="12">
        <v>0.4</v>
      </c>
      <c r="K108" s="13">
        <v>0.4076388888888889</v>
      </c>
      <c r="L108" s="17">
        <v>103.0</v>
      </c>
      <c r="M108" s="12">
        <v>0.49166666666666664</v>
      </c>
      <c r="N108" s="12">
        <v>0.4979166666666667</v>
      </c>
      <c r="O108" s="11">
        <v>101.0</v>
      </c>
      <c r="P108" s="12">
        <v>0.5645833333333333</v>
      </c>
      <c r="Q108" s="13">
        <v>0.5701388888888889</v>
      </c>
      <c r="R108" s="18">
        <v>98.0</v>
      </c>
      <c r="S108" s="12">
        <v>0.6340277777777777</v>
      </c>
      <c r="T108" s="13">
        <v>0.6361111111111111</v>
      </c>
      <c r="U108" s="11">
        <v>99.0</v>
      </c>
      <c r="V108" s="12">
        <v>0.6909722222222222</v>
      </c>
      <c r="W108" s="13">
        <v>0.7048611111111112</v>
      </c>
      <c r="X108" s="11">
        <v>97.0</v>
      </c>
      <c r="Y108" s="19"/>
      <c r="Z108" s="13">
        <v>0.8090277777777778</v>
      </c>
      <c r="AA108" s="20">
        <v>94.0</v>
      </c>
      <c r="AB108" s="21">
        <v>0.86875</v>
      </c>
      <c r="AC108" s="22">
        <v>0.8722222222222222</v>
      </c>
      <c r="AD108" s="18">
        <v>92.0</v>
      </c>
      <c r="AE108" s="12">
        <v>0.9833333333333333</v>
      </c>
      <c r="AF108" s="23">
        <v>0.024305555555555556</v>
      </c>
      <c r="AG108" s="11">
        <v>107.0</v>
      </c>
      <c r="AH108" s="12">
        <v>0.10625</v>
      </c>
      <c r="AI108" s="13">
        <v>0.13125</v>
      </c>
      <c r="AJ108" s="14">
        <v>115.0</v>
      </c>
      <c r="AK108" s="15">
        <v>0.24444444444444444</v>
      </c>
      <c r="AL108" s="16">
        <v>0.25763888888888886</v>
      </c>
      <c r="AM108" s="11">
        <v>113.0</v>
      </c>
      <c r="AN108" s="12">
        <v>0.3159722222222222</v>
      </c>
      <c r="AO108" s="13">
        <v>0.3375</v>
      </c>
      <c r="AP108" s="11">
        <v>112.0</v>
      </c>
      <c r="AQ108" s="12">
        <v>0.40625</v>
      </c>
      <c r="AR108" s="13">
        <v>0.41041666666666665</v>
      </c>
      <c r="AS108" s="11">
        <v>110.0</v>
      </c>
      <c r="AT108" s="12">
        <v>0.5131944444444444</v>
      </c>
      <c r="AU108" s="13">
        <v>0.5194444444444445</v>
      </c>
      <c r="AV108" s="11">
        <v>107.0</v>
      </c>
      <c r="AW108" s="12">
        <v>0.09652777777777778</v>
      </c>
      <c r="AX108" s="13">
        <v>0.09652777777777778</v>
      </c>
      <c r="AY108" s="34"/>
      <c r="AZ108" s="12"/>
      <c r="BA108" s="12"/>
    </row>
    <row r="109" ht="15.75" customHeight="1">
      <c r="A109" s="7"/>
      <c r="B109" s="47">
        <v>559.0</v>
      </c>
      <c r="C109" s="11">
        <v>176.0</v>
      </c>
      <c r="D109" s="12">
        <v>0.275</v>
      </c>
      <c r="E109" s="13">
        <v>0.27569444444444446</v>
      </c>
      <c r="F109" s="14">
        <v>170.0</v>
      </c>
      <c r="G109" s="15">
        <v>0.3388888888888889</v>
      </c>
      <c r="H109" s="16">
        <v>0.3388888888888889</v>
      </c>
      <c r="I109" s="11">
        <v>112.0</v>
      </c>
      <c r="J109" s="12">
        <v>0.40069444444444446</v>
      </c>
      <c r="K109" s="13">
        <v>0.41180555555555554</v>
      </c>
      <c r="L109" s="17">
        <v>108.0</v>
      </c>
      <c r="M109" s="12">
        <v>0.49444444444444446</v>
      </c>
      <c r="N109" s="12">
        <v>0.4986111111111111</v>
      </c>
      <c r="O109" s="11">
        <v>108.0</v>
      </c>
      <c r="P109" s="12">
        <v>0.5694444444444444</v>
      </c>
      <c r="Q109" s="13">
        <v>0.5736111111111111</v>
      </c>
      <c r="R109" s="18">
        <v>102.0</v>
      </c>
      <c r="S109" s="12">
        <v>0.6375</v>
      </c>
      <c r="T109" s="13">
        <v>0.6416666666666667</v>
      </c>
      <c r="U109" s="11">
        <v>98.0</v>
      </c>
      <c r="V109" s="12">
        <v>0.6861111111111111</v>
      </c>
      <c r="W109" s="13">
        <v>0.6965277777777777</v>
      </c>
      <c r="X109" s="11">
        <v>95.0</v>
      </c>
      <c r="Y109" s="26"/>
      <c r="Z109" s="13">
        <v>0.8041666666666667</v>
      </c>
      <c r="AA109" s="20">
        <v>96.0</v>
      </c>
      <c r="AB109" s="21">
        <v>0.8777777777777778</v>
      </c>
      <c r="AC109" s="22">
        <v>0.8763888888888889</v>
      </c>
      <c r="AD109" s="18">
        <v>93.0</v>
      </c>
      <c r="AE109" s="12">
        <v>0.9840277777777777</v>
      </c>
      <c r="AF109" s="23">
        <v>0.001388888888888889</v>
      </c>
      <c r="AG109" s="11">
        <v>96.0</v>
      </c>
      <c r="AH109" s="12">
        <v>0.08611111111111111</v>
      </c>
      <c r="AI109" s="13">
        <v>0.09652777777777778</v>
      </c>
      <c r="AJ109" s="14">
        <v>91.0</v>
      </c>
      <c r="AK109" s="15">
        <v>0.19722222222222222</v>
      </c>
      <c r="AL109" s="16">
        <v>0.20277777777777778</v>
      </c>
      <c r="AM109" s="11">
        <v>92.0</v>
      </c>
      <c r="AN109" s="12">
        <v>0.27152777777777776</v>
      </c>
      <c r="AO109" s="13">
        <v>0.2875</v>
      </c>
      <c r="AP109" s="11">
        <v>99.0</v>
      </c>
      <c r="AQ109" s="12">
        <v>0.3680555555555556</v>
      </c>
      <c r="AR109" s="13">
        <v>0.3729166666666667</v>
      </c>
      <c r="AS109" s="11">
        <v>105.0</v>
      </c>
      <c r="AT109" s="12">
        <v>0.4909722222222222</v>
      </c>
      <c r="AU109" s="13">
        <v>0.5013888888888889</v>
      </c>
      <c r="AV109" s="11">
        <v>108.0</v>
      </c>
      <c r="AW109" s="12">
        <v>0.09652777777777778</v>
      </c>
      <c r="AX109" s="13">
        <v>0.09861111111111111</v>
      </c>
      <c r="AY109" s="34"/>
      <c r="AZ109" s="12"/>
      <c r="BA109" s="12"/>
    </row>
    <row r="110" ht="15.75" customHeight="1">
      <c r="A110" s="7"/>
      <c r="B110" s="47">
        <v>516.0</v>
      </c>
      <c r="C110" s="11">
        <v>105.0</v>
      </c>
      <c r="D110" s="12">
        <v>0.26875</v>
      </c>
      <c r="E110" s="13">
        <v>0.26944444444444443</v>
      </c>
      <c r="F110" s="14">
        <v>113.0</v>
      </c>
      <c r="G110" s="15">
        <v>0.32569444444444445</v>
      </c>
      <c r="H110" s="16">
        <v>0.32569444444444445</v>
      </c>
      <c r="I110" s="11">
        <v>128.0</v>
      </c>
      <c r="J110" s="12">
        <v>0.40555555555555556</v>
      </c>
      <c r="K110" s="13">
        <v>0.4125</v>
      </c>
      <c r="L110" s="17">
        <v>127.0</v>
      </c>
      <c r="M110" s="12">
        <v>0.5041666666666667</v>
      </c>
      <c r="N110" s="12">
        <v>0.5083333333333333</v>
      </c>
      <c r="O110" s="11">
        <v>135.0</v>
      </c>
      <c r="P110" s="12">
        <v>0.58125</v>
      </c>
      <c r="Q110" s="13">
        <v>0.5861111111111111</v>
      </c>
      <c r="R110" s="18">
        <v>117.0</v>
      </c>
      <c r="S110" s="12">
        <v>0.6527777777777778</v>
      </c>
      <c r="T110" s="13">
        <v>0.65625</v>
      </c>
      <c r="U110" s="11">
        <v>128.0</v>
      </c>
      <c r="V110" s="12">
        <v>0.7131944444444445</v>
      </c>
      <c r="W110" s="13">
        <v>0.7270833333333333</v>
      </c>
      <c r="X110" s="11">
        <v>125.0</v>
      </c>
      <c r="Y110" s="19"/>
      <c r="Z110" s="13">
        <v>0.8444444444444444</v>
      </c>
      <c r="AA110" s="20">
        <v>124.0</v>
      </c>
      <c r="AB110" s="21">
        <v>0.9152777777777777</v>
      </c>
      <c r="AC110" s="22">
        <v>0.9208333333333333</v>
      </c>
      <c r="AD110" s="18">
        <v>114.0</v>
      </c>
      <c r="AE110" s="12">
        <v>0.02638888888888889</v>
      </c>
      <c r="AF110" s="23">
        <v>0.03125</v>
      </c>
      <c r="AG110" s="11">
        <v>108.0</v>
      </c>
      <c r="AH110" s="12">
        <v>0.10694444444444444</v>
      </c>
      <c r="AI110" s="13">
        <v>0.11319444444444444</v>
      </c>
      <c r="AJ110" s="14">
        <v>106.0</v>
      </c>
      <c r="AK110" s="15">
        <v>0.22291666666666668</v>
      </c>
      <c r="AL110" s="16">
        <v>0.23402777777777778</v>
      </c>
      <c r="AM110" s="11">
        <v>107.0</v>
      </c>
      <c r="AN110" s="12">
        <v>0.30625</v>
      </c>
      <c r="AO110" s="13">
        <v>0.31319444444444444</v>
      </c>
      <c r="AP110" s="11">
        <v>107.0</v>
      </c>
      <c r="AQ110" s="12">
        <v>0.38680555555555557</v>
      </c>
      <c r="AR110" s="13">
        <v>0.3951388888888889</v>
      </c>
      <c r="AS110" s="11">
        <v>108.0</v>
      </c>
      <c r="AT110" s="12">
        <v>0.5083333333333333</v>
      </c>
      <c r="AU110" s="13">
        <v>0.5125</v>
      </c>
      <c r="AV110" s="11">
        <v>109.0</v>
      </c>
      <c r="AW110" s="12">
        <v>0.10138888888888889</v>
      </c>
      <c r="AX110" s="13">
        <v>0.10625</v>
      </c>
      <c r="AY110" s="34"/>
      <c r="AZ110" s="12"/>
      <c r="BA110" s="12"/>
    </row>
    <row r="111" ht="15.75" customHeight="1">
      <c r="A111" s="7"/>
      <c r="B111" s="47">
        <v>632.0</v>
      </c>
      <c r="C111" s="11">
        <v>179.0</v>
      </c>
      <c r="D111" s="12">
        <v>0.2763888888888889</v>
      </c>
      <c r="E111" s="13">
        <v>0.27708333333333335</v>
      </c>
      <c r="F111" s="14">
        <v>176.0</v>
      </c>
      <c r="G111" s="15">
        <v>0.34375</v>
      </c>
      <c r="H111" s="16">
        <v>0.34375</v>
      </c>
      <c r="I111" s="11">
        <v>172.0</v>
      </c>
      <c r="J111" s="12">
        <v>0.4236111111111111</v>
      </c>
      <c r="K111" s="13">
        <v>0.4284722222222222</v>
      </c>
      <c r="L111" s="17">
        <v>160.0</v>
      </c>
      <c r="M111" s="12">
        <v>0.5256944444444445</v>
      </c>
      <c r="N111" s="12">
        <v>0.5270833333333333</v>
      </c>
      <c r="O111" s="11">
        <v>158.0</v>
      </c>
      <c r="P111" s="12">
        <v>0.6055555555555555</v>
      </c>
      <c r="Q111" s="13">
        <v>0.6069444444444444</v>
      </c>
      <c r="R111" s="18">
        <v>150.0</v>
      </c>
      <c r="S111" s="12">
        <v>0.6805555555555556</v>
      </c>
      <c r="T111" s="13">
        <v>0.68125</v>
      </c>
      <c r="U111" s="11">
        <v>150.0</v>
      </c>
      <c r="V111" s="12">
        <v>0.7375</v>
      </c>
      <c r="W111" s="13">
        <v>0.7444444444444445</v>
      </c>
      <c r="X111" s="11">
        <v>135.0</v>
      </c>
      <c r="Y111" s="19"/>
      <c r="Z111" s="13">
        <v>0.8548611111111111</v>
      </c>
      <c r="AA111" s="20">
        <v>138.0</v>
      </c>
      <c r="AB111" s="21">
        <v>0.9381944444444444</v>
      </c>
      <c r="AC111" s="22">
        <v>0.9375</v>
      </c>
      <c r="AD111" s="18">
        <v>132.0</v>
      </c>
      <c r="AE111" s="12">
        <v>0.05763888888888889</v>
      </c>
      <c r="AF111" s="23">
        <v>0.07291666666666667</v>
      </c>
      <c r="AG111" s="11">
        <v>125.0</v>
      </c>
      <c r="AH111" s="12">
        <v>0.14722222222222223</v>
      </c>
      <c r="AI111" s="13">
        <v>0.15138888888888888</v>
      </c>
      <c r="AJ111" s="14">
        <v>121.0</v>
      </c>
      <c r="AK111" s="15">
        <v>0.25833333333333336</v>
      </c>
      <c r="AL111" s="16">
        <v>0.2604166666666667</v>
      </c>
      <c r="AM111" s="11">
        <v>116.0</v>
      </c>
      <c r="AN111" s="12">
        <v>0.31875</v>
      </c>
      <c r="AO111" s="13">
        <v>0.33125</v>
      </c>
      <c r="AP111" s="11">
        <v>115.0</v>
      </c>
      <c r="AQ111" s="12">
        <v>0.40694444444444444</v>
      </c>
      <c r="AR111" s="13">
        <v>0.40902777777777777</v>
      </c>
      <c r="AS111" s="11">
        <v>111.0</v>
      </c>
      <c r="AT111" s="12">
        <v>0.5145833333333333</v>
      </c>
      <c r="AU111" s="13">
        <v>0.51875</v>
      </c>
      <c r="AV111" s="11">
        <v>110.0</v>
      </c>
      <c r="AW111" s="12">
        <v>0.10625</v>
      </c>
      <c r="AX111" s="13">
        <v>0.10902777777777778</v>
      </c>
      <c r="AY111" s="34"/>
      <c r="AZ111" s="12"/>
      <c r="BA111" s="12"/>
    </row>
    <row r="112" ht="15.75" customHeight="1">
      <c r="A112" s="7"/>
      <c r="B112" s="47">
        <v>500.0</v>
      </c>
      <c r="C112" s="11">
        <v>189.0</v>
      </c>
      <c r="D112" s="12">
        <v>0.2798611111111111</v>
      </c>
      <c r="E112" s="13">
        <v>0.28055555555555556</v>
      </c>
      <c r="F112" s="14">
        <v>179.0</v>
      </c>
      <c r="G112" s="15">
        <v>0.34444444444444444</v>
      </c>
      <c r="H112" s="16">
        <v>0.34444444444444444</v>
      </c>
      <c r="I112" s="11">
        <v>181.0</v>
      </c>
      <c r="J112" s="12">
        <v>0.4263888888888889</v>
      </c>
      <c r="K112" s="13">
        <v>0.4388888888888889</v>
      </c>
      <c r="L112" s="17">
        <v>169.0</v>
      </c>
      <c r="M112" s="12">
        <v>0.5305555555555556</v>
      </c>
      <c r="N112" s="12">
        <v>0.5340277777777778</v>
      </c>
      <c r="O112" s="11">
        <v>163.0</v>
      </c>
      <c r="P112" s="12">
        <v>0.6083333333333333</v>
      </c>
      <c r="Q112" s="13">
        <v>0.6125</v>
      </c>
      <c r="R112" s="18">
        <v>160.0</v>
      </c>
      <c r="S112" s="12">
        <v>0.6861111111111111</v>
      </c>
      <c r="T112" s="13">
        <v>0.6902777777777778</v>
      </c>
      <c r="U112" s="11">
        <v>156.0</v>
      </c>
      <c r="V112" s="12">
        <v>0.7430555555555556</v>
      </c>
      <c r="W112" s="13">
        <v>0.7638888888888888</v>
      </c>
      <c r="X112" s="11">
        <v>147.0</v>
      </c>
      <c r="Y112" s="19"/>
      <c r="Z112" s="13">
        <v>0.8743055555555556</v>
      </c>
      <c r="AA112" s="20">
        <v>146.0</v>
      </c>
      <c r="AB112" s="21">
        <v>0.9465277777777777</v>
      </c>
      <c r="AC112" s="22">
        <v>0.96875</v>
      </c>
      <c r="AD112" s="18">
        <v>152.0</v>
      </c>
      <c r="AE112" s="12">
        <v>0.09236111111111112</v>
      </c>
      <c r="AF112" s="23">
        <v>0.10416666666666667</v>
      </c>
      <c r="AG112" s="11">
        <v>146.0</v>
      </c>
      <c r="AH112" s="12">
        <v>0.19583333333333333</v>
      </c>
      <c r="AI112" s="13">
        <v>0.19652777777777777</v>
      </c>
      <c r="AJ112" s="14">
        <v>129.0</v>
      </c>
      <c r="AK112" s="15">
        <v>0.2902777777777778</v>
      </c>
      <c r="AL112" s="16">
        <v>0.29097222222222224</v>
      </c>
      <c r="AM112" s="11">
        <v>122.0</v>
      </c>
      <c r="AN112" s="12">
        <v>0.3472222222222222</v>
      </c>
      <c r="AO112" s="13">
        <v>0.35138888888888886</v>
      </c>
      <c r="AP112" s="11">
        <v>117.0</v>
      </c>
      <c r="AQ112" s="12">
        <v>0.41458333333333336</v>
      </c>
      <c r="AR112" s="13">
        <v>0.41944444444444445</v>
      </c>
      <c r="AS112" s="11">
        <v>114.0</v>
      </c>
      <c r="AT112" s="12">
        <v>0.5236111111111111</v>
      </c>
      <c r="AU112" s="13">
        <v>0.5395833333333333</v>
      </c>
      <c r="AV112" s="11">
        <v>111.0</v>
      </c>
      <c r="AW112" s="12">
        <v>0.11041666666666666</v>
      </c>
      <c r="AX112" s="13">
        <v>0.11041666666666666</v>
      </c>
      <c r="AY112" s="34"/>
      <c r="AZ112" s="12"/>
      <c r="BA112" s="12"/>
    </row>
    <row r="113" ht="15.75" customHeight="1">
      <c r="A113" s="7"/>
      <c r="B113" s="47">
        <v>649.0</v>
      </c>
      <c r="C113" s="11">
        <v>119.0</v>
      </c>
      <c r="D113" s="12">
        <v>0.26944444444444443</v>
      </c>
      <c r="E113" s="13">
        <v>0.2701388888888889</v>
      </c>
      <c r="F113" s="14">
        <v>112.0</v>
      </c>
      <c r="G113" s="15">
        <v>0.32569444444444445</v>
      </c>
      <c r="H113" s="16">
        <v>0.32569444444444445</v>
      </c>
      <c r="I113" s="11">
        <v>115.0</v>
      </c>
      <c r="J113" s="12">
        <v>0.40069444444444446</v>
      </c>
      <c r="K113" s="13">
        <v>0.41180555555555554</v>
      </c>
      <c r="L113" s="17">
        <v>109.0</v>
      </c>
      <c r="M113" s="12">
        <v>0.49444444444444446</v>
      </c>
      <c r="N113" s="12">
        <v>0.49930555555555556</v>
      </c>
      <c r="O113" s="11">
        <v>112.0</v>
      </c>
      <c r="P113" s="12">
        <v>0.5729166666666666</v>
      </c>
      <c r="Q113" s="13">
        <v>0.5777777777777777</v>
      </c>
      <c r="R113" s="18">
        <v>112.0</v>
      </c>
      <c r="S113" s="12">
        <v>0.6479166666666667</v>
      </c>
      <c r="T113" s="13">
        <v>0.6513888888888889</v>
      </c>
      <c r="U113" s="11">
        <v>133.0</v>
      </c>
      <c r="V113" s="12">
        <v>0.7180555555555556</v>
      </c>
      <c r="W113" s="13">
        <v>0.7319444444444444</v>
      </c>
      <c r="X113" s="11">
        <v>132.0</v>
      </c>
      <c r="Y113" s="19"/>
      <c r="Z113" s="13">
        <v>0.8506944444444444</v>
      </c>
      <c r="AA113" s="20">
        <v>132.0</v>
      </c>
      <c r="AB113" s="21">
        <v>0.9270833333333334</v>
      </c>
      <c r="AC113" s="22">
        <v>0.9298611111111111</v>
      </c>
      <c r="AD113" s="18">
        <v>123.0</v>
      </c>
      <c r="AE113" s="12">
        <v>0.041666666666666664</v>
      </c>
      <c r="AF113" s="23">
        <v>0.05</v>
      </c>
      <c r="AG113" s="11">
        <v>118.0</v>
      </c>
      <c r="AH113" s="12">
        <v>0.12777777777777777</v>
      </c>
      <c r="AI113" s="13">
        <v>0.13333333333333333</v>
      </c>
      <c r="AJ113" s="14">
        <v>114.0</v>
      </c>
      <c r="AK113" s="15">
        <v>0.2375</v>
      </c>
      <c r="AL113" s="16">
        <v>0.2465277777777778</v>
      </c>
      <c r="AM113" s="11">
        <v>112.0</v>
      </c>
      <c r="AN113" s="12">
        <v>0.3125</v>
      </c>
      <c r="AO113" s="13">
        <v>0.33194444444444443</v>
      </c>
      <c r="AP113" s="11">
        <v>113.0</v>
      </c>
      <c r="AQ113" s="12">
        <v>0.40625</v>
      </c>
      <c r="AR113" s="13">
        <v>0.4111111111111111</v>
      </c>
      <c r="AS113" s="11">
        <v>112.0</v>
      </c>
      <c r="AT113" s="12">
        <v>0.5173611111111112</v>
      </c>
      <c r="AU113" s="13">
        <v>0.5222222222222223</v>
      </c>
      <c r="AV113" s="11">
        <v>112.0</v>
      </c>
      <c r="AW113" s="12">
        <v>0.1111111111111111</v>
      </c>
      <c r="AX113" s="13">
        <v>0.1125</v>
      </c>
      <c r="AY113" s="34"/>
      <c r="AZ113" s="12"/>
      <c r="BA113" s="12"/>
    </row>
    <row r="114" ht="15.75" customHeight="1">
      <c r="A114" s="7"/>
      <c r="B114" s="47">
        <v>669.0</v>
      </c>
      <c r="C114" s="11">
        <v>194.0</v>
      </c>
      <c r="D114" s="12">
        <v>0.28125</v>
      </c>
      <c r="E114" s="13">
        <v>0.28194444444444444</v>
      </c>
      <c r="F114" s="14">
        <v>188.0</v>
      </c>
      <c r="G114" s="15">
        <v>0.3527777777777778</v>
      </c>
      <c r="H114" s="16">
        <v>0.3527777777777778</v>
      </c>
      <c r="I114" s="11">
        <v>190.0</v>
      </c>
      <c r="J114" s="12">
        <v>0.43472222222222223</v>
      </c>
      <c r="K114" s="13">
        <v>0.44305555555555554</v>
      </c>
      <c r="L114" s="17">
        <v>183.0</v>
      </c>
      <c r="M114" s="12">
        <v>0.5409722222222222</v>
      </c>
      <c r="N114" s="12">
        <v>0.5430555555555555</v>
      </c>
      <c r="O114" s="11">
        <v>172.0</v>
      </c>
      <c r="P114" s="12">
        <v>0.6159722222222223</v>
      </c>
      <c r="Q114" s="13">
        <v>0.6208333333333333</v>
      </c>
      <c r="R114" s="18">
        <v>169.0</v>
      </c>
      <c r="S114" s="12">
        <v>0.6979166666666666</v>
      </c>
      <c r="T114" s="13">
        <v>0.6993055555555555</v>
      </c>
      <c r="U114" s="11">
        <v>166.0</v>
      </c>
      <c r="V114" s="12">
        <v>0.7527777777777778</v>
      </c>
      <c r="W114" s="13">
        <v>0.7694444444444445</v>
      </c>
      <c r="X114" s="11">
        <v>157.0</v>
      </c>
      <c r="Y114" s="19"/>
      <c r="Z114" s="13">
        <v>0.8868055555555555</v>
      </c>
      <c r="AA114" s="41"/>
      <c r="AB114" s="41"/>
      <c r="AC114" s="42"/>
      <c r="AD114" s="18">
        <v>145.0</v>
      </c>
      <c r="AE114" s="12">
        <v>0.08125</v>
      </c>
      <c r="AF114" s="23">
        <v>0.0875</v>
      </c>
      <c r="AG114" s="11">
        <v>130.0</v>
      </c>
      <c r="AH114" s="12">
        <v>0.15833333333333333</v>
      </c>
      <c r="AI114" s="13">
        <v>0.16319444444444445</v>
      </c>
      <c r="AJ114" s="27"/>
      <c r="AK114" s="27"/>
      <c r="AL114" s="43"/>
      <c r="AM114" s="11">
        <v>118.0</v>
      </c>
      <c r="AN114" s="12">
        <v>0.32013888888888886</v>
      </c>
      <c r="AO114" s="13">
        <v>0.33194444444444443</v>
      </c>
      <c r="AP114" s="11">
        <v>111.0</v>
      </c>
      <c r="AQ114" s="12">
        <v>0.4027777777777778</v>
      </c>
      <c r="AR114" s="13">
        <v>0.4076388888888889</v>
      </c>
      <c r="AS114" s="11">
        <v>113.0</v>
      </c>
      <c r="AT114" s="12">
        <v>0.5180555555555556</v>
      </c>
      <c r="AU114" s="13">
        <v>0.5229166666666667</v>
      </c>
      <c r="AV114" s="11">
        <v>113.0</v>
      </c>
      <c r="AW114" s="12">
        <v>0.11388888888888889</v>
      </c>
      <c r="AX114" s="13">
        <v>0.11736111111111111</v>
      </c>
      <c r="AY114" s="34"/>
      <c r="AZ114" s="12"/>
      <c r="BA114" s="12"/>
    </row>
    <row r="115" ht="15.75" customHeight="1">
      <c r="A115" s="7"/>
      <c r="B115" s="47">
        <v>657.0</v>
      </c>
      <c r="C115" s="11">
        <v>198.0</v>
      </c>
      <c r="D115" s="12">
        <v>0.2833333333333333</v>
      </c>
      <c r="E115" s="13">
        <v>0.28402777777777777</v>
      </c>
      <c r="F115" s="27"/>
      <c r="G115" s="28"/>
      <c r="H115" s="29"/>
      <c r="I115" s="11">
        <v>185.0</v>
      </c>
      <c r="J115" s="12">
        <v>0.4284722222222222</v>
      </c>
      <c r="K115" s="13">
        <v>0.4361111111111111</v>
      </c>
      <c r="L115" s="17">
        <v>175.0</v>
      </c>
      <c r="M115" s="12">
        <v>0.5347222222222222</v>
      </c>
      <c r="N115" s="12">
        <v>0.5402777777777777</v>
      </c>
      <c r="O115" s="11">
        <v>170.0</v>
      </c>
      <c r="P115" s="12">
        <v>0.6138888888888889</v>
      </c>
      <c r="Q115" s="13">
        <v>0.6166666666666667</v>
      </c>
      <c r="R115" s="18">
        <v>167.0</v>
      </c>
      <c r="S115" s="12">
        <v>0.6944444444444444</v>
      </c>
      <c r="T115" s="13">
        <v>0.6979166666666666</v>
      </c>
      <c r="U115" s="11">
        <v>167.0</v>
      </c>
      <c r="V115" s="12">
        <v>0.7534722222222222</v>
      </c>
      <c r="W115" s="13">
        <v>0.7722222222222223</v>
      </c>
      <c r="X115" s="11">
        <v>165.0</v>
      </c>
      <c r="Y115" s="19"/>
      <c r="Z115" s="13">
        <v>0.90625</v>
      </c>
      <c r="AA115" s="20">
        <v>165.0</v>
      </c>
      <c r="AB115" s="21">
        <v>0.9881944444444445</v>
      </c>
      <c r="AC115" s="22">
        <v>0.9930555555555556</v>
      </c>
      <c r="AD115" s="18">
        <v>155.0</v>
      </c>
      <c r="AE115" s="12">
        <v>0.10347222222222222</v>
      </c>
      <c r="AF115" s="23">
        <v>0.11875</v>
      </c>
      <c r="AG115" s="11">
        <v>139.0</v>
      </c>
      <c r="AH115" s="12">
        <v>0.18541666666666667</v>
      </c>
      <c r="AI115" s="13">
        <v>0.18888888888888888</v>
      </c>
      <c r="AJ115" s="14">
        <v>128.0</v>
      </c>
      <c r="AK115" s="15">
        <v>0.2861111111111111</v>
      </c>
      <c r="AL115" s="16">
        <v>0.2875</v>
      </c>
      <c r="AM115" s="11">
        <v>120.0</v>
      </c>
      <c r="AN115" s="12">
        <v>0.3368055555555556</v>
      </c>
      <c r="AO115" s="13">
        <v>0.34375</v>
      </c>
      <c r="AP115" s="11">
        <v>116.0</v>
      </c>
      <c r="AQ115" s="12">
        <v>0.41458333333333336</v>
      </c>
      <c r="AR115" s="13">
        <v>0.41944444444444445</v>
      </c>
      <c r="AS115" s="11">
        <v>115.0</v>
      </c>
      <c r="AT115" s="12">
        <v>0.5236111111111111</v>
      </c>
      <c r="AU115" s="13">
        <v>0.5347222222222222</v>
      </c>
      <c r="AV115" s="11">
        <v>114.0</v>
      </c>
      <c r="AW115" s="12">
        <v>0.11666666666666667</v>
      </c>
      <c r="AX115" s="13">
        <v>0.11736111111111111</v>
      </c>
      <c r="AY115" s="34"/>
      <c r="AZ115" s="12"/>
      <c r="BA115" s="12"/>
    </row>
    <row r="116" ht="15.75" customHeight="1">
      <c r="A116" s="7"/>
      <c r="B116" s="47">
        <v>592.0</v>
      </c>
      <c r="C116" s="11">
        <v>148.0</v>
      </c>
      <c r="D116" s="12">
        <v>0.27152777777777776</v>
      </c>
      <c r="E116" s="13">
        <v>0.2722222222222222</v>
      </c>
      <c r="F116" s="14">
        <v>142.0</v>
      </c>
      <c r="G116" s="15">
        <v>0.33611111111111114</v>
      </c>
      <c r="H116" s="16">
        <v>0.33611111111111114</v>
      </c>
      <c r="I116" s="11">
        <v>132.0</v>
      </c>
      <c r="J116" s="12">
        <v>0.4076388888888889</v>
      </c>
      <c r="K116" s="13">
        <v>0.4097222222222222</v>
      </c>
      <c r="L116" s="17">
        <v>118.0</v>
      </c>
      <c r="M116" s="12">
        <v>0.5</v>
      </c>
      <c r="N116" s="12">
        <v>0.5020833333333333</v>
      </c>
      <c r="O116" s="11">
        <v>114.0</v>
      </c>
      <c r="P116" s="12">
        <v>0.5777777777777777</v>
      </c>
      <c r="Q116" s="13">
        <v>0.5798611111111112</v>
      </c>
      <c r="R116" s="18">
        <v>121.0</v>
      </c>
      <c r="S116" s="12">
        <v>0.6555555555555556</v>
      </c>
      <c r="T116" s="13">
        <v>0.6590277777777778</v>
      </c>
      <c r="U116" s="11">
        <v>118.0</v>
      </c>
      <c r="V116" s="12">
        <v>0.7083333333333334</v>
      </c>
      <c r="W116" s="13">
        <v>0.7173611111111111</v>
      </c>
      <c r="X116" s="11">
        <v>117.0</v>
      </c>
      <c r="Y116" s="19"/>
      <c r="Z116" s="13">
        <v>0.8368055555555556</v>
      </c>
      <c r="AA116" s="20">
        <v>123.0</v>
      </c>
      <c r="AB116" s="21">
        <v>0.9152777777777777</v>
      </c>
      <c r="AC116" s="22">
        <v>0.9236111111111112</v>
      </c>
      <c r="AD116" s="18">
        <v>126.0</v>
      </c>
      <c r="AE116" s="12">
        <v>0.04722222222222222</v>
      </c>
      <c r="AF116" s="23">
        <v>0.05347222222222222</v>
      </c>
      <c r="AG116" s="11">
        <v>119.0</v>
      </c>
      <c r="AH116" s="12">
        <v>0.1326388888888889</v>
      </c>
      <c r="AI116" s="13">
        <v>0.13819444444444445</v>
      </c>
      <c r="AJ116" s="14">
        <v>116.0</v>
      </c>
      <c r="AK116" s="15">
        <v>0.24791666666666667</v>
      </c>
      <c r="AL116" s="16">
        <v>0.25</v>
      </c>
      <c r="AM116" s="11">
        <v>111.0</v>
      </c>
      <c r="AN116" s="12">
        <v>0.3090277777777778</v>
      </c>
      <c r="AO116" s="13">
        <v>0.3173611111111111</v>
      </c>
      <c r="AP116" s="11">
        <v>108.0</v>
      </c>
      <c r="AQ116" s="12">
        <v>0.3875</v>
      </c>
      <c r="AR116" s="13">
        <v>0.3902777777777778</v>
      </c>
      <c r="AS116" s="11">
        <v>109.0</v>
      </c>
      <c r="AT116" s="12">
        <v>0.5118055555555555</v>
      </c>
      <c r="AU116" s="13">
        <v>0.5131944444444444</v>
      </c>
      <c r="AV116" s="11">
        <v>115.0</v>
      </c>
      <c r="AW116" s="12">
        <v>0.11805555555555555</v>
      </c>
      <c r="AX116" s="13">
        <v>0.12013888888888889</v>
      </c>
      <c r="AY116" s="34"/>
      <c r="AZ116" s="12"/>
      <c r="BA116" s="12"/>
    </row>
    <row r="117" ht="15.75" customHeight="1">
      <c r="A117" s="7"/>
      <c r="B117" s="47">
        <v>648.0</v>
      </c>
      <c r="C117" s="11">
        <v>99.0</v>
      </c>
      <c r="D117" s="12">
        <v>0.26805555555555555</v>
      </c>
      <c r="E117" s="13">
        <v>0.26875</v>
      </c>
      <c r="F117" s="14">
        <v>110.0</v>
      </c>
      <c r="G117" s="15">
        <v>0.32569444444444445</v>
      </c>
      <c r="H117" s="16">
        <v>0.32569444444444445</v>
      </c>
      <c r="I117" s="11">
        <v>103.0</v>
      </c>
      <c r="J117" s="12">
        <v>0.39652777777777776</v>
      </c>
      <c r="K117" s="13">
        <v>0.4048611111111111</v>
      </c>
      <c r="L117" s="17">
        <v>104.0</v>
      </c>
      <c r="M117" s="12">
        <v>0.49166666666666664</v>
      </c>
      <c r="N117" s="12">
        <v>0.5041666666666667</v>
      </c>
      <c r="O117" s="11">
        <v>115.0</v>
      </c>
      <c r="P117" s="12">
        <v>0.5777777777777777</v>
      </c>
      <c r="Q117" s="13">
        <v>0.5854166666666667</v>
      </c>
      <c r="R117" s="18">
        <v>133.0</v>
      </c>
      <c r="S117" s="12">
        <v>0.6625</v>
      </c>
      <c r="T117" s="13">
        <v>0.6666666666666666</v>
      </c>
      <c r="U117" s="11">
        <v>141.0</v>
      </c>
      <c r="V117" s="12">
        <v>0.7236111111111111</v>
      </c>
      <c r="W117" s="13">
        <v>0.7597222222222222</v>
      </c>
      <c r="X117" s="11">
        <v>148.0</v>
      </c>
      <c r="Y117" s="19"/>
      <c r="Z117" s="13">
        <v>0.8743055555555556</v>
      </c>
      <c r="AA117" s="20">
        <v>141.0</v>
      </c>
      <c r="AB117" s="21">
        <v>0.94375</v>
      </c>
      <c r="AC117" s="22">
        <v>0.9541666666666667</v>
      </c>
      <c r="AD117" s="18">
        <v>130.0</v>
      </c>
      <c r="AE117" s="12">
        <v>0.05555555555555555</v>
      </c>
      <c r="AF117" s="23">
        <v>0.08541666666666667</v>
      </c>
      <c r="AG117" s="11">
        <v>128.0</v>
      </c>
      <c r="AH117" s="12">
        <v>0.15625</v>
      </c>
      <c r="AI117" s="13">
        <v>0.15833333333333333</v>
      </c>
      <c r="AJ117" s="14">
        <v>119.0</v>
      </c>
      <c r="AK117" s="15">
        <v>0.2534722222222222</v>
      </c>
      <c r="AL117" s="16">
        <v>0.25763888888888886</v>
      </c>
      <c r="AM117" s="11">
        <v>117.0</v>
      </c>
      <c r="AN117" s="12">
        <v>0.3194444444444444</v>
      </c>
      <c r="AO117" s="13">
        <v>0.34375</v>
      </c>
      <c r="AP117" s="11">
        <v>114.0</v>
      </c>
      <c r="AQ117" s="12">
        <v>0.40625</v>
      </c>
      <c r="AR117" s="13">
        <v>0.4111111111111111</v>
      </c>
      <c r="AS117" s="11">
        <v>116.0</v>
      </c>
      <c r="AT117" s="12">
        <v>0.5256944444444445</v>
      </c>
      <c r="AU117" s="13">
        <v>0.5340277777777778</v>
      </c>
      <c r="AV117" s="11">
        <v>116.0</v>
      </c>
      <c r="AW117" s="12">
        <v>0.11805555555555555</v>
      </c>
      <c r="AX117" s="13">
        <v>0.12013888888888889</v>
      </c>
      <c r="AY117" s="34"/>
      <c r="AZ117" s="12"/>
      <c r="BA117" s="12"/>
    </row>
    <row r="118" ht="15.75" customHeight="1">
      <c r="A118" s="7"/>
      <c r="B118" s="47">
        <v>554.0</v>
      </c>
      <c r="C118" s="11">
        <v>164.0</v>
      </c>
      <c r="D118" s="12">
        <v>0.2743055555555556</v>
      </c>
      <c r="E118" s="13">
        <v>0.275</v>
      </c>
      <c r="F118" s="27"/>
      <c r="G118" s="28"/>
      <c r="H118" s="29"/>
      <c r="I118" s="11">
        <v>171.0</v>
      </c>
      <c r="J118" s="12">
        <v>0.4222222222222222</v>
      </c>
      <c r="K118" s="13">
        <v>0.4284722222222222</v>
      </c>
      <c r="L118" s="17">
        <v>157.0</v>
      </c>
      <c r="M118" s="12">
        <v>0.5194444444444445</v>
      </c>
      <c r="N118" s="12">
        <v>0.5236111111111111</v>
      </c>
      <c r="O118" s="11">
        <v>149.0</v>
      </c>
      <c r="P118" s="12">
        <v>0.5944444444444444</v>
      </c>
      <c r="Q118" s="13">
        <v>0.6</v>
      </c>
      <c r="R118" s="18">
        <v>141.0</v>
      </c>
      <c r="S118" s="12">
        <v>0.6673611111111111</v>
      </c>
      <c r="T118" s="13">
        <v>0.6708333333333333</v>
      </c>
      <c r="U118" s="11">
        <v>139.0</v>
      </c>
      <c r="V118" s="12">
        <v>0.7208333333333333</v>
      </c>
      <c r="W118" s="13">
        <v>0.7305555555555555</v>
      </c>
      <c r="X118" s="11">
        <v>126.0</v>
      </c>
      <c r="Y118" s="19"/>
      <c r="Z118" s="13">
        <v>0.8444444444444444</v>
      </c>
      <c r="AA118" s="20">
        <v>127.0</v>
      </c>
      <c r="AB118" s="21">
        <v>0.9194444444444444</v>
      </c>
      <c r="AC118" s="22">
        <v>0.925</v>
      </c>
      <c r="AD118" s="18">
        <v>121.0</v>
      </c>
      <c r="AE118" s="12">
        <v>0.0375</v>
      </c>
      <c r="AF118" s="23">
        <v>0.05347222222222222</v>
      </c>
      <c r="AG118" s="11">
        <v>123.0</v>
      </c>
      <c r="AH118" s="12">
        <v>0.13819444444444445</v>
      </c>
      <c r="AI118" s="13">
        <v>0.14722222222222223</v>
      </c>
      <c r="AJ118" s="14">
        <v>120.0</v>
      </c>
      <c r="AK118" s="15">
        <v>0.2534722222222222</v>
      </c>
      <c r="AL118" s="16">
        <v>0.25625</v>
      </c>
      <c r="AM118" s="11">
        <v>114.0</v>
      </c>
      <c r="AN118" s="12">
        <v>0.3159722222222222</v>
      </c>
      <c r="AO118" s="13">
        <v>0.32430555555555557</v>
      </c>
      <c r="AP118" s="11">
        <v>109.0</v>
      </c>
      <c r="AQ118" s="12">
        <v>0.4</v>
      </c>
      <c r="AR118" s="13">
        <v>0.425</v>
      </c>
      <c r="AS118" s="11">
        <v>119.0</v>
      </c>
      <c r="AT118" s="12">
        <v>0.5395833333333333</v>
      </c>
      <c r="AU118" s="13">
        <v>0.5451388888888888</v>
      </c>
      <c r="AV118" s="11">
        <v>117.0</v>
      </c>
      <c r="AW118" s="12">
        <v>0.12013888888888889</v>
      </c>
      <c r="AX118" s="13">
        <v>0.12291666666666666</v>
      </c>
      <c r="AY118" s="34"/>
      <c r="AZ118" s="12"/>
      <c r="BA118" s="12"/>
    </row>
    <row r="119" ht="15.75" customHeight="1">
      <c r="A119" s="7"/>
      <c r="B119" s="47">
        <v>681.0</v>
      </c>
      <c r="C119" s="11">
        <v>175.0</v>
      </c>
      <c r="D119" s="12">
        <v>0.275</v>
      </c>
      <c r="E119" s="13">
        <v>0.27569444444444446</v>
      </c>
      <c r="F119" s="14">
        <v>150.0</v>
      </c>
      <c r="G119" s="15">
        <v>0.3368055555555556</v>
      </c>
      <c r="H119" s="16">
        <v>0.3368055555555556</v>
      </c>
      <c r="I119" s="11">
        <v>143.0</v>
      </c>
      <c r="J119" s="12">
        <v>0.41180555555555554</v>
      </c>
      <c r="K119" s="13">
        <v>0.4270833333333333</v>
      </c>
      <c r="L119" s="17">
        <v>156.0</v>
      </c>
      <c r="M119" s="12">
        <v>0.51875</v>
      </c>
      <c r="N119" s="12">
        <v>0.5208333333333334</v>
      </c>
      <c r="O119" s="11">
        <v>156.0</v>
      </c>
      <c r="P119" s="12">
        <v>0.5986111111111111</v>
      </c>
      <c r="Q119" s="13">
        <v>0.60625</v>
      </c>
      <c r="R119" s="18">
        <v>154.0</v>
      </c>
      <c r="S119" s="12">
        <v>0.68125</v>
      </c>
      <c r="T119" s="13">
        <v>0.6847222222222222</v>
      </c>
      <c r="U119" s="11">
        <v>153.0</v>
      </c>
      <c r="V119" s="12">
        <v>0.7395833333333334</v>
      </c>
      <c r="W119" s="13">
        <v>0.7541666666666667</v>
      </c>
      <c r="X119" s="11">
        <v>145.0</v>
      </c>
      <c r="Y119" s="19"/>
      <c r="Z119" s="13">
        <v>0.8715277777777778</v>
      </c>
      <c r="AA119" s="20">
        <v>142.0</v>
      </c>
      <c r="AB119" s="21">
        <v>0.94375</v>
      </c>
      <c r="AC119" s="22">
        <v>0.95</v>
      </c>
      <c r="AD119" s="18">
        <v>139.0</v>
      </c>
      <c r="AE119" s="12">
        <v>0.06597222222222222</v>
      </c>
      <c r="AF119" s="23">
        <v>0.09166666666666666</v>
      </c>
      <c r="AG119" s="11">
        <v>134.0</v>
      </c>
      <c r="AH119" s="12">
        <v>0.17083333333333334</v>
      </c>
      <c r="AI119" s="13">
        <v>0.175</v>
      </c>
      <c r="AJ119" s="14">
        <v>127.0</v>
      </c>
      <c r="AK119" s="15">
        <v>0.275</v>
      </c>
      <c r="AL119" s="16">
        <v>0.2875</v>
      </c>
      <c r="AM119" s="11">
        <v>121.0</v>
      </c>
      <c r="AN119" s="12">
        <v>0.33958333333333335</v>
      </c>
      <c r="AO119" s="13">
        <v>0.35347222222222224</v>
      </c>
      <c r="AP119" s="11">
        <v>119.0</v>
      </c>
      <c r="AQ119" s="12">
        <v>0.4222222222222222</v>
      </c>
      <c r="AR119" s="13">
        <v>0.42986111111111114</v>
      </c>
      <c r="AS119" s="11">
        <v>118.0</v>
      </c>
      <c r="AT119" s="12">
        <v>0.5388888888888889</v>
      </c>
      <c r="AU119" s="13">
        <v>0.5423611111111111</v>
      </c>
      <c r="AV119" s="11">
        <v>118.0</v>
      </c>
      <c r="AW119" s="12">
        <v>0.12430555555555556</v>
      </c>
      <c r="AX119" s="13">
        <v>0.12638888888888888</v>
      </c>
      <c r="AY119" s="34"/>
      <c r="AZ119" s="12"/>
      <c r="BA119" s="12"/>
    </row>
    <row r="120" ht="15.75" customHeight="1">
      <c r="A120" s="7"/>
      <c r="B120" s="47">
        <v>676.0</v>
      </c>
      <c r="C120" s="11">
        <v>130.0</v>
      </c>
      <c r="D120" s="12">
        <v>0.2708333333333333</v>
      </c>
      <c r="E120" s="13">
        <v>0.27152777777777776</v>
      </c>
      <c r="F120" s="14">
        <v>131.0</v>
      </c>
      <c r="G120" s="15">
        <v>0.3326388888888889</v>
      </c>
      <c r="H120" s="16">
        <v>0.3326388888888889</v>
      </c>
      <c r="I120" s="11">
        <v>127.0</v>
      </c>
      <c r="J120" s="12">
        <v>0.40555555555555556</v>
      </c>
      <c r="K120" s="13">
        <v>0.4076388888888889</v>
      </c>
      <c r="L120" s="17">
        <v>125.0</v>
      </c>
      <c r="M120" s="12">
        <v>0.5027777777777778</v>
      </c>
      <c r="N120" s="12">
        <v>0.5048611111111111</v>
      </c>
      <c r="O120" s="11">
        <v>132.0</v>
      </c>
      <c r="P120" s="12">
        <v>0.5805555555555556</v>
      </c>
      <c r="Q120" s="13">
        <v>0.5833333333333334</v>
      </c>
      <c r="R120" s="18">
        <v>138.0</v>
      </c>
      <c r="S120" s="12">
        <v>0.6652777777777777</v>
      </c>
      <c r="T120" s="13">
        <v>0.6673611111111111</v>
      </c>
      <c r="U120" s="11">
        <v>136.0</v>
      </c>
      <c r="V120" s="12">
        <v>0.71875</v>
      </c>
      <c r="W120" s="13">
        <v>0.7256944444444444</v>
      </c>
      <c r="X120" s="11">
        <v>127.0</v>
      </c>
      <c r="Y120" s="19"/>
      <c r="Z120" s="13">
        <v>0.8472222222222222</v>
      </c>
      <c r="AA120" s="20">
        <v>128.0</v>
      </c>
      <c r="AB120" s="21">
        <v>0.9194444444444444</v>
      </c>
      <c r="AC120" s="22">
        <v>0.9222222222222223</v>
      </c>
      <c r="AD120" s="18">
        <v>125.0</v>
      </c>
      <c r="AE120" s="12">
        <v>0.04652777777777778</v>
      </c>
      <c r="AF120" s="23">
        <v>0.05</v>
      </c>
      <c r="AG120" s="11">
        <v>121.0</v>
      </c>
      <c r="AH120" s="12">
        <v>0.13402777777777777</v>
      </c>
      <c r="AI120" s="13">
        <v>0.1361111111111111</v>
      </c>
      <c r="AJ120" s="14">
        <v>123.0</v>
      </c>
      <c r="AK120" s="15">
        <v>0.25833333333333336</v>
      </c>
      <c r="AL120" s="16">
        <v>0.2604166666666667</v>
      </c>
      <c r="AM120" s="11">
        <v>119.0</v>
      </c>
      <c r="AN120" s="12">
        <v>0.33055555555555555</v>
      </c>
      <c r="AO120" s="13">
        <v>0.33611111111111114</v>
      </c>
      <c r="AP120" s="11">
        <v>118.0</v>
      </c>
      <c r="AQ120" s="12">
        <v>0.41597222222222224</v>
      </c>
      <c r="AR120" s="13">
        <v>0.41875</v>
      </c>
      <c r="AS120" s="11">
        <v>117.0</v>
      </c>
      <c r="AT120" s="12">
        <v>0.5375</v>
      </c>
      <c r="AU120" s="13">
        <v>0.5388888888888889</v>
      </c>
      <c r="AV120" s="11">
        <v>119.0</v>
      </c>
      <c r="AW120" s="12">
        <v>0.12986111111111112</v>
      </c>
      <c r="AX120" s="13">
        <v>0.13055555555555556</v>
      </c>
      <c r="AY120" s="34"/>
      <c r="AZ120" s="12"/>
      <c r="BA120" s="12"/>
    </row>
    <row r="121" ht="15.75" customHeight="1">
      <c r="A121" s="7"/>
      <c r="B121" s="47">
        <v>501.0</v>
      </c>
      <c r="C121" s="11">
        <v>178.0</v>
      </c>
      <c r="D121" s="12">
        <v>0.2763888888888889</v>
      </c>
      <c r="E121" s="13">
        <v>0.27708333333333335</v>
      </c>
      <c r="F121" s="14">
        <v>178.0</v>
      </c>
      <c r="G121" s="15">
        <v>0.34444444444444444</v>
      </c>
      <c r="H121" s="16">
        <v>0.34444444444444444</v>
      </c>
      <c r="I121" s="11">
        <v>188.0</v>
      </c>
      <c r="J121" s="12">
        <v>0.4305555555555556</v>
      </c>
      <c r="K121" s="13">
        <v>0.4375</v>
      </c>
      <c r="L121" s="17">
        <v>170.0</v>
      </c>
      <c r="M121" s="12">
        <v>0.5305555555555556</v>
      </c>
      <c r="N121" s="12">
        <v>0.5347222222222222</v>
      </c>
      <c r="O121" s="11">
        <v>168.0</v>
      </c>
      <c r="P121" s="12">
        <v>0.6118055555555556</v>
      </c>
      <c r="Q121" s="13">
        <v>0.6173611111111111</v>
      </c>
      <c r="R121" s="18">
        <v>166.0</v>
      </c>
      <c r="S121" s="12">
        <v>0.6944444444444444</v>
      </c>
      <c r="T121" s="13">
        <v>0.6986111111111111</v>
      </c>
      <c r="U121" s="11">
        <v>165.0</v>
      </c>
      <c r="V121" s="12">
        <v>0.7506944444444444</v>
      </c>
      <c r="W121" s="13">
        <v>0.7645833333333333</v>
      </c>
      <c r="X121" s="11">
        <v>160.0</v>
      </c>
      <c r="Y121" s="19"/>
      <c r="Z121" s="13">
        <v>0.8930555555555556</v>
      </c>
      <c r="AA121" s="20">
        <v>161.0</v>
      </c>
      <c r="AB121" s="21">
        <v>0.9708333333333333</v>
      </c>
      <c r="AC121" s="22">
        <v>0.9736111111111111</v>
      </c>
      <c r="AD121" s="18">
        <v>154.0</v>
      </c>
      <c r="AE121" s="12">
        <v>0.09791666666666667</v>
      </c>
      <c r="AF121" s="23">
        <v>0.10972222222222222</v>
      </c>
      <c r="AG121" s="11">
        <v>141.0</v>
      </c>
      <c r="AH121" s="12">
        <v>0.19305555555555556</v>
      </c>
      <c r="AI121" s="13">
        <v>0.19652777777777777</v>
      </c>
      <c r="AJ121" s="14">
        <v>132.0</v>
      </c>
      <c r="AK121" s="15">
        <v>0.2965277777777778</v>
      </c>
      <c r="AL121" s="16">
        <v>0.3013888888888889</v>
      </c>
      <c r="AM121" s="11">
        <v>123.0</v>
      </c>
      <c r="AN121" s="12">
        <v>0.36180555555555555</v>
      </c>
      <c r="AO121" s="13">
        <v>0.36875</v>
      </c>
      <c r="AP121" s="11">
        <v>120.0</v>
      </c>
      <c r="AQ121" s="12">
        <v>0.43680555555555556</v>
      </c>
      <c r="AR121" s="13">
        <v>0.43819444444444444</v>
      </c>
      <c r="AS121" s="11">
        <v>120.0</v>
      </c>
      <c r="AT121" s="12">
        <v>0.5472222222222223</v>
      </c>
      <c r="AU121" s="13">
        <v>0.5506944444444445</v>
      </c>
      <c r="AV121" s="11">
        <v>120.0</v>
      </c>
      <c r="AW121" s="12">
        <v>0.1326388888888889</v>
      </c>
      <c r="AX121" s="13">
        <v>0.1361111111111111</v>
      </c>
      <c r="AY121" s="34"/>
      <c r="AZ121" s="12"/>
      <c r="BA121" s="12"/>
    </row>
    <row r="122" ht="15.75" customHeight="1">
      <c r="A122" s="7"/>
      <c r="B122" s="47">
        <v>612.0</v>
      </c>
      <c r="C122" s="11">
        <v>190.0</v>
      </c>
      <c r="D122" s="12">
        <v>0.28055555555555556</v>
      </c>
      <c r="E122" s="13">
        <v>0.28125</v>
      </c>
      <c r="F122" s="14">
        <v>15.0</v>
      </c>
      <c r="G122" s="15">
        <v>0.3013888888888889</v>
      </c>
      <c r="H122" s="16">
        <v>0.3013888888888889</v>
      </c>
      <c r="I122" s="11">
        <v>191.0</v>
      </c>
      <c r="J122" s="12">
        <v>0.4395833333333333</v>
      </c>
      <c r="K122" s="13">
        <v>0.4444444444444444</v>
      </c>
      <c r="L122" s="17">
        <v>184.0</v>
      </c>
      <c r="M122" s="12">
        <v>0.54375</v>
      </c>
      <c r="N122" s="12">
        <v>0.5458333333333333</v>
      </c>
      <c r="O122" s="11">
        <v>184.0</v>
      </c>
      <c r="P122" s="12">
        <v>0.6326388888888889</v>
      </c>
      <c r="Q122" s="13">
        <v>0.6354166666666666</v>
      </c>
      <c r="R122" s="18">
        <v>183.0</v>
      </c>
      <c r="S122" s="12">
        <v>0.7180555555555556</v>
      </c>
      <c r="T122" s="13">
        <v>0.7194444444444444</v>
      </c>
      <c r="U122" s="11">
        <v>177.0</v>
      </c>
      <c r="V122" s="12">
        <v>0.7736111111111111</v>
      </c>
      <c r="W122" s="13">
        <v>0.7819444444444444</v>
      </c>
      <c r="X122" s="11">
        <v>172.0</v>
      </c>
      <c r="Y122" s="19"/>
      <c r="Z122" s="13">
        <v>0.9493055555555555</v>
      </c>
      <c r="AA122" s="20">
        <v>173.0</v>
      </c>
      <c r="AB122" s="41"/>
      <c r="AC122" s="22">
        <v>0.025</v>
      </c>
      <c r="AD122" s="18">
        <v>156.0</v>
      </c>
      <c r="AE122" s="12">
        <v>0.11736111111111111</v>
      </c>
      <c r="AF122" s="23">
        <v>0.12083333333333333</v>
      </c>
      <c r="AG122" s="11">
        <v>144.0</v>
      </c>
      <c r="AH122" s="12">
        <v>0.1951388888888889</v>
      </c>
      <c r="AI122" s="13">
        <v>0.19722222222222222</v>
      </c>
      <c r="AJ122" s="14">
        <v>137.0</v>
      </c>
      <c r="AK122" s="15">
        <v>0.30972222222222223</v>
      </c>
      <c r="AL122" s="16">
        <v>0.3076388888888889</v>
      </c>
      <c r="AM122" s="11">
        <v>124.0</v>
      </c>
      <c r="AN122" s="12">
        <v>0.36666666666666664</v>
      </c>
      <c r="AO122" s="13">
        <v>0.3736111111111111</v>
      </c>
      <c r="AP122" s="11">
        <v>122.0</v>
      </c>
      <c r="AQ122" s="12">
        <v>0.4465277777777778</v>
      </c>
      <c r="AR122" s="13">
        <v>0.44722222222222224</v>
      </c>
      <c r="AS122" s="11">
        <v>121.0</v>
      </c>
      <c r="AT122" s="12">
        <v>0.5548611111111111</v>
      </c>
      <c r="AU122" s="13">
        <v>0.55625</v>
      </c>
      <c r="AV122" s="11">
        <v>121.0</v>
      </c>
      <c r="AW122" s="12">
        <v>0.1375</v>
      </c>
      <c r="AX122" s="13">
        <v>0.1388888888888889</v>
      </c>
      <c r="AY122" s="34"/>
      <c r="AZ122" s="12"/>
      <c r="BA122" s="12"/>
    </row>
    <row r="123" ht="15.75" customHeight="1">
      <c r="A123" s="7"/>
      <c r="B123" s="47">
        <v>673.0</v>
      </c>
      <c r="C123" s="11">
        <v>181.0</v>
      </c>
      <c r="D123" s="12">
        <v>0.2777777777777778</v>
      </c>
      <c r="E123" s="13">
        <v>0.27847222222222223</v>
      </c>
      <c r="F123" s="14">
        <v>181.0</v>
      </c>
      <c r="G123" s="15">
        <v>0.34444444444444444</v>
      </c>
      <c r="H123" s="16">
        <v>0.34444444444444444</v>
      </c>
      <c r="I123" s="11">
        <v>173.0</v>
      </c>
      <c r="J123" s="12">
        <v>0.4236111111111111</v>
      </c>
      <c r="K123" s="13">
        <v>0.43333333333333335</v>
      </c>
      <c r="L123" s="17">
        <v>165.0</v>
      </c>
      <c r="M123" s="12">
        <v>0.5284722222222222</v>
      </c>
      <c r="N123" s="12">
        <v>0.5319444444444444</v>
      </c>
      <c r="O123" s="11">
        <v>165.0</v>
      </c>
      <c r="P123" s="12">
        <v>0.6083333333333333</v>
      </c>
      <c r="Q123" s="13">
        <v>0.6125</v>
      </c>
      <c r="R123" s="18">
        <v>162.0</v>
      </c>
      <c r="S123" s="12">
        <v>0.6888888888888889</v>
      </c>
      <c r="T123" s="13">
        <v>0.6944444444444444</v>
      </c>
      <c r="U123" s="11">
        <v>160.0</v>
      </c>
      <c r="V123" s="12">
        <v>0.7472222222222222</v>
      </c>
      <c r="W123" s="13">
        <v>0.7569444444444444</v>
      </c>
      <c r="X123" s="11">
        <v>151.0</v>
      </c>
      <c r="Y123" s="19"/>
      <c r="Z123" s="13">
        <v>0.8777777777777778</v>
      </c>
      <c r="AA123" s="20">
        <v>152.0</v>
      </c>
      <c r="AB123" s="21">
        <v>0.95625</v>
      </c>
      <c r="AC123" s="22">
        <v>0.9611111111111111</v>
      </c>
      <c r="AD123" s="18">
        <v>149.0</v>
      </c>
      <c r="AE123" s="12">
        <v>0.08680555555555555</v>
      </c>
      <c r="AF123" s="23">
        <v>0.11458333333333333</v>
      </c>
      <c r="AG123" s="11">
        <v>142.0</v>
      </c>
      <c r="AH123" s="12">
        <v>0.1951388888888889</v>
      </c>
      <c r="AI123" s="13">
        <v>0.19722222222222222</v>
      </c>
      <c r="AJ123" s="14">
        <v>135.0</v>
      </c>
      <c r="AK123" s="15">
        <v>0.30277777777777776</v>
      </c>
      <c r="AL123" s="16">
        <v>0.3034722222222222</v>
      </c>
      <c r="AM123" s="11">
        <v>127.0</v>
      </c>
      <c r="AN123" s="12">
        <v>0.3701388888888889</v>
      </c>
      <c r="AO123" s="13">
        <v>0.3784722222222222</v>
      </c>
      <c r="AP123" s="11">
        <v>121.0</v>
      </c>
      <c r="AQ123" s="12">
        <v>0.4465277777777778</v>
      </c>
      <c r="AR123" s="13">
        <v>0.44722222222222224</v>
      </c>
      <c r="AS123" s="11">
        <v>122.0</v>
      </c>
      <c r="AT123" s="48" t="s">
        <v>178</v>
      </c>
      <c r="AU123" s="13"/>
      <c r="AV123" s="11"/>
      <c r="AW123" s="18"/>
      <c r="AX123" s="13"/>
      <c r="AY123" s="34"/>
      <c r="AZ123" s="12"/>
      <c r="BA123" s="12"/>
    </row>
    <row r="124" ht="15.75" customHeight="1">
      <c r="A124" s="7"/>
      <c r="B124" s="45">
        <v>590.0</v>
      </c>
      <c r="C124" s="11">
        <v>109.0</v>
      </c>
      <c r="D124" s="12">
        <v>0.26944444444444443</v>
      </c>
      <c r="E124" s="13">
        <v>0.2701388888888889</v>
      </c>
      <c r="F124" s="14">
        <v>111.0</v>
      </c>
      <c r="G124" s="15">
        <v>0.32569444444444445</v>
      </c>
      <c r="H124" s="16">
        <v>0.32569444444444445</v>
      </c>
      <c r="I124" s="11">
        <v>120.0</v>
      </c>
      <c r="J124" s="12">
        <v>0.40208333333333335</v>
      </c>
      <c r="K124" s="13">
        <v>0.4222222222222222</v>
      </c>
      <c r="L124" s="17">
        <v>119.0</v>
      </c>
      <c r="M124" s="12">
        <v>0.5</v>
      </c>
      <c r="N124" s="12">
        <v>0.5027777777777778</v>
      </c>
      <c r="O124" s="11">
        <v>116.0</v>
      </c>
      <c r="P124" s="12">
        <v>0.5777777777777777</v>
      </c>
      <c r="Q124" s="13">
        <v>0.58125</v>
      </c>
      <c r="R124" s="18">
        <v>132.0</v>
      </c>
      <c r="S124" s="12">
        <v>0.6604166666666667</v>
      </c>
      <c r="T124" s="13">
        <v>0.6638888888888889</v>
      </c>
      <c r="U124" s="11">
        <v>143.0</v>
      </c>
      <c r="V124" s="12">
        <v>0.7243055555555555</v>
      </c>
      <c r="W124" s="13">
        <v>0.7381944444444445</v>
      </c>
      <c r="X124" s="11">
        <v>131.0</v>
      </c>
      <c r="Y124" s="19"/>
      <c r="Z124" s="13">
        <v>0.8506944444444444</v>
      </c>
      <c r="AA124" s="20">
        <v>135.0</v>
      </c>
      <c r="AB124" s="21">
        <v>0.9298611111111111</v>
      </c>
      <c r="AC124" s="22">
        <v>0.9347222222222222</v>
      </c>
      <c r="AD124" s="18">
        <v>134.0</v>
      </c>
      <c r="AE124" s="12">
        <v>0.05763888888888889</v>
      </c>
      <c r="AF124" s="23">
        <v>0.08819444444444445</v>
      </c>
      <c r="AG124" s="11">
        <v>140.0</v>
      </c>
      <c r="AH124" s="12">
        <v>0.18541666666666667</v>
      </c>
      <c r="AI124" s="13">
        <v>0.18611111111111112</v>
      </c>
      <c r="AJ124" s="14">
        <v>134.0</v>
      </c>
      <c r="AK124" s="15">
        <v>0.29930555555555555</v>
      </c>
      <c r="AL124" s="16">
        <v>0.30625</v>
      </c>
      <c r="AM124" s="11">
        <v>126.0</v>
      </c>
      <c r="AN124" s="12">
        <v>0.36944444444444446</v>
      </c>
      <c r="AO124" s="13">
        <v>0.38125</v>
      </c>
      <c r="AP124" s="11">
        <v>123.0</v>
      </c>
      <c r="AQ124" s="12">
        <v>0.4465277777777778</v>
      </c>
      <c r="AR124" s="13">
        <v>0.44722222222222224</v>
      </c>
      <c r="AS124" s="11">
        <v>123.0</v>
      </c>
      <c r="AT124" s="48" t="s">
        <v>178</v>
      </c>
      <c r="AU124" s="13"/>
      <c r="AV124" s="11"/>
      <c r="AW124" s="18"/>
      <c r="AX124" s="13"/>
      <c r="AY124" s="34"/>
      <c r="AZ124" s="12"/>
      <c r="BA124" s="12"/>
    </row>
    <row r="125" ht="15.75" customHeight="1">
      <c r="A125" s="7"/>
      <c r="B125" s="45">
        <v>615.0</v>
      </c>
      <c r="C125" s="11">
        <v>48.0</v>
      </c>
      <c r="D125" s="12">
        <v>0.2611111111111111</v>
      </c>
      <c r="E125" s="13">
        <v>0.26180555555555557</v>
      </c>
      <c r="F125" s="14">
        <v>68.0</v>
      </c>
      <c r="G125" s="15">
        <v>0.3194444444444444</v>
      </c>
      <c r="H125" s="16">
        <v>0.3194444444444444</v>
      </c>
      <c r="I125" s="11">
        <v>73.0</v>
      </c>
      <c r="J125" s="12">
        <v>0.3875</v>
      </c>
      <c r="K125" s="13">
        <v>0.4013888888888889</v>
      </c>
      <c r="L125" s="17">
        <v>86.0</v>
      </c>
      <c r="M125" s="12">
        <v>0.48055555555555557</v>
      </c>
      <c r="N125" s="12">
        <v>0.4840277777777778</v>
      </c>
      <c r="O125" s="11">
        <v>97.0</v>
      </c>
      <c r="P125" s="12">
        <v>0.5597222222222222</v>
      </c>
      <c r="Q125" s="13">
        <v>0.5638888888888889</v>
      </c>
      <c r="R125" s="18">
        <v>103.0</v>
      </c>
      <c r="S125" s="12">
        <v>0.6381944444444444</v>
      </c>
      <c r="T125" s="13">
        <v>0.64375</v>
      </c>
      <c r="U125" s="11">
        <v>102.0</v>
      </c>
      <c r="V125" s="12">
        <v>0.69375</v>
      </c>
      <c r="W125" s="13">
        <v>0.70625</v>
      </c>
      <c r="X125" s="11">
        <v>116.0</v>
      </c>
      <c r="Y125" s="19"/>
      <c r="Z125" s="13">
        <v>0.8354166666666667</v>
      </c>
      <c r="AA125" s="20">
        <v>116.0</v>
      </c>
      <c r="AB125" s="21">
        <v>0.9090277777777778</v>
      </c>
      <c r="AC125" s="22">
        <v>0.9208333333333333</v>
      </c>
      <c r="AD125" s="18">
        <v>124.0</v>
      </c>
      <c r="AE125" s="12">
        <v>0.043055555555555555</v>
      </c>
      <c r="AF125" s="23">
        <v>0.059722222222222225</v>
      </c>
      <c r="AG125" s="11">
        <v>126.0</v>
      </c>
      <c r="AH125" s="12">
        <v>0.15069444444444444</v>
      </c>
      <c r="AI125" s="13">
        <v>0.1673611111111111</v>
      </c>
      <c r="AJ125" s="14">
        <v>130.0</v>
      </c>
      <c r="AK125" s="15">
        <v>0.2951388888888889</v>
      </c>
      <c r="AL125" s="16">
        <v>0.3013888888888889</v>
      </c>
      <c r="AM125" s="11">
        <v>129.0</v>
      </c>
      <c r="AN125" s="12">
        <v>0.3798611111111111</v>
      </c>
      <c r="AO125" s="13">
        <v>0.38472222222222224</v>
      </c>
      <c r="AP125" s="11">
        <v>124.0</v>
      </c>
      <c r="AQ125" s="12">
        <v>0.46875</v>
      </c>
      <c r="AR125" s="50" t="s">
        <v>178</v>
      </c>
      <c r="AS125" s="11"/>
      <c r="AT125" s="12"/>
      <c r="AU125" s="38"/>
      <c r="AV125" s="11"/>
      <c r="AW125" s="12"/>
      <c r="AX125" s="38"/>
      <c r="AY125" s="34"/>
      <c r="AZ125" s="12"/>
      <c r="BA125" s="12"/>
    </row>
    <row r="126" ht="15.75" customHeight="1">
      <c r="A126" s="7"/>
      <c r="B126" s="45">
        <v>556.0</v>
      </c>
      <c r="C126" s="11">
        <v>40.0</v>
      </c>
      <c r="D126" s="12">
        <v>0.2604166666666667</v>
      </c>
      <c r="E126" s="13">
        <v>0.26180555555555557</v>
      </c>
      <c r="F126" s="27"/>
      <c r="G126" s="28"/>
      <c r="H126" s="29"/>
      <c r="I126" s="11">
        <v>56.0</v>
      </c>
      <c r="J126" s="12">
        <v>0.3770833333333333</v>
      </c>
      <c r="K126" s="13">
        <v>0.38263888888888886</v>
      </c>
      <c r="L126" s="17">
        <v>76.0</v>
      </c>
      <c r="M126" s="12">
        <v>0.47430555555555554</v>
      </c>
      <c r="N126" s="12">
        <v>0.47638888888888886</v>
      </c>
      <c r="O126" s="11">
        <v>80.0</v>
      </c>
      <c r="P126" s="12">
        <v>0.55</v>
      </c>
      <c r="Q126" s="13">
        <v>0.5520833333333334</v>
      </c>
      <c r="R126" s="18">
        <v>92.0</v>
      </c>
      <c r="S126" s="12">
        <v>0.6284722222222222</v>
      </c>
      <c r="T126" s="13">
        <v>0.6305555555555555</v>
      </c>
      <c r="U126" s="11">
        <v>101.0</v>
      </c>
      <c r="V126" s="12">
        <v>0.6930555555555555</v>
      </c>
      <c r="W126" s="13">
        <v>0.7055555555555556</v>
      </c>
      <c r="X126" s="11">
        <v>115.0</v>
      </c>
      <c r="Y126" s="26"/>
      <c r="Z126" s="13">
        <v>0.8326388888888889</v>
      </c>
      <c r="AA126" s="20">
        <v>122.0</v>
      </c>
      <c r="AB126" s="21">
        <v>0.9152777777777777</v>
      </c>
      <c r="AC126" s="22">
        <v>0.9180555555555555</v>
      </c>
      <c r="AD126" s="18">
        <v>131.0</v>
      </c>
      <c r="AE126" s="12">
        <v>0.059027777777777776</v>
      </c>
      <c r="AF126" s="23">
        <v>0.06597222222222222</v>
      </c>
      <c r="AG126" s="11">
        <v>131.0</v>
      </c>
      <c r="AH126" s="12">
        <v>0.16458333333333333</v>
      </c>
      <c r="AI126" s="13">
        <v>0.16875</v>
      </c>
      <c r="AJ126" s="14">
        <v>138.0</v>
      </c>
      <c r="AK126" s="15">
        <v>0.31180555555555556</v>
      </c>
      <c r="AL126" s="16">
        <v>0.3138888888888889</v>
      </c>
      <c r="AM126" s="11">
        <v>130.0</v>
      </c>
      <c r="AN126" s="12">
        <v>0.3819444444444444</v>
      </c>
      <c r="AO126" s="13">
        <v>0.38333333333333336</v>
      </c>
      <c r="AP126" s="11">
        <v>125.0</v>
      </c>
      <c r="AQ126" s="12">
        <v>0.4722222222222222</v>
      </c>
      <c r="AR126" s="50" t="s">
        <v>178</v>
      </c>
      <c r="AS126" s="11"/>
      <c r="AT126" s="18"/>
      <c r="AU126" s="38"/>
      <c r="AV126" s="11"/>
      <c r="AW126" s="18"/>
      <c r="AX126" s="38"/>
      <c r="AY126" s="34"/>
      <c r="AZ126" s="12"/>
      <c r="BA126" s="12"/>
    </row>
    <row r="127" ht="15.75" customHeight="1">
      <c r="A127" s="7"/>
      <c r="B127" s="45">
        <v>701.0</v>
      </c>
      <c r="C127" s="11">
        <v>165.0</v>
      </c>
      <c r="D127" s="12">
        <v>0.2743055555555556</v>
      </c>
      <c r="E127" s="13">
        <v>0.275</v>
      </c>
      <c r="F127" s="14">
        <v>162.0</v>
      </c>
      <c r="G127" s="15">
        <v>0.3388888888888889</v>
      </c>
      <c r="H127" s="16">
        <v>0.3388888888888889</v>
      </c>
      <c r="I127" s="11">
        <v>165.0</v>
      </c>
      <c r="J127" s="12">
        <v>0.41944444444444445</v>
      </c>
      <c r="K127" s="13">
        <v>0.4222222222222222</v>
      </c>
      <c r="L127" s="17">
        <v>153.0</v>
      </c>
      <c r="M127" s="12">
        <v>0.5159722222222223</v>
      </c>
      <c r="N127" s="12">
        <v>0.5194444444444445</v>
      </c>
      <c r="O127" s="11">
        <v>157.0</v>
      </c>
      <c r="P127" s="12">
        <v>0.5986111111111111</v>
      </c>
      <c r="Q127" s="13">
        <v>0.6013888888888889</v>
      </c>
      <c r="R127" s="18">
        <v>155.0</v>
      </c>
      <c r="S127" s="12">
        <v>0.68125</v>
      </c>
      <c r="T127" s="13">
        <v>0.6847222222222222</v>
      </c>
      <c r="U127" s="11">
        <v>154.0</v>
      </c>
      <c r="V127" s="12">
        <v>0.7395833333333334</v>
      </c>
      <c r="W127" s="13">
        <v>0.7541666666666667</v>
      </c>
      <c r="X127" s="11">
        <v>146.0</v>
      </c>
      <c r="Y127" s="19"/>
      <c r="Z127" s="13">
        <v>0.8715277777777778</v>
      </c>
      <c r="AA127" s="20">
        <v>143.0</v>
      </c>
      <c r="AB127" s="21">
        <v>0.9444444444444444</v>
      </c>
      <c r="AC127" s="22">
        <v>0.95</v>
      </c>
      <c r="AD127" s="18">
        <v>140.0</v>
      </c>
      <c r="AE127" s="12">
        <v>0.06597222222222222</v>
      </c>
      <c r="AF127" s="23">
        <v>0.09027777777777778</v>
      </c>
      <c r="AG127" s="11">
        <v>133.0</v>
      </c>
      <c r="AH127" s="12">
        <v>0.17083333333333334</v>
      </c>
      <c r="AI127" s="13">
        <v>0.17430555555555555</v>
      </c>
      <c r="AJ127" s="14">
        <v>133.0</v>
      </c>
      <c r="AK127" s="15">
        <v>0.2986111111111111</v>
      </c>
      <c r="AL127" s="16">
        <v>0.3020833333333333</v>
      </c>
      <c r="AM127" s="11">
        <v>128.0</v>
      </c>
      <c r="AN127" s="12">
        <v>0.3763888888888889</v>
      </c>
      <c r="AO127" s="13">
        <v>0.3784722222222222</v>
      </c>
      <c r="AP127" s="11">
        <v>126.0</v>
      </c>
      <c r="AQ127" s="12">
        <v>0.4722222222222222</v>
      </c>
      <c r="AR127" s="50" t="s">
        <v>178</v>
      </c>
      <c r="AS127" s="11"/>
      <c r="AT127" s="18"/>
      <c r="AU127" s="38"/>
      <c r="AV127" s="11"/>
      <c r="AW127" s="18"/>
      <c r="AX127" s="38"/>
      <c r="AY127" s="34"/>
      <c r="AZ127" s="12"/>
      <c r="BA127" s="12"/>
    </row>
    <row r="128" ht="15.75" customHeight="1">
      <c r="A128" s="7"/>
      <c r="B128" s="45">
        <v>711.0</v>
      </c>
      <c r="C128" s="11">
        <v>102.0</v>
      </c>
      <c r="D128" s="12">
        <v>0.26875</v>
      </c>
      <c r="E128" s="13">
        <v>0.26944444444444443</v>
      </c>
      <c r="F128" s="14">
        <v>76.0</v>
      </c>
      <c r="G128" s="15">
        <v>0.32083333333333336</v>
      </c>
      <c r="H128" s="16">
        <v>0.32083333333333336</v>
      </c>
      <c r="I128" s="11">
        <v>59.0</v>
      </c>
      <c r="J128" s="12">
        <v>0.3798611111111111</v>
      </c>
      <c r="K128" s="13">
        <v>0.3840277777777778</v>
      </c>
      <c r="L128" s="17">
        <v>40.0</v>
      </c>
      <c r="M128" s="12">
        <v>0.45</v>
      </c>
      <c r="N128" s="12">
        <v>0.4534722222222222</v>
      </c>
      <c r="O128" s="11">
        <v>42.0</v>
      </c>
      <c r="P128" s="12">
        <v>0.5125</v>
      </c>
      <c r="Q128" s="13">
        <v>0.5194444444444445</v>
      </c>
      <c r="R128" s="18">
        <v>44.0</v>
      </c>
      <c r="S128" s="12">
        <v>0.5763888888888888</v>
      </c>
      <c r="T128" s="13">
        <v>0.5784722222222223</v>
      </c>
      <c r="U128" s="11">
        <v>40.0</v>
      </c>
      <c r="V128" s="12">
        <v>0.6138888888888889</v>
      </c>
      <c r="W128" s="13">
        <v>0.625</v>
      </c>
      <c r="X128" s="11">
        <v>41.0</v>
      </c>
      <c r="Y128" s="19"/>
      <c r="Z128" s="13">
        <v>0.7256944444444444</v>
      </c>
      <c r="AA128" s="20">
        <v>37.0</v>
      </c>
      <c r="AB128" s="21">
        <v>0.7756944444444445</v>
      </c>
      <c r="AC128" s="22">
        <v>0.7791666666666667</v>
      </c>
      <c r="AD128" s="18">
        <v>28.0</v>
      </c>
      <c r="AE128" s="12">
        <v>0.8451388888888889</v>
      </c>
      <c r="AF128" s="23">
        <v>0.8555555555555555</v>
      </c>
      <c r="AG128" s="11">
        <v>27.0</v>
      </c>
      <c r="AH128" s="12">
        <v>0.9173611111111111</v>
      </c>
      <c r="AI128" s="13">
        <v>0.9229166666666667</v>
      </c>
      <c r="AJ128" s="14">
        <v>27.0</v>
      </c>
      <c r="AK128" s="15">
        <v>0.022222222222222223</v>
      </c>
      <c r="AL128" s="16">
        <v>0.034722222222222224</v>
      </c>
      <c r="AM128" s="11">
        <v>39.0</v>
      </c>
      <c r="AN128" s="12">
        <v>0.13541666666666666</v>
      </c>
      <c r="AO128" s="50" t="s">
        <v>178</v>
      </c>
      <c r="AP128" s="11"/>
      <c r="AQ128" s="12"/>
      <c r="AR128" s="13"/>
      <c r="AS128" s="11"/>
      <c r="AT128" s="12"/>
      <c r="AU128" s="13"/>
      <c r="AV128" s="11"/>
      <c r="AW128" s="12"/>
      <c r="AX128" s="13"/>
      <c r="AY128" s="34"/>
      <c r="AZ128" s="12"/>
      <c r="BA128" s="12"/>
    </row>
    <row r="129" ht="15.75" customHeight="1">
      <c r="A129" s="7"/>
      <c r="B129" s="45">
        <v>718.0</v>
      </c>
      <c r="C129" s="11">
        <v>90.0</v>
      </c>
      <c r="D129" s="12">
        <v>0.2673611111111111</v>
      </c>
      <c r="E129" s="13">
        <v>0.26805555555555555</v>
      </c>
      <c r="F129" s="27"/>
      <c r="G129" s="28"/>
      <c r="H129" s="29"/>
      <c r="I129" s="11">
        <v>85.0</v>
      </c>
      <c r="J129" s="12">
        <v>0.3888888888888889</v>
      </c>
      <c r="K129" s="13">
        <v>0.39375</v>
      </c>
      <c r="L129" s="17">
        <v>80.0</v>
      </c>
      <c r="M129" s="12">
        <v>0.47638888888888886</v>
      </c>
      <c r="N129" s="12">
        <v>0.4791666666666667</v>
      </c>
      <c r="O129" s="11">
        <v>69.0</v>
      </c>
      <c r="P129" s="12">
        <v>0.5423611111111111</v>
      </c>
      <c r="Q129" s="13">
        <v>0.5451388888888888</v>
      </c>
      <c r="R129" s="18">
        <v>70.0</v>
      </c>
      <c r="S129" s="12">
        <v>0.6083333333333333</v>
      </c>
      <c r="T129" s="13">
        <v>0.6111111111111112</v>
      </c>
      <c r="U129" s="11">
        <v>82.0</v>
      </c>
      <c r="V129" s="12">
        <v>0.6701388888888888</v>
      </c>
      <c r="W129" s="13">
        <v>0.69375</v>
      </c>
      <c r="X129" s="11">
        <v>88.0</v>
      </c>
      <c r="Y129" s="19"/>
      <c r="Z129" s="13">
        <v>0.7951388888888888</v>
      </c>
      <c r="AA129" s="20">
        <v>89.0</v>
      </c>
      <c r="AB129" s="21">
        <v>0.8590277777777777</v>
      </c>
      <c r="AC129" s="22">
        <v>0.8645833333333334</v>
      </c>
      <c r="AD129" s="18">
        <v>86.0</v>
      </c>
      <c r="AE129" s="12">
        <v>0.96875</v>
      </c>
      <c r="AF129" s="23">
        <v>0.9916666666666667</v>
      </c>
      <c r="AG129" s="11">
        <v>86.0</v>
      </c>
      <c r="AH129" s="12">
        <v>0.06666666666666667</v>
      </c>
      <c r="AI129" s="13">
        <v>0.07222222222222222</v>
      </c>
      <c r="AJ129" s="14">
        <v>87.0</v>
      </c>
      <c r="AK129" s="15">
        <v>0.1875</v>
      </c>
      <c r="AL129" s="16">
        <v>0.1951388888888889</v>
      </c>
      <c r="AM129" s="11">
        <v>95.0</v>
      </c>
      <c r="AN129" s="12">
        <v>0.2763888888888889</v>
      </c>
      <c r="AO129" s="50" t="s">
        <v>178</v>
      </c>
      <c r="AP129" s="11"/>
      <c r="AQ129" s="12"/>
      <c r="AR129" s="13"/>
      <c r="AS129" s="11"/>
      <c r="AT129" s="12"/>
      <c r="AU129" s="13"/>
      <c r="AV129" s="11"/>
      <c r="AW129" s="12"/>
      <c r="AX129" s="13"/>
      <c r="AY129" s="34"/>
      <c r="AZ129" s="12"/>
      <c r="BA129" s="12"/>
    </row>
    <row r="130" ht="15.75" customHeight="1">
      <c r="A130" s="7"/>
      <c r="B130" s="45">
        <v>721.0</v>
      </c>
      <c r="C130" s="11">
        <v>57.0</v>
      </c>
      <c r="D130" s="12">
        <v>0.26319444444444445</v>
      </c>
      <c r="E130" s="13">
        <v>0.2638888888888889</v>
      </c>
      <c r="F130" s="14">
        <v>47.0</v>
      </c>
      <c r="G130" s="15">
        <v>0.3138888888888889</v>
      </c>
      <c r="H130" s="16">
        <v>0.3138888888888889</v>
      </c>
      <c r="I130" s="11">
        <v>39.0</v>
      </c>
      <c r="J130" s="12">
        <v>0.3715277777777778</v>
      </c>
      <c r="K130" s="13">
        <v>0.3736111111111111</v>
      </c>
      <c r="L130" s="17">
        <v>30.0</v>
      </c>
      <c r="M130" s="12">
        <v>0.44583333333333336</v>
      </c>
      <c r="N130" s="12">
        <v>0.44722222222222224</v>
      </c>
      <c r="O130" s="11">
        <v>33.0</v>
      </c>
      <c r="P130" s="12">
        <v>0.5069444444444444</v>
      </c>
      <c r="Q130" s="13">
        <v>0.5118055555555555</v>
      </c>
      <c r="R130" s="18">
        <v>40.0</v>
      </c>
      <c r="S130" s="12">
        <v>0.5708333333333333</v>
      </c>
      <c r="T130" s="13">
        <v>0.5729166666666666</v>
      </c>
      <c r="U130" s="11">
        <v>38.0</v>
      </c>
      <c r="V130" s="12">
        <v>0.6118055555555556</v>
      </c>
      <c r="W130" s="13">
        <v>0.6152777777777778</v>
      </c>
      <c r="X130" s="11">
        <v>43.0</v>
      </c>
      <c r="Y130" s="19"/>
      <c r="Z130" s="13">
        <v>0.7277777777777777</v>
      </c>
      <c r="AA130" s="20">
        <v>47.0</v>
      </c>
      <c r="AB130" s="21">
        <v>0.7944444444444444</v>
      </c>
      <c r="AC130" s="22">
        <v>0.7979166666666667</v>
      </c>
      <c r="AD130" s="18">
        <v>54.0</v>
      </c>
      <c r="AE130" s="12">
        <v>0.9104166666666667</v>
      </c>
      <c r="AF130" s="23">
        <v>0.9361111111111111</v>
      </c>
      <c r="AG130" s="11">
        <v>61.0</v>
      </c>
      <c r="AH130" s="12">
        <v>0.019444444444444445</v>
      </c>
      <c r="AI130" s="13">
        <v>0.027777777777777776</v>
      </c>
      <c r="AJ130" s="14">
        <v>81.0</v>
      </c>
      <c r="AK130" s="15">
        <v>0.17152777777777778</v>
      </c>
      <c r="AL130" s="16">
        <v>0.21666666666666667</v>
      </c>
      <c r="AM130" s="11">
        <v>110.0</v>
      </c>
      <c r="AN130" s="12">
        <v>0.3076388888888889</v>
      </c>
      <c r="AO130" s="50" t="s">
        <v>178</v>
      </c>
      <c r="AP130" s="11"/>
      <c r="AQ130" s="12"/>
      <c r="AR130" s="38"/>
      <c r="AS130" s="11"/>
      <c r="AT130" s="12"/>
      <c r="AU130" s="38"/>
      <c r="AV130" s="11"/>
      <c r="AW130" s="12"/>
      <c r="AX130" s="38"/>
      <c r="AY130" s="34"/>
      <c r="AZ130" s="12"/>
      <c r="BA130" s="12"/>
    </row>
    <row r="131" ht="15.75" customHeight="1">
      <c r="A131" s="7"/>
      <c r="B131" s="45">
        <v>520.0</v>
      </c>
      <c r="C131" s="11">
        <v>136.0</v>
      </c>
      <c r="D131" s="12">
        <v>0.27152777777777776</v>
      </c>
      <c r="E131" s="13">
        <v>0.2722222222222222</v>
      </c>
      <c r="F131" s="14">
        <v>130.0</v>
      </c>
      <c r="G131" s="15">
        <v>0.3326388888888889</v>
      </c>
      <c r="H131" s="16">
        <v>0.3326388888888889</v>
      </c>
      <c r="I131" s="11">
        <v>161.0</v>
      </c>
      <c r="J131" s="12">
        <v>0.41597222222222224</v>
      </c>
      <c r="K131" s="13">
        <v>0.4326388888888889</v>
      </c>
      <c r="L131" s="17">
        <v>172.0</v>
      </c>
      <c r="M131" s="12">
        <v>0.5319444444444444</v>
      </c>
      <c r="N131" s="12">
        <v>0.5402777777777777</v>
      </c>
      <c r="O131" s="11">
        <v>177.0</v>
      </c>
      <c r="P131" s="12">
        <v>0.61875</v>
      </c>
      <c r="Q131" s="13">
        <v>0.6236111111111111</v>
      </c>
      <c r="R131" s="18">
        <v>170.0</v>
      </c>
      <c r="S131" s="12">
        <v>0.6986111111111111</v>
      </c>
      <c r="T131" s="13">
        <v>0.7006944444444444</v>
      </c>
      <c r="U131" s="11">
        <v>169.0</v>
      </c>
      <c r="V131" s="12">
        <v>0.75625</v>
      </c>
      <c r="W131" s="13">
        <v>0.7736111111111111</v>
      </c>
      <c r="X131" s="11">
        <v>162.0</v>
      </c>
      <c r="Y131" s="26"/>
      <c r="Z131" s="13">
        <v>0.8965277777777778</v>
      </c>
      <c r="AA131" s="20">
        <v>160.0</v>
      </c>
      <c r="AB131" s="21">
        <v>0.9666666666666667</v>
      </c>
      <c r="AC131" s="22">
        <v>0.9694444444444444</v>
      </c>
      <c r="AD131" s="18">
        <v>146.0</v>
      </c>
      <c r="AE131" s="12">
        <v>0.08194444444444444</v>
      </c>
      <c r="AF131" s="23">
        <v>0.10069444444444445</v>
      </c>
      <c r="AG131" s="11">
        <v>145.0</v>
      </c>
      <c r="AH131" s="12">
        <v>0.19583333333333333</v>
      </c>
      <c r="AI131" s="13">
        <v>0.20069444444444445</v>
      </c>
      <c r="AJ131" s="14">
        <v>136.0</v>
      </c>
      <c r="AK131" s="15">
        <v>0.3055555555555556</v>
      </c>
      <c r="AL131" s="16">
        <v>0.30833333333333335</v>
      </c>
      <c r="AM131" s="11">
        <v>125.0</v>
      </c>
      <c r="AN131" s="12">
        <v>0.3680555555555556</v>
      </c>
      <c r="AO131" s="50" t="s">
        <v>178</v>
      </c>
      <c r="AP131" s="11"/>
      <c r="AQ131" s="18"/>
      <c r="AR131" s="38"/>
      <c r="AS131" s="11"/>
      <c r="AT131" s="18"/>
      <c r="AU131" s="38"/>
      <c r="AV131" s="11"/>
      <c r="AW131" s="18"/>
      <c r="AX131" s="38"/>
      <c r="AY131" s="34"/>
      <c r="AZ131" s="12"/>
      <c r="BA131" s="12"/>
    </row>
    <row r="132" ht="15.75" customHeight="1">
      <c r="A132" s="7"/>
      <c r="B132" s="45">
        <v>504.0</v>
      </c>
      <c r="C132" s="11">
        <v>15.0</v>
      </c>
      <c r="D132" s="12">
        <v>0.25555555555555554</v>
      </c>
      <c r="E132" s="13">
        <v>0.25555555555555554</v>
      </c>
      <c r="F132" s="14">
        <v>17.0</v>
      </c>
      <c r="G132" s="15">
        <v>0.3020833333333333</v>
      </c>
      <c r="H132" s="16">
        <v>0.3020833333333333</v>
      </c>
      <c r="I132" s="11">
        <v>42.0</v>
      </c>
      <c r="J132" s="12">
        <v>0.3729166666666667</v>
      </c>
      <c r="K132" s="13">
        <v>0.3784722222222222</v>
      </c>
      <c r="L132" s="17">
        <v>59.0</v>
      </c>
      <c r="M132" s="30">
        <v>0.46319444444444446</v>
      </c>
      <c r="N132" s="30">
        <v>0.46805555555555556</v>
      </c>
      <c r="O132" s="11">
        <v>72.0</v>
      </c>
      <c r="P132" s="12">
        <v>0.54375</v>
      </c>
      <c r="Q132" s="13">
        <v>0.5506944444444445</v>
      </c>
      <c r="R132" s="18">
        <v>81.0</v>
      </c>
      <c r="S132" s="12">
        <v>0.6201388888888889</v>
      </c>
      <c r="T132" s="13">
        <v>0.6256944444444444</v>
      </c>
      <c r="U132" s="11">
        <v>75.0</v>
      </c>
      <c r="V132" s="12">
        <v>0.6659722222222222</v>
      </c>
      <c r="W132" s="13">
        <v>0.6791666666666667</v>
      </c>
      <c r="X132" s="11">
        <v>98.0</v>
      </c>
      <c r="Y132" s="19"/>
      <c r="Z132" s="13">
        <v>0.8104166666666667</v>
      </c>
      <c r="AA132" s="20">
        <v>99.0</v>
      </c>
      <c r="AB132" s="21">
        <v>0.8840277777777777</v>
      </c>
      <c r="AC132" s="22">
        <v>0.8909722222222223</v>
      </c>
      <c r="AD132" s="18">
        <v>109.0</v>
      </c>
      <c r="AE132" s="12">
        <v>0.017361111111111112</v>
      </c>
      <c r="AF132" s="23">
        <v>0.03194444444444444</v>
      </c>
      <c r="AG132" s="11">
        <v>122.0</v>
      </c>
      <c r="AH132" s="12">
        <v>0.1361111111111111</v>
      </c>
      <c r="AI132" s="13">
        <v>0.14791666666666667</v>
      </c>
      <c r="AJ132" s="14">
        <v>131.0</v>
      </c>
      <c r="AK132" s="15">
        <v>0.2965277777777778</v>
      </c>
      <c r="AL132" s="16">
        <v>0.30833333333333335</v>
      </c>
      <c r="AM132" s="11">
        <v>131.0</v>
      </c>
      <c r="AN132" s="12">
        <v>0.38680555555555557</v>
      </c>
      <c r="AO132" s="50" t="s">
        <v>178</v>
      </c>
      <c r="AP132" s="11"/>
      <c r="AQ132" s="12"/>
      <c r="AR132" s="13"/>
      <c r="AS132" s="11"/>
      <c r="AT132" s="12"/>
      <c r="AU132" s="13"/>
      <c r="AV132" s="11"/>
      <c r="AW132" s="12"/>
      <c r="AX132" s="13"/>
      <c r="AY132" s="34"/>
      <c r="AZ132" s="12"/>
      <c r="BA132" s="12"/>
    </row>
    <row r="133" ht="15.75" customHeight="1">
      <c r="A133" s="7"/>
      <c r="B133" s="45">
        <v>597.0</v>
      </c>
      <c r="C133" s="11">
        <v>185.0</v>
      </c>
      <c r="D133" s="12">
        <v>0.27847222222222223</v>
      </c>
      <c r="E133" s="13">
        <v>0.2791666666666667</v>
      </c>
      <c r="F133" s="14">
        <v>186.0</v>
      </c>
      <c r="G133" s="15">
        <v>0.35138888888888886</v>
      </c>
      <c r="H133" s="16">
        <v>0.35138888888888886</v>
      </c>
      <c r="I133" s="11">
        <v>178.0</v>
      </c>
      <c r="J133" s="12">
        <v>0.425</v>
      </c>
      <c r="K133" s="13">
        <v>0.4388888888888889</v>
      </c>
      <c r="L133" s="17">
        <v>159.0</v>
      </c>
      <c r="M133" s="12">
        <v>0.5222222222222223</v>
      </c>
      <c r="N133" s="12">
        <v>0.5243055555555556</v>
      </c>
      <c r="O133" s="11">
        <v>152.0</v>
      </c>
      <c r="P133" s="12">
        <v>0.5951388888888889</v>
      </c>
      <c r="Q133" s="13">
        <v>0.5972222222222222</v>
      </c>
      <c r="R133" s="18">
        <v>145.0</v>
      </c>
      <c r="S133" s="12">
        <v>0.6673611111111111</v>
      </c>
      <c r="T133" s="13">
        <v>0.5854166666666667</v>
      </c>
      <c r="U133" s="11">
        <v>130.0</v>
      </c>
      <c r="V133" s="12">
        <v>0.7152777777777778</v>
      </c>
      <c r="W133" s="13">
        <v>0.7305555555555555</v>
      </c>
      <c r="X133" s="11">
        <v>120.0</v>
      </c>
      <c r="Y133" s="26"/>
      <c r="Z133" s="13">
        <v>0.8416666666666667</v>
      </c>
      <c r="AA133" s="20">
        <v>121.0</v>
      </c>
      <c r="AB133" s="21">
        <v>0.9138888888888889</v>
      </c>
      <c r="AC133" s="22">
        <v>0.9131944444444444</v>
      </c>
      <c r="AD133" s="18">
        <v>112.0</v>
      </c>
      <c r="AE133" s="12">
        <v>0.024305555555555556</v>
      </c>
      <c r="AF133" s="23">
        <v>0.03611111111111111</v>
      </c>
      <c r="AG133" s="11">
        <v>116.0</v>
      </c>
      <c r="AH133" s="12">
        <v>0.12222222222222222</v>
      </c>
      <c r="AI133" s="13">
        <v>0.12430555555555556</v>
      </c>
      <c r="AJ133" s="14">
        <v>126.0</v>
      </c>
      <c r="AK133" s="15">
        <v>0.27291666666666664</v>
      </c>
      <c r="AL133" s="16">
        <v>0.2791666666666667</v>
      </c>
      <c r="AM133" s="11">
        <v>132.0</v>
      </c>
      <c r="AN133" s="12">
        <v>0.39305555555555555</v>
      </c>
      <c r="AO133" s="50" t="s">
        <v>178</v>
      </c>
      <c r="AP133" s="11"/>
      <c r="AQ133" s="18"/>
      <c r="AR133" s="38"/>
      <c r="AS133" s="11"/>
      <c r="AT133" s="18"/>
      <c r="AU133" s="38"/>
      <c r="AV133" s="11"/>
      <c r="AW133" s="18"/>
      <c r="AX133" s="38"/>
      <c r="AY133" s="34"/>
      <c r="AZ133" s="12"/>
      <c r="BA133" s="12"/>
    </row>
    <row r="134" ht="15.75" customHeight="1">
      <c r="A134" s="7"/>
      <c r="B134" s="45">
        <v>521.0</v>
      </c>
      <c r="C134" s="11">
        <v>132.0</v>
      </c>
      <c r="D134" s="12">
        <v>0.27152777777777776</v>
      </c>
      <c r="E134" s="13">
        <v>0.2722222222222222</v>
      </c>
      <c r="F134" s="14">
        <v>106.0</v>
      </c>
      <c r="G134" s="15">
        <v>0.32569444444444445</v>
      </c>
      <c r="H134" s="16">
        <v>0.32569444444444445</v>
      </c>
      <c r="I134" s="11">
        <v>101.0</v>
      </c>
      <c r="J134" s="12">
        <v>0.39652777777777776</v>
      </c>
      <c r="K134" s="13">
        <v>0.4041666666666667</v>
      </c>
      <c r="L134" s="17">
        <v>117.0</v>
      </c>
      <c r="M134" s="12">
        <v>0.5</v>
      </c>
      <c r="N134" s="12">
        <v>0.50625</v>
      </c>
      <c r="O134" s="11">
        <v>129.0</v>
      </c>
      <c r="P134" s="12">
        <v>0.5798611111111112</v>
      </c>
      <c r="Q134" s="13">
        <v>0.5854166666666667</v>
      </c>
      <c r="R134" s="18">
        <v>135.0</v>
      </c>
      <c r="S134" s="12">
        <v>0.6645833333333333</v>
      </c>
      <c r="T134" s="13">
        <v>0.6729166666666667</v>
      </c>
      <c r="U134" s="11">
        <v>147.0</v>
      </c>
      <c r="V134" s="12">
        <v>0.73125</v>
      </c>
      <c r="W134" s="13">
        <v>0.7583333333333333</v>
      </c>
      <c r="X134" s="11">
        <v>156.0</v>
      </c>
      <c r="Y134" s="19"/>
      <c r="Z134" s="13">
        <v>0.88125</v>
      </c>
      <c r="AA134" s="20">
        <v>153.0</v>
      </c>
      <c r="AB134" s="21">
        <v>0.9583333333333334</v>
      </c>
      <c r="AC134" s="22">
        <v>0.9631944444444445</v>
      </c>
      <c r="AD134" s="18">
        <v>144.0</v>
      </c>
      <c r="AE134" s="12">
        <v>0.08055555555555556</v>
      </c>
      <c r="AF134" s="23">
        <v>0.09861111111111111</v>
      </c>
      <c r="AG134" s="11">
        <v>143.0</v>
      </c>
      <c r="AH134" s="12">
        <v>0.1951388888888889</v>
      </c>
      <c r="AI134" s="13">
        <v>0.19722222222222222</v>
      </c>
      <c r="AJ134" s="14">
        <v>139.0</v>
      </c>
      <c r="AK134" s="15">
        <v>0.32430555555555557</v>
      </c>
      <c r="AL134" s="16">
        <v>0.3298611111111111</v>
      </c>
      <c r="AM134" s="51" t="s">
        <v>178</v>
      </c>
      <c r="AN134" s="12"/>
      <c r="AO134" s="13"/>
      <c r="AP134" s="11"/>
      <c r="AQ134" s="12"/>
      <c r="AR134" s="13"/>
      <c r="AS134" s="11"/>
      <c r="AT134" s="12"/>
      <c r="AU134" s="13"/>
      <c r="AV134" s="11"/>
      <c r="AW134" s="12"/>
      <c r="AX134" s="13"/>
      <c r="AY134" s="34"/>
      <c r="AZ134" s="12"/>
      <c r="BA134" s="12"/>
    </row>
    <row r="135" ht="15.75" customHeight="1">
      <c r="A135" s="7"/>
      <c r="B135" s="45">
        <v>584.0</v>
      </c>
      <c r="C135" s="11">
        <v>160.0</v>
      </c>
      <c r="D135" s="12">
        <v>0.2743055555555556</v>
      </c>
      <c r="E135" s="13">
        <v>0.275</v>
      </c>
      <c r="F135" s="14">
        <v>172.0</v>
      </c>
      <c r="G135" s="15">
        <v>0.3416666666666667</v>
      </c>
      <c r="H135" s="16">
        <v>0.3416666666666667</v>
      </c>
      <c r="I135" s="11">
        <v>176.0</v>
      </c>
      <c r="J135" s="12">
        <v>0.42430555555555555</v>
      </c>
      <c r="K135" s="13">
        <v>0.43194444444444446</v>
      </c>
      <c r="L135" s="17">
        <v>166.0</v>
      </c>
      <c r="M135" s="12">
        <v>0.5284722222222222</v>
      </c>
      <c r="N135" s="12">
        <v>0.53125</v>
      </c>
      <c r="O135" s="11">
        <v>160.0</v>
      </c>
      <c r="P135" s="12">
        <v>0.6055555555555555</v>
      </c>
      <c r="Q135" s="13">
        <v>0.6097222222222223</v>
      </c>
      <c r="R135" s="18">
        <v>153.0</v>
      </c>
      <c r="S135" s="12">
        <v>0.68125</v>
      </c>
      <c r="T135" s="13">
        <v>0.6833333333333333</v>
      </c>
      <c r="U135" s="11">
        <v>149.0</v>
      </c>
      <c r="V135" s="12">
        <v>0.7375</v>
      </c>
      <c r="W135" s="13">
        <v>0.7520833333333333</v>
      </c>
      <c r="X135" s="11">
        <v>142.0</v>
      </c>
      <c r="Y135" s="19"/>
      <c r="Z135" s="13">
        <v>0.8694444444444445</v>
      </c>
      <c r="AA135" s="20">
        <v>149.0</v>
      </c>
      <c r="AB135" s="21">
        <v>0.9541666666666667</v>
      </c>
      <c r="AC135" s="22">
        <v>0.9590277777777778</v>
      </c>
      <c r="AD135" s="18">
        <v>150.0</v>
      </c>
      <c r="AE135" s="12">
        <v>0.08680555555555555</v>
      </c>
      <c r="AF135" s="23">
        <v>0.09722222222222222</v>
      </c>
      <c r="AG135" s="11">
        <v>138.0</v>
      </c>
      <c r="AH135" s="12">
        <v>0.1840277777777778</v>
      </c>
      <c r="AI135" s="13">
        <v>0.18611111111111112</v>
      </c>
      <c r="AJ135" s="14">
        <v>140.0</v>
      </c>
      <c r="AK135" s="15">
        <v>0.32430555555555557</v>
      </c>
      <c r="AL135" s="16">
        <v>0.3298611111111111</v>
      </c>
      <c r="AM135" s="51" t="s">
        <v>178</v>
      </c>
      <c r="AN135" s="18"/>
      <c r="AO135" s="38"/>
      <c r="AP135" s="11"/>
      <c r="AQ135" s="18"/>
      <c r="AR135" s="38"/>
      <c r="AS135" s="11"/>
      <c r="AT135" s="18"/>
      <c r="AU135" s="38"/>
      <c r="AV135" s="11"/>
      <c r="AW135" s="18"/>
      <c r="AX135" s="38"/>
      <c r="AY135" s="34"/>
      <c r="AZ135" s="12"/>
      <c r="BA135" s="12"/>
    </row>
    <row r="136" ht="15.75" customHeight="1">
      <c r="A136" s="7"/>
      <c r="B136" s="45">
        <v>609.0</v>
      </c>
      <c r="C136" s="32"/>
      <c r="D136" s="19"/>
      <c r="E136" s="33"/>
      <c r="F136" s="14">
        <v>11.0</v>
      </c>
      <c r="G136" s="15">
        <v>0.2986111111111111</v>
      </c>
      <c r="H136" s="16">
        <v>0.2986111111111111</v>
      </c>
      <c r="I136" s="11">
        <v>11.0</v>
      </c>
      <c r="J136" s="12">
        <v>0.3486111111111111</v>
      </c>
      <c r="K136" s="13">
        <v>0.34930555555555554</v>
      </c>
      <c r="L136" s="17">
        <v>5.0</v>
      </c>
      <c r="M136" s="30">
        <v>0.41458333333333336</v>
      </c>
      <c r="N136" s="30">
        <v>0.4152777777777778</v>
      </c>
      <c r="O136" s="11">
        <v>5.0</v>
      </c>
      <c r="P136" s="12">
        <v>0.4666666666666667</v>
      </c>
      <c r="Q136" s="13">
        <v>0.46805555555555556</v>
      </c>
      <c r="R136" s="18">
        <v>4.0</v>
      </c>
      <c r="S136" s="12">
        <v>0.5180555555555556</v>
      </c>
      <c r="T136" s="13">
        <v>0.51875</v>
      </c>
      <c r="U136" s="11">
        <v>5.0</v>
      </c>
      <c r="V136" s="12">
        <v>0.5520833333333334</v>
      </c>
      <c r="W136" s="13">
        <v>0.5548611111111111</v>
      </c>
      <c r="X136" s="11">
        <v>4.0</v>
      </c>
      <c r="Y136" s="19"/>
      <c r="Z136" s="13">
        <v>0.6409722222222223</v>
      </c>
      <c r="AA136" s="20">
        <v>4.0</v>
      </c>
      <c r="AB136" s="21">
        <v>0.6895833333333333</v>
      </c>
      <c r="AC136" s="22">
        <v>0.6909722222222222</v>
      </c>
      <c r="AD136" s="18">
        <v>4.0</v>
      </c>
      <c r="AE136" s="12">
        <v>0.7652777777777777</v>
      </c>
      <c r="AF136" s="23">
        <v>0.7666666666666667</v>
      </c>
      <c r="AG136" s="11">
        <v>5.0</v>
      </c>
      <c r="AH136" s="12">
        <v>0.8388888888888889</v>
      </c>
      <c r="AI136" s="13">
        <v>0.8458333333333333</v>
      </c>
      <c r="AJ136" s="14">
        <v>13.0</v>
      </c>
      <c r="AK136" s="15">
        <v>0.9631944444444445</v>
      </c>
      <c r="AL136" s="52" t="s">
        <v>178</v>
      </c>
      <c r="AM136" s="11"/>
      <c r="AN136" s="12"/>
      <c r="AO136" s="38"/>
      <c r="AP136" s="11"/>
      <c r="AQ136" s="12"/>
      <c r="AR136" s="38"/>
      <c r="AS136" s="11"/>
      <c r="AT136" s="12"/>
      <c r="AU136" s="38"/>
      <c r="AV136" s="11"/>
      <c r="AW136" s="12"/>
      <c r="AX136" s="38"/>
      <c r="AY136" s="34"/>
      <c r="AZ136" s="12"/>
      <c r="BA136" s="12"/>
    </row>
    <row r="137" ht="15.75" customHeight="1">
      <c r="A137" s="7"/>
      <c r="B137" s="45">
        <v>736.0</v>
      </c>
      <c r="C137" s="11">
        <v>5.0</v>
      </c>
      <c r="D137" s="12">
        <v>0.2513888888888889</v>
      </c>
      <c r="E137" s="13">
        <v>0.2520833333333333</v>
      </c>
      <c r="F137" s="14">
        <v>2.0</v>
      </c>
      <c r="G137" s="15">
        <v>0.2923611111111111</v>
      </c>
      <c r="H137" s="16">
        <v>0.2923611111111111</v>
      </c>
      <c r="I137" s="11">
        <v>1.0</v>
      </c>
      <c r="J137" s="12">
        <v>0.33958333333333335</v>
      </c>
      <c r="K137" s="13">
        <v>0.34375</v>
      </c>
      <c r="L137" s="17">
        <v>3.0</v>
      </c>
      <c r="M137" s="12">
        <v>0.40555555555555556</v>
      </c>
      <c r="N137" s="12">
        <v>0.40694444444444444</v>
      </c>
      <c r="O137" s="11">
        <v>3.0</v>
      </c>
      <c r="P137" s="12">
        <v>0.46319444444444446</v>
      </c>
      <c r="Q137" s="13">
        <v>0.46319444444444446</v>
      </c>
      <c r="R137" s="18">
        <v>6.0</v>
      </c>
      <c r="S137" s="12">
        <v>0.5194444444444445</v>
      </c>
      <c r="T137" s="13">
        <v>0.5201388888888889</v>
      </c>
      <c r="U137" s="11">
        <v>4.0</v>
      </c>
      <c r="V137" s="12">
        <v>0.55</v>
      </c>
      <c r="W137" s="13">
        <v>0.5527777777777778</v>
      </c>
      <c r="X137" s="11">
        <v>11.0</v>
      </c>
      <c r="Y137" s="19"/>
      <c r="Z137" s="13">
        <v>0.6763888888888889</v>
      </c>
      <c r="AA137" s="20">
        <v>13.0</v>
      </c>
      <c r="AB137" s="21">
        <v>0.7381944444444445</v>
      </c>
      <c r="AC137" s="22">
        <v>0.7472222222222222</v>
      </c>
      <c r="AD137" s="18">
        <v>14.0</v>
      </c>
      <c r="AE137" s="12">
        <v>0.8201388888888889</v>
      </c>
      <c r="AF137" s="47" t="s">
        <v>179</v>
      </c>
      <c r="AG137" s="11">
        <v>16.0</v>
      </c>
      <c r="AH137" s="12">
        <v>0.8951388888888889</v>
      </c>
      <c r="AI137" s="13">
        <v>0.9013888888888889</v>
      </c>
      <c r="AJ137" s="14">
        <v>25.0</v>
      </c>
      <c r="AK137" s="15">
        <v>0.0020833333333333333</v>
      </c>
      <c r="AL137" s="52" t="s">
        <v>178</v>
      </c>
      <c r="AM137" s="11"/>
      <c r="AN137" s="18"/>
      <c r="AO137" s="38"/>
      <c r="AP137" s="11"/>
      <c r="AQ137" s="18"/>
      <c r="AR137" s="38"/>
      <c r="AS137" s="11"/>
      <c r="AT137" s="18"/>
      <c r="AU137" s="38"/>
      <c r="AV137" s="11"/>
      <c r="AW137" s="18"/>
      <c r="AX137" s="38"/>
      <c r="AY137" s="34"/>
      <c r="AZ137" s="12"/>
      <c r="BA137" s="12"/>
    </row>
    <row r="138" ht="15.75" customHeight="1">
      <c r="A138" s="7"/>
      <c r="B138" s="45">
        <v>599.0</v>
      </c>
      <c r="C138" s="11">
        <v>2.0</v>
      </c>
      <c r="D138" s="12">
        <v>0.2513888888888889</v>
      </c>
      <c r="E138" s="13">
        <v>0.2520833333333333</v>
      </c>
      <c r="F138" s="14">
        <v>10.0</v>
      </c>
      <c r="G138" s="15">
        <v>0.29444444444444445</v>
      </c>
      <c r="H138" s="16">
        <v>0.29444444444444445</v>
      </c>
      <c r="I138" s="11">
        <v>10.0</v>
      </c>
      <c r="J138" s="12">
        <v>0.34652777777777777</v>
      </c>
      <c r="K138" s="13">
        <v>0.35</v>
      </c>
      <c r="L138" s="17">
        <v>10.0</v>
      </c>
      <c r="M138" s="12">
        <v>0.42083333333333334</v>
      </c>
      <c r="N138" s="12">
        <v>0.4222222222222222</v>
      </c>
      <c r="O138" s="11">
        <v>11.0</v>
      </c>
      <c r="P138" s="12">
        <v>0.48194444444444445</v>
      </c>
      <c r="Q138" s="13">
        <v>0.4826388888888889</v>
      </c>
      <c r="R138" s="18">
        <v>11.0</v>
      </c>
      <c r="S138" s="12">
        <v>0.5333333333333333</v>
      </c>
      <c r="T138" s="13">
        <v>0.5347222222222222</v>
      </c>
      <c r="U138" s="11">
        <v>10.0</v>
      </c>
      <c r="V138" s="12">
        <v>0.5729166666666666</v>
      </c>
      <c r="W138" s="13">
        <v>0.5777777777777777</v>
      </c>
      <c r="X138" s="11">
        <v>12.0</v>
      </c>
      <c r="Y138" s="26"/>
      <c r="Z138" s="13">
        <v>0.6798611111111111</v>
      </c>
      <c r="AA138" s="20">
        <v>11.0</v>
      </c>
      <c r="AB138" s="21">
        <v>0.7347222222222223</v>
      </c>
      <c r="AC138" s="22">
        <v>0.7361111111111112</v>
      </c>
      <c r="AD138" s="18">
        <v>20.0</v>
      </c>
      <c r="AE138" s="12">
        <v>0.8291666666666667</v>
      </c>
      <c r="AF138" s="23">
        <v>0.8486111111111111</v>
      </c>
      <c r="AG138" s="11">
        <v>26.0</v>
      </c>
      <c r="AH138" s="12">
        <v>0.9166666666666666</v>
      </c>
      <c r="AI138" s="13">
        <v>0.9180555555555555</v>
      </c>
      <c r="AJ138" s="14">
        <v>34.0</v>
      </c>
      <c r="AK138" s="15">
        <v>0.04097222222222222</v>
      </c>
      <c r="AL138" s="52" t="s">
        <v>178</v>
      </c>
      <c r="AM138" s="11"/>
      <c r="AN138" s="18"/>
      <c r="AO138" s="38"/>
      <c r="AP138" s="11"/>
      <c r="AQ138" s="18"/>
      <c r="AR138" s="38"/>
      <c r="AS138" s="11"/>
      <c r="AT138" s="18"/>
      <c r="AU138" s="38"/>
      <c r="AV138" s="11"/>
      <c r="AW138" s="18"/>
      <c r="AX138" s="38"/>
      <c r="AY138" s="34"/>
      <c r="AZ138" s="12"/>
      <c r="BA138" s="12"/>
    </row>
    <row r="139" ht="15.75" customHeight="1">
      <c r="A139" s="7"/>
      <c r="B139" s="45">
        <v>568.0</v>
      </c>
      <c r="C139" s="11">
        <v>30.0</v>
      </c>
      <c r="D139" s="12">
        <v>0.25972222222222224</v>
      </c>
      <c r="E139" s="13">
        <v>0.2604166666666667</v>
      </c>
      <c r="F139" s="14">
        <v>57.0</v>
      </c>
      <c r="G139" s="15">
        <v>0.3145833333333333</v>
      </c>
      <c r="H139" s="16">
        <v>0.3145833333333333</v>
      </c>
      <c r="I139" s="11">
        <v>54.0</v>
      </c>
      <c r="J139" s="12">
        <v>0.3763888888888889</v>
      </c>
      <c r="K139" s="13">
        <v>0.38263888888888886</v>
      </c>
      <c r="L139" s="17">
        <v>55.0</v>
      </c>
      <c r="M139" s="12">
        <v>0.4618055555555556</v>
      </c>
      <c r="N139" s="12">
        <v>0.4638888888888889</v>
      </c>
      <c r="O139" s="11">
        <v>57.0</v>
      </c>
      <c r="P139" s="12">
        <v>0.5277777777777778</v>
      </c>
      <c r="Q139" s="13">
        <v>0.5340277777777778</v>
      </c>
      <c r="R139" s="18">
        <v>59.0</v>
      </c>
      <c r="S139" s="12">
        <v>0.5958333333333333</v>
      </c>
      <c r="T139" s="13">
        <v>0.6006944444444444</v>
      </c>
      <c r="U139" s="11">
        <v>60.0</v>
      </c>
      <c r="V139" s="12">
        <v>0.6451388888888889</v>
      </c>
      <c r="W139" s="13">
        <v>0.65625</v>
      </c>
      <c r="X139" s="11">
        <v>60.0</v>
      </c>
      <c r="Y139" s="19"/>
      <c r="Z139" s="13">
        <v>0.7569444444444444</v>
      </c>
      <c r="AA139" s="20">
        <v>60.0</v>
      </c>
      <c r="AB139" s="21">
        <v>0.8180555555555555</v>
      </c>
      <c r="AC139" s="22">
        <v>0.8263888888888888</v>
      </c>
      <c r="AD139" s="18">
        <v>60.0</v>
      </c>
      <c r="AE139" s="12">
        <v>0.9305555555555556</v>
      </c>
      <c r="AF139" s="23">
        <v>0.9402777777777778</v>
      </c>
      <c r="AG139" s="11">
        <v>59.0</v>
      </c>
      <c r="AH139" s="12">
        <v>0.013888888888888888</v>
      </c>
      <c r="AI139" s="13">
        <v>0.02013888888888889</v>
      </c>
      <c r="AJ139" s="14">
        <v>66.0</v>
      </c>
      <c r="AK139" s="15">
        <v>0.13333333333333333</v>
      </c>
      <c r="AL139" s="52" t="s">
        <v>178</v>
      </c>
      <c r="AM139" s="11"/>
      <c r="AN139" s="12"/>
      <c r="AO139" s="13"/>
      <c r="AP139" s="11"/>
      <c r="AQ139" s="12"/>
      <c r="AR139" s="13"/>
      <c r="AS139" s="11"/>
      <c r="AT139" s="12"/>
      <c r="AU139" s="13"/>
      <c r="AV139" s="11"/>
      <c r="AW139" s="12"/>
      <c r="AX139" s="13"/>
      <c r="AY139" s="34"/>
      <c r="AZ139" s="12"/>
      <c r="BA139" s="12"/>
    </row>
    <row r="140" ht="15.75" customHeight="1">
      <c r="A140" s="7"/>
      <c r="B140" s="45">
        <v>578.0</v>
      </c>
      <c r="C140" s="11">
        <v>118.0</v>
      </c>
      <c r="D140" s="12">
        <v>0.26944444444444443</v>
      </c>
      <c r="E140" s="13">
        <v>0.2701388888888889</v>
      </c>
      <c r="F140" s="14">
        <v>122.0</v>
      </c>
      <c r="G140" s="15">
        <v>0.33125</v>
      </c>
      <c r="H140" s="16">
        <v>0.33125</v>
      </c>
      <c r="I140" s="11">
        <v>86.0</v>
      </c>
      <c r="J140" s="12">
        <v>0.3888888888888889</v>
      </c>
      <c r="K140" s="13">
        <v>0.3902777777777778</v>
      </c>
      <c r="L140" s="17">
        <v>60.0</v>
      </c>
      <c r="M140" s="12">
        <v>0.4638888888888889</v>
      </c>
      <c r="N140" s="12">
        <v>0.4673611111111111</v>
      </c>
      <c r="O140" s="11">
        <v>55.0</v>
      </c>
      <c r="P140" s="12">
        <v>0.5270833333333333</v>
      </c>
      <c r="Q140" s="13">
        <v>0.5375</v>
      </c>
      <c r="R140" s="18">
        <v>57.0</v>
      </c>
      <c r="S140" s="12">
        <v>0.5944444444444444</v>
      </c>
      <c r="T140" s="13">
        <v>0.5972222222222222</v>
      </c>
      <c r="U140" s="11">
        <v>56.0</v>
      </c>
      <c r="V140" s="12">
        <v>0.6409722222222223</v>
      </c>
      <c r="W140" s="13">
        <v>0.6555555555555556</v>
      </c>
      <c r="X140" s="11">
        <v>58.0</v>
      </c>
      <c r="Y140" s="26"/>
      <c r="Z140" s="13">
        <v>0.7569444444444444</v>
      </c>
      <c r="AA140" s="20">
        <v>56.0</v>
      </c>
      <c r="AB140" s="21">
        <v>0.8125</v>
      </c>
      <c r="AC140" s="22">
        <v>0.8215277777777777</v>
      </c>
      <c r="AD140" s="18">
        <v>53.0</v>
      </c>
      <c r="AE140" s="12">
        <v>0.9076388888888889</v>
      </c>
      <c r="AF140" s="23">
        <v>0.9270833333333334</v>
      </c>
      <c r="AG140" s="11">
        <v>52.0</v>
      </c>
      <c r="AH140" s="12">
        <v>0.9986111111111111</v>
      </c>
      <c r="AI140" s="13">
        <v>0.011111111111111112</v>
      </c>
      <c r="AJ140" s="14">
        <v>67.0</v>
      </c>
      <c r="AK140" s="15">
        <v>0.13402777777777777</v>
      </c>
      <c r="AL140" s="52" t="s">
        <v>178</v>
      </c>
      <c r="AM140" s="11"/>
      <c r="AN140" s="18"/>
      <c r="AO140" s="38"/>
      <c r="AP140" s="11"/>
      <c r="AQ140" s="18"/>
      <c r="AR140" s="38"/>
      <c r="AS140" s="11"/>
      <c r="AT140" s="18"/>
      <c r="AU140" s="38"/>
      <c r="AV140" s="11"/>
      <c r="AW140" s="18"/>
      <c r="AX140" s="38"/>
      <c r="AY140" s="34"/>
      <c r="AZ140" s="12"/>
      <c r="BA140" s="12"/>
    </row>
    <row r="141" ht="15.75" customHeight="1">
      <c r="A141" s="7"/>
      <c r="B141" s="45">
        <v>628.0</v>
      </c>
      <c r="C141" s="11">
        <v>135.0</v>
      </c>
      <c r="D141" s="12">
        <v>0.27152777777777776</v>
      </c>
      <c r="E141" s="13">
        <v>0.2722222222222222</v>
      </c>
      <c r="F141" s="14">
        <v>146.0</v>
      </c>
      <c r="G141" s="15">
        <v>0.3368055555555556</v>
      </c>
      <c r="H141" s="16">
        <v>0.3368055555555556</v>
      </c>
      <c r="I141" s="11">
        <v>157.0</v>
      </c>
      <c r="J141" s="12">
        <v>0.41458333333333336</v>
      </c>
      <c r="K141" s="13">
        <v>0.42083333333333334</v>
      </c>
      <c r="L141" s="17">
        <v>149.0</v>
      </c>
      <c r="M141" s="12">
        <v>0.5138888888888888</v>
      </c>
      <c r="N141" s="12">
        <v>0.5173611111111112</v>
      </c>
      <c r="O141" s="11">
        <v>142.0</v>
      </c>
      <c r="P141" s="12">
        <v>0.5916666666666667</v>
      </c>
      <c r="Q141" s="13">
        <v>0.5930555555555556</v>
      </c>
      <c r="R141" s="18">
        <v>146.0</v>
      </c>
      <c r="S141" s="12">
        <v>0.6680555555555555</v>
      </c>
      <c r="T141" s="13">
        <v>0.6701388888888888</v>
      </c>
      <c r="U141" s="11">
        <v>138.0</v>
      </c>
      <c r="V141" s="12">
        <v>0.7208333333333333</v>
      </c>
      <c r="W141" s="13">
        <v>0.725</v>
      </c>
      <c r="X141" s="11">
        <v>138.0</v>
      </c>
      <c r="Y141" s="19"/>
      <c r="Z141" s="13">
        <v>0.8590277777777777</v>
      </c>
      <c r="AA141" s="20">
        <v>137.0</v>
      </c>
      <c r="AB141" s="21">
        <v>0.9333333333333333</v>
      </c>
      <c r="AC141" s="22">
        <v>0.9388888888888889</v>
      </c>
      <c r="AD141" s="18">
        <v>127.0</v>
      </c>
      <c r="AE141" s="12">
        <v>0.050694444444444445</v>
      </c>
      <c r="AF141" s="23">
        <v>0.08194444444444444</v>
      </c>
      <c r="AG141" s="11">
        <v>127.0</v>
      </c>
      <c r="AH141" s="12">
        <v>0.15208333333333332</v>
      </c>
      <c r="AI141" s="13">
        <v>0.16041666666666668</v>
      </c>
      <c r="AJ141" s="14">
        <v>124.0</v>
      </c>
      <c r="AK141" s="15">
        <v>0.25972222222222224</v>
      </c>
      <c r="AL141" s="52" t="s">
        <v>178</v>
      </c>
      <c r="AM141" s="11"/>
      <c r="AN141" s="12"/>
      <c r="AO141" s="38"/>
      <c r="AP141" s="11"/>
      <c r="AQ141" s="12"/>
      <c r="AR141" s="38"/>
      <c r="AS141" s="11"/>
      <c r="AT141" s="12"/>
      <c r="AU141" s="38"/>
      <c r="AV141" s="11"/>
      <c r="AW141" s="12"/>
      <c r="AX141" s="38"/>
      <c r="AY141" s="34"/>
      <c r="AZ141" s="12"/>
      <c r="BA141" s="12"/>
    </row>
    <row r="142" ht="15.75" customHeight="1">
      <c r="A142" s="7"/>
      <c r="B142" s="45">
        <v>708.0</v>
      </c>
      <c r="C142" s="11">
        <v>62.0</v>
      </c>
      <c r="D142" s="12">
        <v>0.26319444444444445</v>
      </c>
      <c r="E142" s="13">
        <v>0.2638888888888889</v>
      </c>
      <c r="F142" s="14">
        <v>51.0</v>
      </c>
      <c r="G142" s="15">
        <v>0.3145833333333333</v>
      </c>
      <c r="H142" s="16">
        <v>0.3145833333333333</v>
      </c>
      <c r="I142" s="11">
        <v>35.0</v>
      </c>
      <c r="J142" s="12">
        <v>0.37083333333333335</v>
      </c>
      <c r="K142" s="13">
        <v>0.38055555555555554</v>
      </c>
      <c r="L142" s="17">
        <v>34.0</v>
      </c>
      <c r="M142" s="12">
        <v>0.44583333333333336</v>
      </c>
      <c r="N142" s="12">
        <v>0.4479166666666667</v>
      </c>
      <c r="O142" s="11">
        <v>29.0</v>
      </c>
      <c r="P142" s="12">
        <v>0.5034722222222222</v>
      </c>
      <c r="Q142" s="13">
        <v>0.5055555555555555</v>
      </c>
      <c r="R142" s="18">
        <v>25.0</v>
      </c>
      <c r="S142" s="12">
        <v>0.5604166666666667</v>
      </c>
      <c r="T142" s="13">
        <v>0.5625</v>
      </c>
      <c r="U142" s="11">
        <v>23.0</v>
      </c>
      <c r="V142" s="12">
        <v>0.6</v>
      </c>
      <c r="W142" s="13">
        <v>0.6041666666666666</v>
      </c>
      <c r="X142" s="11">
        <v>27.0</v>
      </c>
      <c r="Y142" s="19"/>
      <c r="Z142" s="13">
        <v>0.7013888888888888</v>
      </c>
      <c r="AA142" s="20">
        <v>28.0</v>
      </c>
      <c r="AB142" s="21">
        <v>0.7569444444444444</v>
      </c>
      <c r="AC142" s="22">
        <v>0.7611111111111111</v>
      </c>
      <c r="AD142" s="18">
        <v>30.0</v>
      </c>
      <c r="AE142" s="12">
        <v>0.8493055555555555</v>
      </c>
      <c r="AF142" s="23">
        <v>0.8625</v>
      </c>
      <c r="AG142" s="11">
        <v>29.0</v>
      </c>
      <c r="AH142" s="12">
        <v>0.9347222222222222</v>
      </c>
      <c r="AI142" s="50" t="s">
        <v>178</v>
      </c>
      <c r="AJ142" s="14"/>
      <c r="AK142" s="14"/>
      <c r="AL142" s="53"/>
      <c r="AM142" s="11"/>
      <c r="AN142" s="12"/>
      <c r="AO142" s="38"/>
      <c r="AP142" s="11"/>
      <c r="AQ142" s="12"/>
      <c r="AR142" s="38"/>
      <c r="AS142" s="11"/>
      <c r="AT142" s="12"/>
      <c r="AU142" s="38"/>
      <c r="AV142" s="11"/>
      <c r="AW142" s="12"/>
      <c r="AX142" s="38"/>
      <c r="AY142" s="34"/>
      <c r="AZ142" s="12"/>
      <c r="BA142" s="12"/>
    </row>
    <row r="143" ht="15.75" customHeight="1">
      <c r="A143" s="7"/>
      <c r="B143" s="45">
        <v>589.0</v>
      </c>
      <c r="C143" s="11">
        <v>22.0</v>
      </c>
      <c r="D143" s="12">
        <v>0.25763888888888886</v>
      </c>
      <c r="E143" s="13">
        <v>0.25833333333333336</v>
      </c>
      <c r="F143" s="14">
        <v>18.0</v>
      </c>
      <c r="G143" s="15">
        <v>0.3020833333333333</v>
      </c>
      <c r="H143" s="16">
        <v>0.3020833333333333</v>
      </c>
      <c r="I143" s="11">
        <v>22.0</v>
      </c>
      <c r="J143" s="12">
        <v>0.3638888888888889</v>
      </c>
      <c r="K143" s="13">
        <v>0.3659722222222222</v>
      </c>
      <c r="L143" s="17">
        <v>21.0</v>
      </c>
      <c r="M143" s="30">
        <v>0.4361111111111111</v>
      </c>
      <c r="N143" s="30">
        <v>0.43819444444444444</v>
      </c>
      <c r="O143" s="11">
        <v>21.0</v>
      </c>
      <c r="P143" s="12">
        <v>0.49583333333333335</v>
      </c>
      <c r="Q143" s="13">
        <v>0.5</v>
      </c>
      <c r="R143" s="18">
        <v>24.0</v>
      </c>
      <c r="S143" s="12">
        <v>0.5576388888888889</v>
      </c>
      <c r="T143" s="13">
        <v>0.5618055555555556</v>
      </c>
      <c r="U143" s="11">
        <v>27.0</v>
      </c>
      <c r="V143" s="12">
        <v>0.6020833333333333</v>
      </c>
      <c r="W143" s="13">
        <v>0.6104166666666667</v>
      </c>
      <c r="X143" s="11">
        <v>35.0</v>
      </c>
      <c r="Y143" s="19"/>
      <c r="Z143" s="13">
        <v>0.7159722222222222</v>
      </c>
      <c r="AA143" s="20">
        <v>35.0</v>
      </c>
      <c r="AB143" s="21">
        <v>0.7729166666666667</v>
      </c>
      <c r="AC143" s="22">
        <v>0.7854166666666667</v>
      </c>
      <c r="AD143" s="18">
        <v>43.0</v>
      </c>
      <c r="AE143" s="12">
        <v>0.8791666666666667</v>
      </c>
      <c r="AF143" s="63">
        <v>0.9298611111111111</v>
      </c>
      <c r="AG143" s="11">
        <v>62.0</v>
      </c>
      <c r="AH143" s="12">
        <v>0.019444444444444445</v>
      </c>
      <c r="AI143" s="50" t="s">
        <v>178</v>
      </c>
      <c r="AJ143" s="14"/>
      <c r="AK143" s="14"/>
      <c r="AL143" s="53"/>
      <c r="AM143" s="11"/>
      <c r="AN143" s="12"/>
      <c r="AO143" s="13"/>
      <c r="AP143" s="11"/>
      <c r="AQ143" s="12"/>
      <c r="AR143" s="13"/>
      <c r="AS143" s="11"/>
      <c r="AT143" s="12"/>
      <c r="AU143" s="13"/>
      <c r="AV143" s="11"/>
      <c r="AW143" s="12"/>
      <c r="AX143" s="13"/>
      <c r="AY143" s="34"/>
      <c r="AZ143" s="12"/>
      <c r="BA143" s="12"/>
    </row>
    <row r="144" ht="15.75" customHeight="1">
      <c r="A144" s="7"/>
      <c r="B144" s="45">
        <v>712.0</v>
      </c>
      <c r="C144" s="11">
        <v>47.0</v>
      </c>
      <c r="D144" s="12">
        <v>0.2611111111111111</v>
      </c>
      <c r="E144" s="13">
        <v>0.26180555555555557</v>
      </c>
      <c r="F144" s="14">
        <v>60.0</v>
      </c>
      <c r="G144" s="15">
        <v>0.3159722222222222</v>
      </c>
      <c r="H144" s="16">
        <v>0.3159722222222222</v>
      </c>
      <c r="I144" s="11">
        <v>68.0</v>
      </c>
      <c r="J144" s="12">
        <v>0.3861111111111111</v>
      </c>
      <c r="K144" s="13">
        <v>0.3875</v>
      </c>
      <c r="L144" s="17">
        <v>85.0</v>
      </c>
      <c r="M144" s="12">
        <v>0.48055555555555557</v>
      </c>
      <c r="N144" s="12">
        <v>0.48333333333333334</v>
      </c>
      <c r="O144" s="11">
        <v>96.0</v>
      </c>
      <c r="P144" s="12">
        <v>0.5597222222222222</v>
      </c>
      <c r="Q144" s="13">
        <v>0.5618055555555556</v>
      </c>
      <c r="R144" s="18">
        <v>105.0</v>
      </c>
      <c r="S144" s="12">
        <v>0.6416666666666667</v>
      </c>
      <c r="T144" s="13">
        <v>0.6444444444444445</v>
      </c>
      <c r="U144" s="32"/>
      <c r="V144" s="26"/>
      <c r="W144" s="39"/>
      <c r="X144" s="11">
        <v>111.0</v>
      </c>
      <c r="Y144" s="19"/>
      <c r="Z144" s="13">
        <v>0.8284722222222223</v>
      </c>
      <c r="AA144" s="20">
        <v>114.0</v>
      </c>
      <c r="AB144" s="21">
        <v>0.9055555555555556</v>
      </c>
      <c r="AC144" s="22">
        <v>0.9152777777777777</v>
      </c>
      <c r="AD144" s="18">
        <v>122.0</v>
      </c>
      <c r="AE144" s="12">
        <v>0.03819444444444445</v>
      </c>
      <c r="AF144" s="23">
        <v>0.05</v>
      </c>
      <c r="AG144" s="11">
        <v>120.0</v>
      </c>
      <c r="AH144" s="12">
        <v>0.13402777777777777</v>
      </c>
      <c r="AI144" s="50" t="s">
        <v>178</v>
      </c>
      <c r="AJ144" s="14"/>
      <c r="AK144" s="14"/>
      <c r="AL144" s="53"/>
      <c r="AM144" s="11"/>
      <c r="AN144" s="12"/>
      <c r="AO144" s="38"/>
      <c r="AP144" s="11"/>
      <c r="AQ144" s="12"/>
      <c r="AR144" s="38"/>
      <c r="AS144" s="11"/>
      <c r="AT144" s="12"/>
      <c r="AU144" s="38"/>
      <c r="AV144" s="11"/>
      <c r="AW144" s="12"/>
      <c r="AX144" s="38"/>
      <c r="AY144" s="34"/>
      <c r="AZ144" s="12"/>
      <c r="BA144" s="12"/>
    </row>
    <row r="145" ht="15.75" customHeight="1">
      <c r="A145" s="7"/>
      <c r="B145" s="45">
        <v>570.0</v>
      </c>
      <c r="C145" s="11">
        <v>147.0</v>
      </c>
      <c r="D145" s="12">
        <v>0.27152777777777776</v>
      </c>
      <c r="E145" s="13">
        <v>0.2722222222222222</v>
      </c>
      <c r="F145" s="14">
        <v>147.0</v>
      </c>
      <c r="G145" s="15">
        <v>0.3368055555555556</v>
      </c>
      <c r="H145" s="16">
        <v>0.3368055555555556</v>
      </c>
      <c r="I145" s="11">
        <v>144.0</v>
      </c>
      <c r="J145" s="12">
        <v>0.41180555555555554</v>
      </c>
      <c r="K145" s="13">
        <v>0.41875</v>
      </c>
      <c r="L145" s="17">
        <v>139.0</v>
      </c>
      <c r="M145" s="12">
        <v>0.50625</v>
      </c>
      <c r="N145" s="12">
        <v>0.5125</v>
      </c>
      <c r="O145" s="11">
        <v>138.0</v>
      </c>
      <c r="P145" s="12">
        <v>0.5868055555555556</v>
      </c>
      <c r="Q145" s="13">
        <v>0.5902777777777778</v>
      </c>
      <c r="R145" s="18">
        <v>129.0</v>
      </c>
      <c r="S145" s="12">
        <v>0.6576388888888889</v>
      </c>
      <c r="T145" s="13">
        <v>0.6625</v>
      </c>
      <c r="U145" s="11">
        <v>122.0</v>
      </c>
      <c r="V145" s="12">
        <v>0.7104166666666667</v>
      </c>
      <c r="W145" s="13">
        <v>0.7194444444444444</v>
      </c>
      <c r="X145" s="11">
        <v>134.0</v>
      </c>
      <c r="Y145" s="19"/>
      <c r="Z145" s="13">
        <v>0.8534722222222222</v>
      </c>
      <c r="AA145" s="20">
        <v>133.0</v>
      </c>
      <c r="AB145" s="21">
        <v>0.9291666666666667</v>
      </c>
      <c r="AC145" s="22">
        <v>0.9416666666666667</v>
      </c>
      <c r="AD145" s="18">
        <v>136.0</v>
      </c>
      <c r="AE145" s="12">
        <v>0.06041666666666667</v>
      </c>
      <c r="AF145" s="23">
        <v>0.0798611111111111</v>
      </c>
      <c r="AG145" s="11">
        <v>132.0</v>
      </c>
      <c r="AH145" s="12">
        <v>0.16805555555555557</v>
      </c>
      <c r="AI145" s="50" t="s">
        <v>178</v>
      </c>
      <c r="AJ145" s="14"/>
      <c r="AK145" s="14"/>
      <c r="AL145" s="53"/>
      <c r="AM145" s="11"/>
      <c r="AN145" s="12"/>
      <c r="AO145" s="38"/>
      <c r="AP145" s="11"/>
      <c r="AQ145" s="12"/>
      <c r="AR145" s="38"/>
      <c r="AS145" s="11"/>
      <c r="AT145" s="12"/>
      <c r="AU145" s="38"/>
      <c r="AV145" s="11"/>
      <c r="AW145" s="12"/>
      <c r="AX145" s="38"/>
      <c r="AY145" s="34"/>
      <c r="AZ145" s="12"/>
      <c r="BA145" s="12"/>
    </row>
    <row r="146" ht="15.75" customHeight="1">
      <c r="A146" s="7"/>
      <c r="B146" s="45">
        <v>627.0</v>
      </c>
      <c r="C146" s="11">
        <v>127.0</v>
      </c>
      <c r="D146" s="12">
        <v>0.2708333333333333</v>
      </c>
      <c r="E146" s="13">
        <v>0.27152777777777776</v>
      </c>
      <c r="F146" s="14">
        <v>144.0</v>
      </c>
      <c r="G146" s="15">
        <v>0.3368055555555556</v>
      </c>
      <c r="H146" s="16">
        <v>0.3368055555555556</v>
      </c>
      <c r="I146" s="11">
        <v>160.0</v>
      </c>
      <c r="J146" s="12">
        <v>0.41597222222222224</v>
      </c>
      <c r="K146" s="13">
        <v>0.4222222222222222</v>
      </c>
      <c r="L146" s="17">
        <v>150.0</v>
      </c>
      <c r="M146" s="12">
        <v>0.5145833333333333</v>
      </c>
      <c r="N146" s="12">
        <v>0.5159722222222223</v>
      </c>
      <c r="O146" s="11">
        <v>147.0</v>
      </c>
      <c r="P146" s="12">
        <v>0.5923611111111111</v>
      </c>
      <c r="Q146" s="13">
        <v>0.5944444444444444</v>
      </c>
      <c r="R146" s="18">
        <v>140.0</v>
      </c>
      <c r="S146" s="12">
        <v>0.6673611111111111</v>
      </c>
      <c r="T146" s="13">
        <v>0.6694444444444444</v>
      </c>
      <c r="U146" s="11">
        <v>140.0</v>
      </c>
      <c r="V146" s="12">
        <v>0.7229166666666667</v>
      </c>
      <c r="W146" s="13">
        <v>0.7263888888888889</v>
      </c>
      <c r="X146" s="11">
        <v>130.0</v>
      </c>
      <c r="Y146" s="19"/>
      <c r="Z146" s="13">
        <v>0.85</v>
      </c>
      <c r="AA146" s="20">
        <v>130.0</v>
      </c>
      <c r="AB146" s="21">
        <v>0.9256944444444445</v>
      </c>
      <c r="AC146" s="22">
        <v>0.9298611111111111</v>
      </c>
      <c r="AD146" s="18">
        <v>133.0</v>
      </c>
      <c r="AE146" s="12">
        <v>0.05763888888888889</v>
      </c>
      <c r="AF146" s="23">
        <v>0.06875</v>
      </c>
      <c r="AG146" s="11">
        <v>136.0</v>
      </c>
      <c r="AH146" s="12">
        <v>0.1763888888888889</v>
      </c>
      <c r="AI146" s="50" t="s">
        <v>178</v>
      </c>
      <c r="AJ146" s="14"/>
      <c r="AK146" s="14"/>
      <c r="AL146" s="53"/>
      <c r="AM146" s="11"/>
      <c r="AN146" s="12"/>
      <c r="AO146" s="38"/>
      <c r="AP146" s="11"/>
      <c r="AQ146" s="12"/>
      <c r="AR146" s="38"/>
      <c r="AS146" s="11"/>
      <c r="AT146" s="12"/>
      <c r="AU146" s="38"/>
      <c r="AV146" s="11"/>
      <c r="AW146" s="12"/>
      <c r="AX146" s="38"/>
      <c r="AY146" s="34"/>
      <c r="AZ146" s="12"/>
      <c r="BA146" s="12"/>
    </row>
    <row r="147" ht="15.75" customHeight="1">
      <c r="A147" s="7"/>
      <c r="B147" s="45">
        <v>694.0</v>
      </c>
      <c r="C147" s="11">
        <v>173.0</v>
      </c>
      <c r="D147" s="12">
        <v>0.2743055555555556</v>
      </c>
      <c r="E147" s="13">
        <v>0.275</v>
      </c>
      <c r="F147" s="14">
        <v>148.0</v>
      </c>
      <c r="G147" s="15">
        <v>0.3368055555555556</v>
      </c>
      <c r="H147" s="16">
        <v>0.3368055555555556</v>
      </c>
      <c r="I147" s="11">
        <v>145.0</v>
      </c>
      <c r="J147" s="12">
        <v>0.41180555555555554</v>
      </c>
      <c r="K147" s="13">
        <v>0.4173611111111111</v>
      </c>
      <c r="L147" s="17">
        <v>143.0</v>
      </c>
      <c r="M147" s="12">
        <v>0.5104166666666666</v>
      </c>
      <c r="N147" s="12">
        <v>0.5138888888888888</v>
      </c>
      <c r="O147" s="11">
        <v>145.0</v>
      </c>
      <c r="P147" s="12">
        <v>0.59375</v>
      </c>
      <c r="Q147" s="13">
        <v>0.5951388888888889</v>
      </c>
      <c r="R147" s="18">
        <v>147.0</v>
      </c>
      <c r="S147" s="12">
        <v>0.6701388888888888</v>
      </c>
      <c r="T147" s="13">
        <v>0.6722222222222223</v>
      </c>
      <c r="U147" s="11">
        <v>146.0</v>
      </c>
      <c r="V147" s="12">
        <v>0.73125</v>
      </c>
      <c r="W147" s="13">
        <v>0.7534722222222222</v>
      </c>
      <c r="X147" s="11">
        <v>144.0</v>
      </c>
      <c r="Y147" s="19"/>
      <c r="Z147" s="13">
        <v>0.8701388888888889</v>
      </c>
      <c r="AA147" s="20">
        <v>140.0</v>
      </c>
      <c r="AB147" s="21">
        <v>0.9423611111111111</v>
      </c>
      <c r="AC147" s="22">
        <v>0.9479166666666666</v>
      </c>
      <c r="AD147" s="18">
        <v>138.0</v>
      </c>
      <c r="AE147" s="12">
        <v>0.06527777777777778</v>
      </c>
      <c r="AF147" s="23">
        <v>0.08958333333333333</v>
      </c>
      <c r="AG147" s="11">
        <v>137.0</v>
      </c>
      <c r="AH147" s="12">
        <v>0.1840277777777778</v>
      </c>
      <c r="AI147" s="50" t="s">
        <v>178</v>
      </c>
      <c r="AJ147" s="14"/>
      <c r="AK147" s="14"/>
      <c r="AL147" s="53"/>
      <c r="AM147" s="11"/>
      <c r="AN147" s="12"/>
      <c r="AO147" s="38"/>
      <c r="AP147" s="11"/>
      <c r="AQ147" s="12"/>
      <c r="AR147" s="38"/>
      <c r="AS147" s="11"/>
      <c r="AT147" s="12"/>
      <c r="AU147" s="38"/>
      <c r="AV147" s="11"/>
      <c r="AW147" s="12"/>
      <c r="AX147" s="38"/>
      <c r="AY147" s="34"/>
      <c r="AZ147" s="12"/>
      <c r="BA147" s="12"/>
    </row>
    <row r="148" ht="15.75" customHeight="1">
      <c r="A148" s="7"/>
      <c r="B148" s="45">
        <v>680.0</v>
      </c>
      <c r="C148" s="11">
        <v>191.0</v>
      </c>
      <c r="D148" s="12">
        <v>0.28055555555555556</v>
      </c>
      <c r="E148" s="13">
        <v>0.28125</v>
      </c>
      <c r="F148" s="14">
        <v>177.0</v>
      </c>
      <c r="G148" s="15">
        <v>0.34444444444444444</v>
      </c>
      <c r="H148" s="16">
        <v>0.34444444444444444</v>
      </c>
      <c r="I148" s="11">
        <v>179.0</v>
      </c>
      <c r="J148" s="12">
        <v>0.425</v>
      </c>
      <c r="K148" s="13">
        <v>0.4388888888888889</v>
      </c>
      <c r="L148" s="17">
        <v>178.0</v>
      </c>
      <c r="M148" s="12">
        <v>0.5375</v>
      </c>
      <c r="N148" s="12">
        <v>0.5416666666666666</v>
      </c>
      <c r="O148" s="11">
        <v>173.0</v>
      </c>
      <c r="P148" s="12">
        <v>0.6166666666666667</v>
      </c>
      <c r="Q148" s="13">
        <v>0.6222222222222222</v>
      </c>
      <c r="R148" s="18">
        <v>168.0</v>
      </c>
      <c r="S148" s="12">
        <v>0.6958333333333333</v>
      </c>
      <c r="T148" s="13">
        <v>0.6993055555555555</v>
      </c>
      <c r="U148" s="11">
        <v>164.0</v>
      </c>
      <c r="V148" s="12">
        <v>0.75</v>
      </c>
      <c r="W148" s="13">
        <v>0.7541666666666667</v>
      </c>
      <c r="X148" s="11">
        <v>154.0</v>
      </c>
      <c r="Y148" s="19"/>
      <c r="Z148" s="13">
        <v>0.8805555555555555</v>
      </c>
      <c r="AA148" s="20">
        <v>151.0</v>
      </c>
      <c r="AB148" s="21">
        <v>0.95625</v>
      </c>
      <c r="AC148" s="22">
        <v>0.9611111111111111</v>
      </c>
      <c r="AD148" s="18">
        <v>147.0</v>
      </c>
      <c r="AE148" s="12">
        <v>0.08333333333333333</v>
      </c>
      <c r="AF148" s="23">
        <v>0.10416666666666667</v>
      </c>
      <c r="AG148" s="11">
        <v>147.0</v>
      </c>
      <c r="AH148" s="12">
        <v>0.2013888888888889</v>
      </c>
      <c r="AI148" s="50" t="s">
        <v>178</v>
      </c>
      <c r="AJ148" s="14"/>
      <c r="AK148" s="14"/>
      <c r="AL148" s="53"/>
      <c r="AM148" s="11"/>
      <c r="AN148" s="18"/>
      <c r="AO148" s="38"/>
      <c r="AP148" s="11"/>
      <c r="AQ148" s="18"/>
      <c r="AR148" s="38"/>
      <c r="AS148" s="11"/>
      <c r="AT148" s="18"/>
      <c r="AU148" s="38"/>
      <c r="AV148" s="11"/>
      <c r="AW148" s="18"/>
      <c r="AX148" s="38"/>
      <c r="AY148" s="34"/>
      <c r="AZ148" s="12"/>
      <c r="BA148" s="12"/>
    </row>
    <row r="149" ht="15.75" customHeight="1">
      <c r="A149" s="7"/>
      <c r="B149" s="45">
        <v>535.0</v>
      </c>
      <c r="C149" s="11">
        <v>52.0</v>
      </c>
      <c r="D149" s="12">
        <v>0.26319444444444445</v>
      </c>
      <c r="E149" s="13">
        <v>0.2638888888888889</v>
      </c>
      <c r="F149" s="14">
        <v>62.0</v>
      </c>
      <c r="G149" s="15">
        <v>0.3173611111111111</v>
      </c>
      <c r="H149" s="16">
        <v>0.3173611111111111</v>
      </c>
      <c r="I149" s="11">
        <v>79.0</v>
      </c>
      <c r="J149" s="12">
        <v>0.38819444444444445</v>
      </c>
      <c r="K149" s="13">
        <v>0.4</v>
      </c>
      <c r="L149" s="17">
        <v>101.0</v>
      </c>
      <c r="M149" s="12">
        <v>0.4888888888888889</v>
      </c>
      <c r="N149" s="12">
        <v>0.49583333333333335</v>
      </c>
      <c r="O149" s="11">
        <v>111.0</v>
      </c>
      <c r="P149" s="12">
        <v>0.5729166666666666</v>
      </c>
      <c r="Q149" s="13">
        <v>0.58125</v>
      </c>
      <c r="R149" s="18">
        <v>123.0</v>
      </c>
      <c r="S149" s="12">
        <v>0.65625</v>
      </c>
      <c r="T149" s="13">
        <v>0.6638888888888889</v>
      </c>
      <c r="U149" s="11">
        <v>132.0</v>
      </c>
      <c r="V149" s="12">
        <v>0.71875</v>
      </c>
      <c r="W149" s="13">
        <v>0.7305555555555555</v>
      </c>
      <c r="X149" s="11">
        <v>136.0</v>
      </c>
      <c r="Y149" s="19"/>
      <c r="Z149" s="13">
        <v>0.85625</v>
      </c>
      <c r="AA149" s="20">
        <v>134.0</v>
      </c>
      <c r="AB149" s="21">
        <v>0.9298611111111111</v>
      </c>
      <c r="AC149" s="22">
        <v>0.9388888888888889</v>
      </c>
      <c r="AD149" s="18">
        <v>129.0</v>
      </c>
      <c r="AE149" s="12">
        <v>0.05555555555555555</v>
      </c>
      <c r="AF149" s="23">
        <v>0.07916666666666666</v>
      </c>
      <c r="AG149" s="11">
        <v>148.0</v>
      </c>
      <c r="AH149" s="12">
        <v>0.20277777777777778</v>
      </c>
      <c r="AI149" s="50" t="s">
        <v>178</v>
      </c>
      <c r="AJ149" s="14"/>
      <c r="AK149" s="14"/>
      <c r="AL149" s="53"/>
      <c r="AM149" s="11"/>
      <c r="AN149" s="12"/>
      <c r="AO149" s="38"/>
      <c r="AP149" s="11"/>
      <c r="AQ149" s="12"/>
      <c r="AR149" s="38"/>
      <c r="AS149" s="11"/>
      <c r="AT149" s="12"/>
      <c r="AU149" s="38"/>
      <c r="AV149" s="11"/>
      <c r="AW149" s="12"/>
      <c r="AX149" s="38"/>
      <c r="AY149" s="34"/>
      <c r="AZ149" s="12"/>
      <c r="BA149" s="12"/>
    </row>
    <row r="150" ht="15.75" customHeight="1">
      <c r="A150" s="7"/>
      <c r="B150" s="45">
        <v>733.0</v>
      </c>
      <c r="C150" s="11">
        <v>110.0</v>
      </c>
      <c r="D150" s="12">
        <v>0.26944444444444443</v>
      </c>
      <c r="E150" s="13">
        <v>0.2701388888888889</v>
      </c>
      <c r="F150" s="14">
        <v>126.0</v>
      </c>
      <c r="G150" s="15">
        <v>0.33194444444444443</v>
      </c>
      <c r="H150" s="16">
        <v>0.33194444444444443</v>
      </c>
      <c r="I150" s="11">
        <v>141.0</v>
      </c>
      <c r="J150" s="12">
        <v>0.4097222222222222</v>
      </c>
      <c r="K150" s="13">
        <v>0.425</v>
      </c>
      <c r="L150" s="17">
        <v>152.0</v>
      </c>
      <c r="M150" s="12">
        <v>0.5152777777777777</v>
      </c>
      <c r="N150" s="12">
        <v>0.5222222222222223</v>
      </c>
      <c r="O150" s="11">
        <v>153.0</v>
      </c>
      <c r="P150" s="12">
        <v>0.5972222222222222</v>
      </c>
      <c r="Q150" s="13">
        <v>0.6104166666666667</v>
      </c>
      <c r="R150" s="18">
        <v>158.0</v>
      </c>
      <c r="S150" s="12">
        <v>0.6854166666666667</v>
      </c>
      <c r="T150" s="13">
        <v>0.6888888888888889</v>
      </c>
      <c r="U150" s="11">
        <v>159.0</v>
      </c>
      <c r="V150" s="12">
        <v>0.7465277777777778</v>
      </c>
      <c r="W150" s="13">
        <v>0.7638888888888888</v>
      </c>
      <c r="X150" s="11">
        <v>158.0</v>
      </c>
      <c r="Y150" s="19"/>
      <c r="Z150" s="13">
        <v>0.8875</v>
      </c>
      <c r="AA150" s="20">
        <v>158.0</v>
      </c>
      <c r="AB150" s="21">
        <v>0.9652777777777778</v>
      </c>
      <c r="AC150" s="22">
        <v>0.9701388888888889</v>
      </c>
      <c r="AD150" s="18">
        <v>151.0</v>
      </c>
      <c r="AE150" s="12">
        <v>0.0875</v>
      </c>
      <c r="AF150" s="23">
        <v>0.10902777777777778</v>
      </c>
      <c r="AG150" s="11">
        <v>149.0</v>
      </c>
      <c r="AH150" s="12">
        <v>0.2222222222222222</v>
      </c>
      <c r="AI150" s="50" t="s">
        <v>178</v>
      </c>
      <c r="AJ150" s="14"/>
      <c r="AK150" s="14"/>
      <c r="AL150" s="53"/>
      <c r="AM150" s="11"/>
      <c r="AN150" s="12"/>
      <c r="AO150" s="13"/>
      <c r="AP150" s="11"/>
      <c r="AQ150" s="12"/>
      <c r="AR150" s="13"/>
      <c r="AS150" s="11"/>
      <c r="AT150" s="12"/>
      <c r="AU150" s="13"/>
      <c r="AV150" s="11"/>
      <c r="AW150" s="12"/>
      <c r="AX150" s="13"/>
      <c r="AY150" s="34"/>
      <c r="AZ150" s="12"/>
      <c r="BA150" s="12"/>
    </row>
    <row r="151" ht="15.75" customHeight="1">
      <c r="A151" s="7"/>
      <c r="B151" s="45">
        <v>623.0</v>
      </c>
      <c r="C151" s="11">
        <v>51.0</v>
      </c>
      <c r="D151" s="12">
        <v>0.2625</v>
      </c>
      <c r="E151" s="13">
        <v>0.26319444444444445</v>
      </c>
      <c r="F151" s="14">
        <v>58.0</v>
      </c>
      <c r="G151" s="15">
        <v>0.3145833333333333</v>
      </c>
      <c r="H151" s="16">
        <v>0.3145833333333333</v>
      </c>
      <c r="I151" s="11">
        <v>37.0</v>
      </c>
      <c r="J151" s="12">
        <v>0.37083333333333335</v>
      </c>
      <c r="K151" s="13">
        <v>0.3736111111111111</v>
      </c>
      <c r="L151" s="17">
        <v>33.0</v>
      </c>
      <c r="M151" s="12">
        <v>0.44583333333333336</v>
      </c>
      <c r="N151" s="12">
        <v>0.44722222222222224</v>
      </c>
      <c r="O151" s="11">
        <v>34.0</v>
      </c>
      <c r="P151" s="12">
        <v>0.5069444444444444</v>
      </c>
      <c r="Q151" s="13">
        <v>0.5118055555555555</v>
      </c>
      <c r="R151" s="18">
        <v>30.0</v>
      </c>
      <c r="S151" s="12">
        <v>0.5645833333333333</v>
      </c>
      <c r="T151" s="13">
        <v>0.5666666666666667</v>
      </c>
      <c r="U151" s="11">
        <v>37.0</v>
      </c>
      <c r="V151" s="12">
        <v>0.6118055555555556</v>
      </c>
      <c r="W151" s="13">
        <v>0.6118055555555556</v>
      </c>
      <c r="X151" s="11">
        <v>28.0</v>
      </c>
      <c r="Y151" s="19"/>
      <c r="Z151" s="13">
        <v>0.7020833333333333</v>
      </c>
      <c r="AA151" s="20">
        <v>29.0</v>
      </c>
      <c r="AB151" s="21">
        <v>0.7631944444444444</v>
      </c>
      <c r="AC151" s="22">
        <v>0.7659722222222223</v>
      </c>
      <c r="AD151" s="18">
        <v>31.0</v>
      </c>
      <c r="AE151" s="12">
        <v>0.8541666666666666</v>
      </c>
      <c r="AF151" s="45" t="s">
        <v>178</v>
      </c>
      <c r="AG151" s="11"/>
      <c r="AH151" s="12"/>
      <c r="AI151" s="38"/>
      <c r="AJ151" s="14"/>
      <c r="AK151" s="14"/>
      <c r="AL151" s="53"/>
      <c r="AM151" s="11"/>
      <c r="AN151" s="12"/>
      <c r="AO151" s="38"/>
      <c r="AP151" s="11"/>
      <c r="AQ151" s="12"/>
      <c r="AR151" s="38"/>
      <c r="AS151" s="11"/>
      <c r="AT151" s="12"/>
      <c r="AU151" s="38"/>
      <c r="AV151" s="11"/>
      <c r="AW151" s="12"/>
      <c r="AX151" s="38"/>
      <c r="AY151" s="34"/>
      <c r="AZ151" s="12"/>
      <c r="BA151" s="12"/>
    </row>
    <row r="152" ht="15.75" customHeight="1">
      <c r="A152" s="7"/>
      <c r="B152" s="45">
        <v>704.0</v>
      </c>
      <c r="C152" s="11">
        <v>131.0</v>
      </c>
      <c r="D152" s="12">
        <v>0.2708333333333333</v>
      </c>
      <c r="E152" s="13">
        <v>0.27152777777777776</v>
      </c>
      <c r="F152" s="14">
        <v>132.0</v>
      </c>
      <c r="G152" s="15">
        <v>0.33402777777777776</v>
      </c>
      <c r="H152" s="16">
        <v>0.33402777777777776</v>
      </c>
      <c r="I152" s="11">
        <v>122.0</v>
      </c>
      <c r="J152" s="12">
        <v>0.40347222222222223</v>
      </c>
      <c r="K152" s="13">
        <v>0.4048611111111111</v>
      </c>
      <c r="L152" s="17">
        <v>102.0</v>
      </c>
      <c r="M152" s="12">
        <v>0.4895833333333333</v>
      </c>
      <c r="N152" s="12">
        <v>0.4909722222222222</v>
      </c>
      <c r="O152" s="11">
        <v>99.0</v>
      </c>
      <c r="P152" s="12">
        <v>0.5625</v>
      </c>
      <c r="Q152" s="13">
        <v>0.5638888888888889</v>
      </c>
      <c r="R152" s="18">
        <v>99.0</v>
      </c>
      <c r="S152" s="12">
        <v>0.6354166666666666</v>
      </c>
      <c r="T152" s="13">
        <v>0.6361111111111111</v>
      </c>
      <c r="U152" s="11">
        <v>103.0</v>
      </c>
      <c r="V152" s="12">
        <v>0.6944444444444444</v>
      </c>
      <c r="W152" s="13">
        <v>0.70625</v>
      </c>
      <c r="X152" s="11">
        <v>96.0</v>
      </c>
      <c r="Y152" s="19"/>
      <c r="Z152" s="13">
        <v>0.8055555555555556</v>
      </c>
      <c r="AA152" s="20">
        <v>102.0</v>
      </c>
      <c r="AB152" s="21">
        <v>0.8861111111111111</v>
      </c>
      <c r="AC152" s="22">
        <v>0.8881944444444444</v>
      </c>
      <c r="AD152" s="18">
        <v>118.0</v>
      </c>
      <c r="AE152" s="12">
        <v>0.02847222222222222</v>
      </c>
      <c r="AF152" s="45" t="s">
        <v>178</v>
      </c>
      <c r="AG152" s="11"/>
      <c r="AH152" s="18"/>
      <c r="AI152" s="38"/>
      <c r="AJ152" s="14"/>
      <c r="AK152" s="14"/>
      <c r="AL152" s="53"/>
      <c r="AM152" s="11"/>
      <c r="AN152" s="18"/>
      <c r="AO152" s="38"/>
      <c r="AP152" s="11"/>
      <c r="AQ152" s="18"/>
      <c r="AR152" s="38"/>
      <c r="AS152" s="11"/>
      <c r="AT152" s="18"/>
      <c r="AU152" s="38"/>
      <c r="AV152" s="11"/>
      <c r="AW152" s="18"/>
      <c r="AX152" s="38"/>
      <c r="AY152" s="34"/>
      <c r="AZ152" s="12"/>
      <c r="BA152" s="12"/>
    </row>
    <row r="153" ht="15.75" customHeight="1">
      <c r="A153" s="7"/>
      <c r="B153" s="45">
        <v>643.0</v>
      </c>
      <c r="C153" s="11">
        <v>66.0</v>
      </c>
      <c r="D153" s="12">
        <v>0.26319444444444445</v>
      </c>
      <c r="E153" s="13">
        <v>0.2638888888888889</v>
      </c>
      <c r="F153" s="14">
        <v>84.0</v>
      </c>
      <c r="G153" s="15">
        <v>0.3229166666666667</v>
      </c>
      <c r="H153" s="16">
        <v>0.3229166666666667</v>
      </c>
      <c r="I153" s="11">
        <v>106.0</v>
      </c>
      <c r="J153" s="12">
        <v>0.3972222222222222</v>
      </c>
      <c r="K153" s="13">
        <v>0.40347222222222223</v>
      </c>
      <c r="L153" s="17">
        <v>106.0</v>
      </c>
      <c r="M153" s="12">
        <v>0.49166666666666664</v>
      </c>
      <c r="N153" s="12">
        <v>0.49583333333333335</v>
      </c>
      <c r="O153" s="11">
        <v>103.0</v>
      </c>
      <c r="P153" s="12">
        <v>0.5680555555555555</v>
      </c>
      <c r="Q153" s="13">
        <v>0.5722222222222222</v>
      </c>
      <c r="R153" s="18">
        <v>108.0</v>
      </c>
      <c r="S153" s="12">
        <v>0.6465277777777778</v>
      </c>
      <c r="T153" s="13">
        <v>0.65</v>
      </c>
      <c r="U153" s="11">
        <v>112.0</v>
      </c>
      <c r="V153" s="12">
        <v>0.7</v>
      </c>
      <c r="W153" s="13">
        <v>0.7180555555555556</v>
      </c>
      <c r="X153" s="11">
        <v>119.0</v>
      </c>
      <c r="Y153" s="19"/>
      <c r="Z153" s="13">
        <v>0.8409722222222222</v>
      </c>
      <c r="AA153" s="20">
        <v>126.0</v>
      </c>
      <c r="AB153" s="21">
        <v>0.9180555555555555</v>
      </c>
      <c r="AC153" s="22">
        <v>0.9215277777777777</v>
      </c>
      <c r="AD153" s="18">
        <v>128.0</v>
      </c>
      <c r="AE153" s="12">
        <v>0.05555555555555555</v>
      </c>
      <c r="AF153" s="45" t="s">
        <v>178</v>
      </c>
      <c r="AG153" s="11"/>
      <c r="AH153" s="12"/>
      <c r="AI153" s="38"/>
      <c r="AJ153" s="14"/>
      <c r="AK153" s="14"/>
      <c r="AL153" s="53"/>
      <c r="AM153" s="11"/>
      <c r="AN153" s="12"/>
      <c r="AO153" s="38"/>
      <c r="AP153" s="11"/>
      <c r="AQ153" s="12"/>
      <c r="AR153" s="38"/>
      <c r="AS153" s="11"/>
      <c r="AT153" s="12"/>
      <c r="AU153" s="38"/>
      <c r="AV153" s="11"/>
      <c r="AW153" s="12"/>
      <c r="AX153" s="38"/>
      <c r="AY153" s="34"/>
      <c r="AZ153" s="12"/>
      <c r="BA153" s="12"/>
    </row>
    <row r="154" ht="15.75" customHeight="1">
      <c r="A154" s="7"/>
      <c r="B154" s="45">
        <v>717.0</v>
      </c>
      <c r="C154" s="11">
        <v>116.0</v>
      </c>
      <c r="D154" s="12">
        <v>0.26944444444444443</v>
      </c>
      <c r="E154" s="13">
        <v>0.2701388888888889</v>
      </c>
      <c r="F154" s="27"/>
      <c r="G154" s="28"/>
      <c r="H154" s="29"/>
      <c r="I154" s="11">
        <v>113.0</v>
      </c>
      <c r="J154" s="12">
        <v>0.40069444444444446</v>
      </c>
      <c r="K154" s="13">
        <v>0.4083333333333333</v>
      </c>
      <c r="L154" s="17">
        <v>110.0</v>
      </c>
      <c r="M154" s="12">
        <v>0.49722222222222223</v>
      </c>
      <c r="N154" s="12">
        <v>0.4986111111111111</v>
      </c>
      <c r="O154" s="11">
        <v>109.0</v>
      </c>
      <c r="P154" s="12">
        <v>0.5715277777777777</v>
      </c>
      <c r="Q154" s="13">
        <v>0.5736111111111111</v>
      </c>
      <c r="R154" s="18">
        <v>107.0</v>
      </c>
      <c r="S154" s="12">
        <v>0.64375</v>
      </c>
      <c r="T154" s="13">
        <v>0.6465277777777778</v>
      </c>
      <c r="U154" s="11">
        <v>110.0</v>
      </c>
      <c r="V154" s="12">
        <v>0.6993055555555555</v>
      </c>
      <c r="W154" s="13">
        <v>0.7125</v>
      </c>
      <c r="X154" s="11">
        <v>128.0</v>
      </c>
      <c r="Y154" s="19"/>
      <c r="Z154" s="13">
        <v>0.8479166666666667</v>
      </c>
      <c r="AA154" s="20">
        <v>131.0</v>
      </c>
      <c r="AB154" s="21">
        <v>0.9256944444444445</v>
      </c>
      <c r="AC154" s="22">
        <v>0.9354166666666667</v>
      </c>
      <c r="AD154" s="18">
        <v>137.0</v>
      </c>
      <c r="AE154" s="12">
        <v>0.0625</v>
      </c>
      <c r="AF154" s="45" t="s">
        <v>178</v>
      </c>
      <c r="AG154" s="11"/>
      <c r="AH154" s="18"/>
      <c r="AI154" s="38"/>
      <c r="AJ154" s="14"/>
      <c r="AK154" s="14"/>
      <c r="AL154" s="53"/>
      <c r="AM154" s="11"/>
      <c r="AN154" s="12"/>
      <c r="AO154" s="13"/>
      <c r="AP154" s="11"/>
      <c r="AQ154" s="12"/>
      <c r="AR154" s="13"/>
      <c r="AS154" s="11"/>
      <c r="AT154" s="12"/>
      <c r="AU154" s="13"/>
      <c r="AV154" s="11"/>
      <c r="AW154" s="12"/>
      <c r="AX154" s="13"/>
      <c r="AY154" s="34"/>
      <c r="AZ154" s="12"/>
      <c r="BA154" s="12"/>
    </row>
    <row r="155" ht="15.75" customHeight="1">
      <c r="A155" s="7"/>
      <c r="B155" s="45">
        <v>723.0</v>
      </c>
      <c r="C155" s="11">
        <v>162.0</v>
      </c>
      <c r="D155" s="12">
        <v>0.2743055555555556</v>
      </c>
      <c r="E155" s="13">
        <v>0.275</v>
      </c>
      <c r="F155" s="14">
        <v>145.0</v>
      </c>
      <c r="G155" s="15">
        <v>0.3368055555555556</v>
      </c>
      <c r="H155" s="16">
        <v>0.3368055555555556</v>
      </c>
      <c r="I155" s="11">
        <v>137.0</v>
      </c>
      <c r="J155" s="12">
        <v>0.4083333333333333</v>
      </c>
      <c r="K155" s="13">
        <v>0.4215277777777778</v>
      </c>
      <c r="L155" s="17">
        <v>135.0</v>
      </c>
      <c r="M155" s="12">
        <v>0.5055555555555555</v>
      </c>
      <c r="N155" s="12">
        <v>0.5097222222222222</v>
      </c>
      <c r="O155" s="11">
        <v>133.0</v>
      </c>
      <c r="P155" s="12">
        <v>0.5805555555555556</v>
      </c>
      <c r="Q155" s="13">
        <v>0.5861111111111111</v>
      </c>
      <c r="R155" s="18">
        <v>139.0</v>
      </c>
      <c r="S155" s="12">
        <v>0.6652777777777777</v>
      </c>
      <c r="T155" s="13">
        <v>0.6701388888888888</v>
      </c>
      <c r="U155" s="11">
        <v>142.0</v>
      </c>
      <c r="V155" s="12">
        <v>0.7243055555555555</v>
      </c>
      <c r="W155" s="13">
        <v>0.7361111111111112</v>
      </c>
      <c r="X155" s="11">
        <v>137.0</v>
      </c>
      <c r="Y155" s="19"/>
      <c r="Z155" s="13">
        <v>0.8569444444444444</v>
      </c>
      <c r="AA155" s="20">
        <v>136.0</v>
      </c>
      <c r="AB155" s="21">
        <v>0.9298611111111111</v>
      </c>
      <c r="AC155" s="22">
        <v>0.9333333333333333</v>
      </c>
      <c r="AD155" s="18">
        <v>142.0</v>
      </c>
      <c r="AE155" s="12">
        <v>0.07430555555555556</v>
      </c>
      <c r="AF155" s="45" t="s">
        <v>178</v>
      </c>
      <c r="AG155" s="11"/>
      <c r="AH155" s="12"/>
      <c r="AI155" s="13"/>
      <c r="AJ155" s="14"/>
      <c r="AK155" s="14"/>
      <c r="AL155" s="53"/>
      <c r="AM155" s="11"/>
      <c r="AN155" s="12"/>
      <c r="AO155" s="13"/>
      <c r="AP155" s="11"/>
      <c r="AQ155" s="12"/>
      <c r="AR155" s="13"/>
      <c r="AS155" s="11"/>
      <c r="AT155" s="12"/>
      <c r="AU155" s="13"/>
      <c r="AV155" s="11"/>
      <c r="AW155" s="12"/>
      <c r="AX155" s="13"/>
      <c r="AY155" s="34"/>
      <c r="AZ155" s="12"/>
      <c r="BA155" s="12"/>
    </row>
    <row r="156" ht="15.75" customHeight="1">
      <c r="A156" s="7"/>
      <c r="B156" s="45">
        <v>664.0</v>
      </c>
      <c r="C156" s="11">
        <v>158.0</v>
      </c>
      <c r="D156" s="12">
        <v>0.2743055555555556</v>
      </c>
      <c r="E156" s="13">
        <v>0.275</v>
      </c>
      <c r="F156" s="27"/>
      <c r="G156" s="28"/>
      <c r="H156" s="29"/>
      <c r="I156" s="11">
        <v>170.0</v>
      </c>
      <c r="J156" s="12">
        <v>0.4222222222222222</v>
      </c>
      <c r="K156" s="13">
        <v>0.42986111111111114</v>
      </c>
      <c r="L156" s="17">
        <v>162.0</v>
      </c>
      <c r="M156" s="12">
        <v>0.5270833333333333</v>
      </c>
      <c r="N156" s="12">
        <v>0.5305555555555556</v>
      </c>
      <c r="O156" s="11">
        <v>161.0</v>
      </c>
      <c r="P156" s="12">
        <v>0.60625</v>
      </c>
      <c r="Q156" s="13">
        <v>0.6097222222222223</v>
      </c>
      <c r="R156" s="18">
        <v>152.0</v>
      </c>
      <c r="S156" s="12">
        <v>0.68125</v>
      </c>
      <c r="T156" s="13">
        <v>0.6847222222222222</v>
      </c>
      <c r="U156" s="11">
        <v>152.0</v>
      </c>
      <c r="V156" s="12">
        <v>0.7395833333333334</v>
      </c>
      <c r="W156" s="13">
        <v>0.75625</v>
      </c>
      <c r="X156" s="11">
        <v>140.0</v>
      </c>
      <c r="Y156" s="19"/>
      <c r="Z156" s="13">
        <v>0.8673611111111111</v>
      </c>
      <c r="AA156" s="20">
        <v>144.0</v>
      </c>
      <c r="AB156" s="21">
        <v>0.9444444444444444</v>
      </c>
      <c r="AC156" s="22">
        <v>0.95</v>
      </c>
      <c r="AD156" s="18">
        <v>148.0</v>
      </c>
      <c r="AE156" s="12">
        <v>0.08611111111111111</v>
      </c>
      <c r="AF156" s="45" t="s">
        <v>178</v>
      </c>
      <c r="AG156" s="11"/>
      <c r="AH156" s="12"/>
      <c r="AI156" s="38"/>
      <c r="AJ156" s="14"/>
      <c r="AK156" s="14"/>
      <c r="AL156" s="53"/>
      <c r="AM156" s="11"/>
      <c r="AN156" s="12"/>
      <c r="AO156" s="38"/>
      <c r="AP156" s="11"/>
      <c r="AQ156" s="12"/>
      <c r="AR156" s="38"/>
      <c r="AS156" s="11"/>
      <c r="AT156" s="12"/>
      <c r="AU156" s="38"/>
      <c r="AV156" s="11"/>
      <c r="AW156" s="12"/>
      <c r="AX156" s="38"/>
      <c r="AY156" s="34"/>
      <c r="AZ156" s="12"/>
      <c r="BA156" s="12"/>
    </row>
    <row r="157" ht="15.75" customHeight="1">
      <c r="A157" s="7"/>
      <c r="B157" s="45">
        <v>633.0</v>
      </c>
      <c r="C157" s="11">
        <v>183.0</v>
      </c>
      <c r="D157" s="12">
        <v>0.2777777777777778</v>
      </c>
      <c r="E157" s="13">
        <v>0.27847222222222223</v>
      </c>
      <c r="F157" s="14">
        <v>88.0</v>
      </c>
      <c r="G157" s="15">
        <v>0.32430555555555557</v>
      </c>
      <c r="H157" s="16">
        <v>0.32430555555555557</v>
      </c>
      <c r="I157" s="11">
        <v>186.0</v>
      </c>
      <c r="J157" s="12">
        <v>0.4284722222222222</v>
      </c>
      <c r="K157" s="13">
        <v>0.4326388888888889</v>
      </c>
      <c r="L157" s="17">
        <v>168.0</v>
      </c>
      <c r="M157" s="12">
        <v>0.5298611111111111</v>
      </c>
      <c r="N157" s="12">
        <v>0.5326388888888889</v>
      </c>
      <c r="O157" s="11">
        <v>164.0</v>
      </c>
      <c r="P157" s="12">
        <v>0.6083333333333333</v>
      </c>
      <c r="Q157" s="13">
        <v>0.6118055555555556</v>
      </c>
      <c r="R157" s="18">
        <v>157.0</v>
      </c>
      <c r="S157" s="12">
        <v>0.6854166666666667</v>
      </c>
      <c r="T157" s="13">
        <v>0.6888888888888889</v>
      </c>
      <c r="U157" s="11">
        <v>155.0</v>
      </c>
      <c r="V157" s="12">
        <v>0.7409722222222223</v>
      </c>
      <c r="W157" s="13">
        <v>0.7486111111111111</v>
      </c>
      <c r="X157" s="11">
        <v>152.0</v>
      </c>
      <c r="Y157" s="19"/>
      <c r="Z157" s="13">
        <v>0.8784722222222222</v>
      </c>
      <c r="AA157" s="20">
        <v>155.0</v>
      </c>
      <c r="AB157" s="21">
        <v>0.9604166666666667</v>
      </c>
      <c r="AC157" s="22">
        <v>0.9722222222222222</v>
      </c>
      <c r="AD157" s="18">
        <v>153.0</v>
      </c>
      <c r="AE157" s="12">
        <v>0.09791666666666667</v>
      </c>
      <c r="AF157" s="45" t="s">
        <v>178</v>
      </c>
      <c r="AG157" s="11"/>
      <c r="AH157" s="18"/>
      <c r="AI157" s="38"/>
      <c r="AJ157" s="14"/>
      <c r="AK157" s="14"/>
      <c r="AL157" s="53"/>
      <c r="AM157" s="11"/>
      <c r="AN157" s="12"/>
      <c r="AO157" s="13"/>
      <c r="AP157" s="11"/>
      <c r="AQ157" s="12"/>
      <c r="AR157" s="13"/>
      <c r="AS157" s="11"/>
      <c r="AT157" s="12"/>
      <c r="AU157" s="13"/>
      <c r="AV157" s="11"/>
      <c r="AW157" s="12"/>
      <c r="AX157" s="13"/>
      <c r="AY157" s="34"/>
      <c r="AZ157" s="12"/>
      <c r="BA157" s="12"/>
    </row>
    <row r="158" ht="15.75" customHeight="1">
      <c r="A158" s="7"/>
      <c r="B158" s="45">
        <v>566.0</v>
      </c>
      <c r="C158" s="11">
        <v>20.0</v>
      </c>
      <c r="D158" s="12">
        <v>0.25763888888888886</v>
      </c>
      <c r="E158" s="13">
        <v>0.25833333333333336</v>
      </c>
      <c r="F158" s="27"/>
      <c r="G158" s="28"/>
      <c r="H158" s="29"/>
      <c r="I158" s="11">
        <v>75.0</v>
      </c>
      <c r="J158" s="12">
        <v>0.38819444444444445</v>
      </c>
      <c r="K158" s="13">
        <v>0.39305555555555555</v>
      </c>
      <c r="L158" s="17">
        <v>99.0</v>
      </c>
      <c r="M158" s="12">
        <v>0.48819444444444443</v>
      </c>
      <c r="N158" s="12">
        <v>0.4909722222222222</v>
      </c>
      <c r="O158" s="11">
        <v>104.0</v>
      </c>
      <c r="P158" s="12">
        <v>0.5680555555555555</v>
      </c>
      <c r="Q158" s="13">
        <v>0.5743055555555555</v>
      </c>
      <c r="R158" s="18">
        <v>115.0</v>
      </c>
      <c r="S158" s="12">
        <v>0.65</v>
      </c>
      <c r="T158" s="13">
        <v>0.6520833333333333</v>
      </c>
      <c r="U158" s="11">
        <v>115.0</v>
      </c>
      <c r="V158" s="12">
        <v>0.70625</v>
      </c>
      <c r="W158" s="13">
        <v>0.7131944444444445</v>
      </c>
      <c r="X158" s="11">
        <v>143.0</v>
      </c>
      <c r="Y158" s="19"/>
      <c r="Z158" s="13">
        <v>0.8694444444444445</v>
      </c>
      <c r="AA158" s="20">
        <v>148.0</v>
      </c>
      <c r="AB158" s="21">
        <v>0.9472222222222222</v>
      </c>
      <c r="AC158" s="22">
        <v>0.9506944444444444</v>
      </c>
      <c r="AD158" s="48" t="s">
        <v>178</v>
      </c>
      <c r="AE158" s="18"/>
      <c r="AF158" s="47"/>
      <c r="AG158" s="11"/>
      <c r="AH158" s="12"/>
      <c r="AI158" s="13"/>
      <c r="AJ158" s="14"/>
      <c r="AK158" s="14"/>
      <c r="AL158" s="53"/>
      <c r="AM158" s="11"/>
      <c r="AN158" s="12"/>
      <c r="AO158" s="13"/>
      <c r="AP158" s="11"/>
      <c r="AQ158" s="12"/>
      <c r="AR158" s="13"/>
      <c r="AS158" s="11"/>
      <c r="AT158" s="12"/>
      <c r="AU158" s="13"/>
      <c r="AV158" s="11"/>
      <c r="AW158" s="12"/>
      <c r="AX158" s="13"/>
      <c r="AY158" s="34"/>
      <c r="AZ158" s="12"/>
      <c r="BA158" s="12"/>
    </row>
    <row r="159" ht="15.75" customHeight="1">
      <c r="A159" s="7"/>
      <c r="B159" s="45">
        <v>691.0</v>
      </c>
      <c r="C159" s="11">
        <v>128.0</v>
      </c>
      <c r="D159" s="12">
        <v>0.2708333333333333</v>
      </c>
      <c r="E159" s="13">
        <v>0.27152777777777776</v>
      </c>
      <c r="F159" s="14">
        <v>149.0</v>
      </c>
      <c r="G159" s="15">
        <v>0.3368055555555556</v>
      </c>
      <c r="H159" s="16">
        <v>0.3368055555555556</v>
      </c>
      <c r="I159" s="11">
        <v>167.0</v>
      </c>
      <c r="J159" s="12">
        <v>0.42083333333333334</v>
      </c>
      <c r="K159" s="13">
        <v>0.4340277777777778</v>
      </c>
      <c r="L159" s="17">
        <v>174.0</v>
      </c>
      <c r="M159" s="12">
        <v>0.5333333333333333</v>
      </c>
      <c r="N159" s="12">
        <v>0.5381944444444444</v>
      </c>
      <c r="O159" s="11">
        <v>175.0</v>
      </c>
      <c r="P159" s="12">
        <v>0.6173611111111111</v>
      </c>
      <c r="Q159" s="13">
        <v>0.6243055555555556</v>
      </c>
      <c r="R159" s="18">
        <v>171.0</v>
      </c>
      <c r="S159" s="12">
        <v>0.6993055555555555</v>
      </c>
      <c r="T159" s="13">
        <v>0.7076388888888889</v>
      </c>
      <c r="U159" s="11">
        <v>171.0</v>
      </c>
      <c r="V159" s="12">
        <v>0.7625</v>
      </c>
      <c r="W159" s="13">
        <v>0.7770833333333333</v>
      </c>
      <c r="X159" s="11">
        <v>167.0</v>
      </c>
      <c r="Y159" s="19"/>
      <c r="Z159" s="13">
        <v>0.9180555555555555</v>
      </c>
      <c r="AA159" s="20">
        <v>166.0</v>
      </c>
      <c r="AB159" s="21">
        <v>0.5</v>
      </c>
      <c r="AC159" s="22">
        <v>0.009722222222222222</v>
      </c>
      <c r="AD159" s="48" t="s">
        <v>178</v>
      </c>
      <c r="AE159" s="18"/>
      <c r="AF159" s="47"/>
      <c r="AG159" s="11"/>
      <c r="AH159" s="18"/>
      <c r="AI159" s="38"/>
      <c r="AJ159" s="14"/>
      <c r="AK159" s="14"/>
      <c r="AL159" s="53"/>
      <c r="AM159" s="11"/>
      <c r="AN159" s="18"/>
      <c r="AO159" s="38"/>
      <c r="AP159" s="11"/>
      <c r="AQ159" s="18"/>
      <c r="AR159" s="38"/>
      <c r="AS159" s="11"/>
      <c r="AT159" s="18"/>
      <c r="AU159" s="38"/>
      <c r="AV159" s="11"/>
      <c r="AW159" s="18"/>
      <c r="AX159" s="38"/>
      <c r="AY159" s="34"/>
      <c r="AZ159" s="12"/>
      <c r="BA159" s="12"/>
    </row>
    <row r="160" ht="15.75" customHeight="1">
      <c r="A160" s="7"/>
      <c r="B160" s="45">
        <v>622.0</v>
      </c>
      <c r="C160" s="11">
        <v>184.0</v>
      </c>
      <c r="D160" s="12">
        <v>0.2777777777777778</v>
      </c>
      <c r="E160" s="13">
        <v>0.27847222222222223</v>
      </c>
      <c r="F160" s="14">
        <v>183.0</v>
      </c>
      <c r="G160" s="15">
        <v>0.34444444444444444</v>
      </c>
      <c r="H160" s="16">
        <v>0.34444444444444444</v>
      </c>
      <c r="I160" s="11">
        <v>189.0</v>
      </c>
      <c r="J160" s="12">
        <v>0.4305555555555556</v>
      </c>
      <c r="K160" s="13">
        <v>0.4375</v>
      </c>
      <c r="L160" s="17">
        <v>185.0</v>
      </c>
      <c r="M160" s="12">
        <v>0.5444444444444444</v>
      </c>
      <c r="N160" s="12">
        <v>0.5472222222222223</v>
      </c>
      <c r="O160" s="11">
        <v>183.0</v>
      </c>
      <c r="P160" s="12">
        <v>0.6284722222222222</v>
      </c>
      <c r="Q160" s="13">
        <v>0.6305555555555555</v>
      </c>
      <c r="R160" s="18">
        <v>179.0</v>
      </c>
      <c r="S160" s="12">
        <v>0.7111111111111111</v>
      </c>
      <c r="T160" s="13">
        <v>0.7131944444444445</v>
      </c>
      <c r="U160" s="11">
        <v>178.0</v>
      </c>
      <c r="V160" s="12">
        <v>0.7756944444444445</v>
      </c>
      <c r="W160" s="13">
        <v>0.7784722222222222</v>
      </c>
      <c r="X160" s="11">
        <v>168.0</v>
      </c>
      <c r="Y160" s="26"/>
      <c r="Z160" s="13">
        <v>0.9284722222222223</v>
      </c>
      <c r="AA160" s="20">
        <v>169.0</v>
      </c>
      <c r="AB160" s="21">
        <v>0.007638888888888889</v>
      </c>
      <c r="AC160" s="22">
        <v>0.009722222222222222</v>
      </c>
      <c r="AD160" s="48" t="s">
        <v>178</v>
      </c>
      <c r="AE160" s="18"/>
      <c r="AF160" s="47"/>
      <c r="AG160" s="11"/>
      <c r="AH160" s="18"/>
      <c r="AI160" s="38"/>
      <c r="AJ160" s="14"/>
      <c r="AK160" s="14"/>
      <c r="AL160" s="53"/>
      <c r="AM160" s="11"/>
      <c r="AN160" s="18"/>
      <c r="AO160" s="38"/>
      <c r="AP160" s="11"/>
      <c r="AQ160" s="18"/>
      <c r="AR160" s="38"/>
      <c r="AS160" s="11"/>
      <c r="AT160" s="18"/>
      <c r="AU160" s="38"/>
      <c r="AV160" s="11"/>
      <c r="AW160" s="18"/>
      <c r="AX160" s="38"/>
      <c r="AY160" s="34"/>
      <c r="AZ160" s="12"/>
      <c r="BA160" s="12"/>
    </row>
    <row r="161" ht="15.75" customHeight="1">
      <c r="A161" s="7"/>
      <c r="B161" s="45">
        <v>639.0</v>
      </c>
      <c r="C161" s="11">
        <v>83.0</v>
      </c>
      <c r="D161" s="12">
        <v>0.2659722222222222</v>
      </c>
      <c r="E161" s="13">
        <v>0.26666666666666666</v>
      </c>
      <c r="F161" s="14">
        <v>69.0</v>
      </c>
      <c r="G161" s="15">
        <v>0.32013888888888886</v>
      </c>
      <c r="H161" s="16">
        <v>0.32013888888888886</v>
      </c>
      <c r="I161" s="11">
        <v>105.0</v>
      </c>
      <c r="J161" s="12">
        <v>0.3972222222222222</v>
      </c>
      <c r="K161" s="13">
        <v>0.4041666666666667</v>
      </c>
      <c r="L161" s="17">
        <v>120.0</v>
      </c>
      <c r="M161" s="12">
        <v>0.5006944444444444</v>
      </c>
      <c r="N161" s="12">
        <v>0.5041666666666667</v>
      </c>
      <c r="O161" s="11">
        <v>137.0</v>
      </c>
      <c r="P161" s="12">
        <v>0.5833333333333334</v>
      </c>
      <c r="Q161" s="13">
        <v>0.5875</v>
      </c>
      <c r="R161" s="18">
        <v>136.0</v>
      </c>
      <c r="S161" s="12">
        <v>0.6645833333333333</v>
      </c>
      <c r="T161" s="13">
        <v>0.6694444444444444</v>
      </c>
      <c r="U161" s="11">
        <v>145.0</v>
      </c>
      <c r="V161" s="12">
        <v>0.7284722222222222</v>
      </c>
      <c r="W161" s="13">
        <v>0.7402777777777778</v>
      </c>
      <c r="X161" s="11">
        <v>139.0</v>
      </c>
      <c r="Y161" s="19"/>
      <c r="Z161" s="13">
        <v>0.8625</v>
      </c>
      <c r="AA161" s="20">
        <v>139.0</v>
      </c>
      <c r="AB161" s="21">
        <v>0.9423611111111111</v>
      </c>
      <c r="AC161" s="22">
        <v>0.9451388888888889</v>
      </c>
      <c r="AD161" s="48" t="s">
        <v>178</v>
      </c>
      <c r="AE161" s="18"/>
      <c r="AF161" s="47"/>
      <c r="AG161" s="11"/>
      <c r="AH161" s="18"/>
      <c r="AI161" s="38"/>
      <c r="AJ161" s="14"/>
      <c r="AK161" s="14"/>
      <c r="AL161" s="53"/>
      <c r="AM161" s="11"/>
      <c r="AN161" s="12"/>
      <c r="AO161" s="13"/>
      <c r="AP161" s="11"/>
      <c r="AQ161" s="12"/>
      <c r="AR161" s="13"/>
      <c r="AS161" s="11"/>
      <c r="AT161" s="12"/>
      <c r="AU161" s="13"/>
      <c r="AV161" s="11"/>
      <c r="AW161" s="12"/>
      <c r="AX161" s="13"/>
      <c r="AY161" s="34"/>
      <c r="AZ161" s="12"/>
      <c r="BA161" s="12"/>
    </row>
    <row r="162" ht="15.75" customHeight="1">
      <c r="A162" s="7"/>
      <c r="B162" s="45">
        <v>587.0</v>
      </c>
      <c r="C162" s="11">
        <v>170.0</v>
      </c>
      <c r="D162" s="12">
        <v>0.2743055555555556</v>
      </c>
      <c r="E162" s="13">
        <v>0.275</v>
      </c>
      <c r="F162" s="27"/>
      <c r="G162" s="28"/>
      <c r="H162" s="29"/>
      <c r="I162" s="11">
        <v>142.0</v>
      </c>
      <c r="J162" s="12">
        <v>0.4097222222222222</v>
      </c>
      <c r="K162" s="13">
        <v>0.41597222222222224</v>
      </c>
      <c r="L162" s="17">
        <v>145.0</v>
      </c>
      <c r="M162" s="12">
        <v>0.5125</v>
      </c>
      <c r="N162" s="12">
        <v>0.5291666666666667</v>
      </c>
      <c r="O162" s="11">
        <v>159.0</v>
      </c>
      <c r="P162" s="12">
        <v>0.6055555555555555</v>
      </c>
      <c r="Q162" s="13">
        <v>0.6131944444444445</v>
      </c>
      <c r="R162" s="18">
        <v>163.0</v>
      </c>
      <c r="S162" s="12">
        <v>0.6888888888888889</v>
      </c>
      <c r="T162" s="13">
        <v>0.6993055555555555</v>
      </c>
      <c r="U162" s="11">
        <v>163.0</v>
      </c>
      <c r="V162" s="12">
        <v>0.7493055555555556</v>
      </c>
      <c r="W162" s="13">
        <v>0.7743055555555556</v>
      </c>
      <c r="X162" s="11">
        <v>163.0</v>
      </c>
      <c r="Y162" s="19"/>
      <c r="Z162" s="13">
        <v>0.8986111111111111</v>
      </c>
      <c r="AA162" s="20">
        <v>163.0</v>
      </c>
      <c r="AB162" s="21">
        <v>0.9798611111111111</v>
      </c>
      <c r="AC162" s="22">
        <v>0.0020833333333333333</v>
      </c>
      <c r="AD162" s="48" t="s">
        <v>178</v>
      </c>
      <c r="AE162" s="18"/>
      <c r="AF162" s="47"/>
      <c r="AG162" s="11"/>
      <c r="AH162" s="18"/>
      <c r="AI162" s="38"/>
      <c r="AJ162" s="14"/>
      <c r="AK162" s="14"/>
      <c r="AL162" s="53"/>
      <c r="AM162" s="11"/>
      <c r="AN162" s="12"/>
      <c r="AO162" s="13"/>
      <c r="AP162" s="11"/>
      <c r="AQ162" s="12"/>
      <c r="AR162" s="13"/>
      <c r="AS162" s="11"/>
      <c r="AT162" s="12"/>
      <c r="AU162" s="13"/>
      <c r="AV162" s="11"/>
      <c r="AW162" s="12"/>
      <c r="AX162" s="13"/>
      <c r="AY162" s="34"/>
      <c r="AZ162" s="12"/>
      <c r="BA162" s="12"/>
    </row>
    <row r="163" ht="15.75" customHeight="1">
      <c r="A163" s="7"/>
      <c r="B163" s="45">
        <v>614.0</v>
      </c>
      <c r="C163" s="11">
        <v>157.0</v>
      </c>
      <c r="D163" s="12">
        <v>0.2743055555555556</v>
      </c>
      <c r="E163" s="13">
        <v>0.275</v>
      </c>
      <c r="F163" s="14">
        <v>168.0</v>
      </c>
      <c r="G163" s="15">
        <v>0.3388888888888889</v>
      </c>
      <c r="H163" s="16">
        <v>0.3388888888888889</v>
      </c>
      <c r="I163" s="11">
        <v>182.0</v>
      </c>
      <c r="J163" s="12">
        <v>0.42777777777777776</v>
      </c>
      <c r="K163" s="13">
        <v>0.43333333333333335</v>
      </c>
      <c r="L163" s="17">
        <v>176.0</v>
      </c>
      <c r="M163" s="12">
        <v>0.5368055555555555</v>
      </c>
      <c r="N163" s="12">
        <v>0.5423611111111111</v>
      </c>
      <c r="O163" s="11">
        <v>174.0</v>
      </c>
      <c r="P163" s="12">
        <v>0.6173611111111111</v>
      </c>
      <c r="Q163" s="13">
        <v>0.6229166666666667</v>
      </c>
      <c r="R163" s="18">
        <v>173.0</v>
      </c>
      <c r="S163" s="12">
        <v>0.7020833333333333</v>
      </c>
      <c r="T163" s="13">
        <v>0.7131944444444445</v>
      </c>
      <c r="U163" s="11">
        <v>170.0</v>
      </c>
      <c r="V163" s="12">
        <v>0.7625</v>
      </c>
      <c r="W163" s="13">
        <v>0.76875</v>
      </c>
      <c r="X163" s="11">
        <v>159.0</v>
      </c>
      <c r="Y163" s="19"/>
      <c r="Z163" s="13">
        <v>0.8881944444444444</v>
      </c>
      <c r="AA163" s="20">
        <v>164.0</v>
      </c>
      <c r="AB163" s="21">
        <v>0.9881944444444445</v>
      </c>
      <c r="AC163" s="22">
        <v>0.0020833333333333333</v>
      </c>
      <c r="AD163" s="48" t="s">
        <v>178</v>
      </c>
      <c r="AE163" s="18"/>
      <c r="AF163" s="47"/>
      <c r="AG163" s="11"/>
      <c r="AH163" s="18"/>
      <c r="AI163" s="38"/>
      <c r="AJ163" s="14"/>
      <c r="AK163" s="14"/>
      <c r="AL163" s="53"/>
      <c r="AM163" s="11"/>
      <c r="AN163" s="12"/>
      <c r="AO163" s="13"/>
      <c r="AP163" s="11"/>
      <c r="AQ163" s="12"/>
      <c r="AR163" s="38"/>
      <c r="AS163" s="11"/>
      <c r="AT163" s="12"/>
      <c r="AU163" s="38"/>
      <c r="AV163" s="11"/>
      <c r="AW163" s="12"/>
      <c r="AX163" s="38"/>
      <c r="AY163" s="34"/>
      <c r="AZ163" s="12"/>
      <c r="BA163" s="12"/>
    </row>
    <row r="164" ht="15.75" customHeight="1">
      <c r="A164" s="7"/>
      <c r="B164" s="45">
        <v>502.0</v>
      </c>
      <c r="C164" s="11">
        <v>103.0</v>
      </c>
      <c r="D164" s="12">
        <v>0.26875</v>
      </c>
      <c r="E164" s="13">
        <v>0.26944444444444443</v>
      </c>
      <c r="F164" s="14">
        <v>135.0</v>
      </c>
      <c r="G164" s="15">
        <v>0.33402777777777776</v>
      </c>
      <c r="H164" s="16">
        <v>0.33402777777777776</v>
      </c>
      <c r="I164" s="11">
        <v>168.0</v>
      </c>
      <c r="J164" s="12">
        <v>0.4215277777777778</v>
      </c>
      <c r="K164" s="13">
        <v>0.4326388888888889</v>
      </c>
      <c r="L164" s="17">
        <v>182.0</v>
      </c>
      <c r="M164" s="12">
        <v>0.5395833333333333</v>
      </c>
      <c r="N164" s="12">
        <v>0.5430555555555555</v>
      </c>
      <c r="O164" s="11">
        <v>182.0</v>
      </c>
      <c r="P164" s="12">
        <v>0.625</v>
      </c>
      <c r="Q164" s="13">
        <v>0.6284722222222222</v>
      </c>
      <c r="R164" s="18">
        <v>177.0</v>
      </c>
      <c r="S164" s="12">
        <v>0.7090277777777778</v>
      </c>
      <c r="T164" s="13">
        <v>0.7125</v>
      </c>
      <c r="U164" s="11">
        <v>181.0</v>
      </c>
      <c r="V164" s="12">
        <v>0.7784722222222222</v>
      </c>
      <c r="W164" s="13">
        <v>0.79375</v>
      </c>
      <c r="X164" s="11">
        <v>169.0</v>
      </c>
      <c r="Y164" s="19"/>
      <c r="Z164" s="13">
        <v>0.9291666666666667</v>
      </c>
      <c r="AA164" s="20">
        <v>168.0</v>
      </c>
      <c r="AB164" s="21">
        <v>0.00625</v>
      </c>
      <c r="AC164" s="22">
        <v>0.009722222222222222</v>
      </c>
      <c r="AD164" s="48" t="s">
        <v>178</v>
      </c>
      <c r="AE164" s="18"/>
      <c r="AF164" s="47"/>
      <c r="AG164" s="11"/>
      <c r="AH164" s="18"/>
      <c r="AI164" s="38"/>
      <c r="AJ164" s="14"/>
      <c r="AK164" s="14"/>
      <c r="AL164" s="53"/>
      <c r="AM164" s="11"/>
      <c r="AN164" s="12"/>
      <c r="AO164" s="13"/>
      <c r="AP164" s="11"/>
      <c r="AQ164" s="12"/>
      <c r="AR164" s="13"/>
      <c r="AS164" s="11"/>
      <c r="AT164" s="12"/>
      <c r="AU164" s="13"/>
      <c r="AV164" s="11"/>
      <c r="AW164" s="12"/>
      <c r="AX164" s="13"/>
      <c r="AY164" s="34"/>
      <c r="AZ164" s="12"/>
      <c r="BA164" s="12"/>
    </row>
    <row r="165" ht="15.75" customHeight="1">
      <c r="A165" s="7"/>
      <c r="B165" s="45">
        <v>579.0</v>
      </c>
      <c r="C165" s="11">
        <v>197.0</v>
      </c>
      <c r="D165" s="12">
        <v>0.2826388888888889</v>
      </c>
      <c r="E165" s="13">
        <v>0.2833333333333333</v>
      </c>
      <c r="F165" s="14">
        <v>196.0</v>
      </c>
      <c r="G165" s="15">
        <v>0.3770833333333333</v>
      </c>
      <c r="H165" s="16">
        <v>0.3770833333333333</v>
      </c>
      <c r="I165" s="11">
        <v>200.0</v>
      </c>
      <c r="J165" s="12">
        <v>0.44930555555555557</v>
      </c>
      <c r="K165" s="13">
        <v>0.45208333333333334</v>
      </c>
      <c r="L165" s="17">
        <v>192.0</v>
      </c>
      <c r="M165" s="12">
        <v>0.5680555555555555</v>
      </c>
      <c r="N165" s="12">
        <v>0.5701388888888889</v>
      </c>
      <c r="O165" s="11">
        <v>191.0</v>
      </c>
      <c r="P165" s="12">
        <v>0.6548611111111111</v>
      </c>
      <c r="Q165" s="13">
        <v>0.6569444444444444</v>
      </c>
      <c r="R165" s="18">
        <v>188.0</v>
      </c>
      <c r="S165" s="12">
        <v>0.7347222222222223</v>
      </c>
      <c r="T165" s="13">
        <v>0.7361111111111112</v>
      </c>
      <c r="U165" s="11">
        <v>184.0</v>
      </c>
      <c r="V165" s="12">
        <v>0.7965277777777777</v>
      </c>
      <c r="W165" s="13">
        <v>0.8020833333333334</v>
      </c>
      <c r="X165" s="11">
        <v>170.0</v>
      </c>
      <c r="Y165" s="19"/>
      <c r="Z165" s="13">
        <v>0.8465277777777778</v>
      </c>
      <c r="AA165" s="20">
        <v>171.0</v>
      </c>
      <c r="AB165" s="21">
        <v>0.021527777777777778</v>
      </c>
      <c r="AC165" s="22">
        <v>0.009722222222222222</v>
      </c>
      <c r="AD165" s="48" t="s">
        <v>178</v>
      </c>
      <c r="AE165" s="18"/>
      <c r="AF165" s="47"/>
      <c r="AG165" s="11"/>
      <c r="AH165" s="12"/>
      <c r="AI165" s="13"/>
      <c r="AJ165" s="14"/>
      <c r="AK165" s="14"/>
      <c r="AL165" s="53"/>
      <c r="AM165" s="11"/>
      <c r="AN165" s="12"/>
      <c r="AO165" s="13"/>
      <c r="AP165" s="11"/>
      <c r="AQ165" s="12"/>
      <c r="AR165" s="13"/>
      <c r="AS165" s="11"/>
      <c r="AT165" s="12"/>
      <c r="AU165" s="13"/>
      <c r="AV165" s="11"/>
      <c r="AW165" s="12"/>
      <c r="AX165" s="13"/>
      <c r="AY165" s="34"/>
      <c r="AZ165" s="12"/>
      <c r="BA165" s="12"/>
    </row>
    <row r="166" ht="15.75" customHeight="1">
      <c r="A166" s="7"/>
      <c r="B166" s="45">
        <v>738.0</v>
      </c>
      <c r="C166" s="11">
        <v>140.0</v>
      </c>
      <c r="D166" s="12">
        <v>0.27152777777777776</v>
      </c>
      <c r="E166" s="13">
        <v>0.2722222222222222</v>
      </c>
      <c r="F166" s="27"/>
      <c r="G166" s="28"/>
      <c r="H166" s="29"/>
      <c r="I166" s="11">
        <v>175.0</v>
      </c>
      <c r="J166" s="12">
        <v>0.42430555555555555</v>
      </c>
      <c r="K166" s="13">
        <v>0.4284722222222222</v>
      </c>
      <c r="L166" s="17">
        <v>181.0</v>
      </c>
      <c r="M166" s="12">
        <v>0.5388888888888889</v>
      </c>
      <c r="N166" s="12">
        <v>0.5423611111111111</v>
      </c>
      <c r="O166" s="11">
        <v>179.0</v>
      </c>
      <c r="P166" s="12">
        <v>0.6229166666666667</v>
      </c>
      <c r="Q166" s="13">
        <v>0.6256944444444444</v>
      </c>
      <c r="R166" s="18">
        <v>178.0</v>
      </c>
      <c r="S166" s="12">
        <v>0.7090277777777778</v>
      </c>
      <c r="T166" s="13">
        <v>0.7118055555555556</v>
      </c>
      <c r="U166" s="11">
        <v>180.0</v>
      </c>
      <c r="V166" s="12">
        <v>0.7777777777777778</v>
      </c>
      <c r="W166" s="13">
        <v>0.7888888888888889</v>
      </c>
      <c r="X166" s="11">
        <v>171.0</v>
      </c>
      <c r="Y166" s="19"/>
      <c r="Z166" s="13">
        <v>0.9416666666666667</v>
      </c>
      <c r="AA166" s="20">
        <v>172.0</v>
      </c>
      <c r="AB166" s="21">
        <v>0.02361111111111111</v>
      </c>
      <c r="AC166" s="22">
        <v>0.022916666666666665</v>
      </c>
      <c r="AD166" s="48" t="s">
        <v>178</v>
      </c>
      <c r="AE166" s="18"/>
      <c r="AF166" s="47"/>
      <c r="AG166" s="11"/>
      <c r="AH166" s="12"/>
      <c r="AI166" s="38"/>
      <c r="AJ166" s="14"/>
      <c r="AK166" s="14"/>
      <c r="AL166" s="53"/>
      <c r="AM166" s="11"/>
      <c r="AN166" s="12"/>
      <c r="AO166" s="38"/>
      <c r="AP166" s="11"/>
      <c r="AQ166" s="12"/>
      <c r="AR166" s="38"/>
      <c r="AS166" s="11"/>
      <c r="AT166" s="12"/>
      <c r="AU166" s="38"/>
      <c r="AV166" s="11"/>
      <c r="AW166" s="12"/>
      <c r="AX166" s="38"/>
      <c r="AY166" s="34"/>
      <c r="AZ166" s="12"/>
      <c r="BA166" s="12"/>
    </row>
    <row r="167" ht="15.75" customHeight="1">
      <c r="A167" s="7"/>
      <c r="B167" s="45">
        <v>588.0</v>
      </c>
      <c r="C167" s="11">
        <v>21.0</v>
      </c>
      <c r="D167" s="12">
        <v>0.25763888888888886</v>
      </c>
      <c r="E167" s="13">
        <v>0.25833333333333336</v>
      </c>
      <c r="F167" s="14">
        <v>21.0</v>
      </c>
      <c r="G167" s="15">
        <v>0.30625</v>
      </c>
      <c r="H167" s="16">
        <v>0.30625</v>
      </c>
      <c r="I167" s="11">
        <v>28.0</v>
      </c>
      <c r="J167" s="12">
        <v>0.3659722222222222</v>
      </c>
      <c r="K167" s="13">
        <v>0.37916666666666665</v>
      </c>
      <c r="L167" s="17">
        <v>38.0</v>
      </c>
      <c r="M167" s="30">
        <v>0.4479166666666667</v>
      </c>
      <c r="N167" s="30">
        <v>0.44930555555555557</v>
      </c>
      <c r="O167" s="11">
        <v>36.0</v>
      </c>
      <c r="P167" s="12">
        <v>0.5083333333333333</v>
      </c>
      <c r="Q167" s="13">
        <v>0.5104166666666666</v>
      </c>
      <c r="R167" s="18">
        <v>32.0</v>
      </c>
      <c r="S167" s="12">
        <v>0.5652777777777778</v>
      </c>
      <c r="T167" s="13">
        <v>0.5673611111111111</v>
      </c>
      <c r="U167" s="11">
        <v>33.0</v>
      </c>
      <c r="V167" s="12">
        <v>0.6076388888888888</v>
      </c>
      <c r="W167" s="13">
        <v>0.61875</v>
      </c>
      <c r="X167" s="11">
        <v>39.0</v>
      </c>
      <c r="Y167" s="19"/>
      <c r="Z167" s="13">
        <v>0.7215277777777778</v>
      </c>
      <c r="AA167" s="20">
        <v>43.0</v>
      </c>
      <c r="AB167" s="21">
        <v>0.7868055555555555</v>
      </c>
      <c r="AC167" s="54" t="s">
        <v>178</v>
      </c>
      <c r="AD167" s="18"/>
      <c r="AE167" s="18"/>
      <c r="AF167" s="47"/>
      <c r="AG167" s="11"/>
      <c r="AH167" s="18"/>
      <c r="AI167" s="38"/>
      <c r="AJ167" s="14"/>
      <c r="AK167" s="14"/>
      <c r="AL167" s="53"/>
      <c r="AM167" s="11"/>
      <c r="AN167" s="12"/>
      <c r="AO167" s="13"/>
      <c r="AP167" s="11"/>
      <c r="AQ167" s="12"/>
      <c r="AR167" s="13"/>
      <c r="AS167" s="11"/>
      <c r="AT167" s="12"/>
      <c r="AU167" s="13"/>
      <c r="AV167" s="11"/>
      <c r="AW167" s="12"/>
      <c r="AX167" s="13"/>
      <c r="AY167" s="34"/>
      <c r="AZ167" s="12"/>
      <c r="BA167" s="12"/>
    </row>
    <row r="168" ht="15.75" customHeight="1">
      <c r="A168" s="7"/>
      <c r="B168" s="45">
        <v>581.0</v>
      </c>
      <c r="C168" s="11">
        <v>104.0</v>
      </c>
      <c r="D168" s="12">
        <v>0.26875</v>
      </c>
      <c r="E168" s="13">
        <v>0.26944444444444443</v>
      </c>
      <c r="F168" s="14">
        <v>116.0</v>
      </c>
      <c r="G168" s="15">
        <v>0.3298611111111111</v>
      </c>
      <c r="H168" s="16">
        <v>0.3298611111111111</v>
      </c>
      <c r="I168" s="11">
        <v>107.0</v>
      </c>
      <c r="J168" s="12">
        <v>0.39861111111111114</v>
      </c>
      <c r="K168" s="13">
        <v>0.40208333333333335</v>
      </c>
      <c r="L168" s="17">
        <v>88.0</v>
      </c>
      <c r="M168" s="12">
        <v>0.48333333333333334</v>
      </c>
      <c r="N168" s="12">
        <v>0.4840277777777778</v>
      </c>
      <c r="O168" s="11">
        <v>85.0</v>
      </c>
      <c r="P168" s="12">
        <v>0.5534722222222223</v>
      </c>
      <c r="Q168" s="13">
        <v>0.55625</v>
      </c>
      <c r="R168" s="18">
        <v>80.0</v>
      </c>
      <c r="S168" s="12">
        <v>0.61875</v>
      </c>
      <c r="T168" s="13">
        <v>0.6208333333333333</v>
      </c>
      <c r="U168" s="11">
        <v>77.0</v>
      </c>
      <c r="V168" s="12">
        <v>0.6694444444444444</v>
      </c>
      <c r="W168" s="13">
        <v>0.6736111111111112</v>
      </c>
      <c r="X168" s="11">
        <v>75.0</v>
      </c>
      <c r="Y168" s="19"/>
      <c r="Z168" s="13">
        <v>0.78125</v>
      </c>
      <c r="AA168" s="20">
        <v>81.0</v>
      </c>
      <c r="AB168" s="21">
        <v>0.8534722222222222</v>
      </c>
      <c r="AC168" s="54" t="s">
        <v>178</v>
      </c>
      <c r="AD168" s="18"/>
      <c r="AE168" s="18"/>
      <c r="AF168" s="47"/>
      <c r="AG168" s="11"/>
      <c r="AH168" s="18"/>
      <c r="AI168" s="38"/>
      <c r="AJ168" s="14"/>
      <c r="AK168" s="14"/>
      <c r="AL168" s="53"/>
      <c r="AM168" s="11"/>
      <c r="AN168" s="12"/>
      <c r="AO168" s="13"/>
      <c r="AP168" s="11"/>
      <c r="AQ168" s="12"/>
      <c r="AR168" s="13"/>
      <c r="AS168" s="11"/>
      <c r="AT168" s="12"/>
      <c r="AU168" s="13"/>
      <c r="AV168" s="11"/>
      <c r="AW168" s="12"/>
      <c r="AX168" s="13"/>
      <c r="AY168" s="34"/>
      <c r="AZ168" s="12"/>
      <c r="BA168" s="12"/>
    </row>
    <row r="169" ht="15.75" customHeight="1">
      <c r="A169" s="7"/>
      <c r="B169" s="45">
        <v>677.0</v>
      </c>
      <c r="C169" s="11">
        <v>35.0</v>
      </c>
      <c r="D169" s="12">
        <v>0.2604166666666667</v>
      </c>
      <c r="E169" s="13">
        <v>0.26180555555555557</v>
      </c>
      <c r="F169" s="14">
        <v>53.0</v>
      </c>
      <c r="G169" s="15">
        <v>0.3145833333333333</v>
      </c>
      <c r="H169" s="16">
        <v>0.3145833333333333</v>
      </c>
      <c r="I169" s="11">
        <v>78.0</v>
      </c>
      <c r="J169" s="12">
        <v>0.38819444444444445</v>
      </c>
      <c r="K169" s="13">
        <v>0.3923611111111111</v>
      </c>
      <c r="L169" s="17">
        <v>98.0</v>
      </c>
      <c r="M169" s="12">
        <v>0.4875</v>
      </c>
      <c r="N169" s="12">
        <v>0.4930555555555556</v>
      </c>
      <c r="O169" s="11">
        <v>105.0</v>
      </c>
      <c r="P169" s="12">
        <v>0.5680555555555555</v>
      </c>
      <c r="Q169" s="13">
        <v>0.5770833333333333</v>
      </c>
      <c r="R169" s="18">
        <v>116.0</v>
      </c>
      <c r="S169" s="12">
        <v>0.6527777777777778</v>
      </c>
      <c r="T169" s="13">
        <v>0.6576388888888889</v>
      </c>
      <c r="U169" s="11">
        <v>129.0</v>
      </c>
      <c r="V169" s="12">
        <v>0.7138888888888889</v>
      </c>
      <c r="W169" s="13">
        <v>0.7194444444444444</v>
      </c>
      <c r="X169" s="11">
        <v>150.0</v>
      </c>
      <c r="Y169" s="19"/>
      <c r="Z169" s="13">
        <v>0.8770833333333333</v>
      </c>
      <c r="AA169" s="20">
        <v>154.0</v>
      </c>
      <c r="AB169" s="21">
        <v>0.9597222222222223</v>
      </c>
      <c r="AC169" s="54" t="s">
        <v>178</v>
      </c>
      <c r="AD169" s="18"/>
      <c r="AE169" s="18"/>
      <c r="AF169" s="47"/>
      <c r="AG169" s="11"/>
      <c r="AH169" s="18"/>
      <c r="AI169" s="38"/>
      <c r="AJ169" s="14"/>
      <c r="AK169" s="14"/>
      <c r="AL169" s="53"/>
      <c r="AM169" s="11"/>
      <c r="AN169" s="12"/>
      <c r="AO169" s="13"/>
      <c r="AP169" s="11"/>
      <c r="AQ169" s="12"/>
      <c r="AR169" s="13"/>
      <c r="AS169" s="11"/>
      <c r="AT169" s="12"/>
      <c r="AU169" s="13"/>
      <c r="AV169" s="11"/>
      <c r="AW169" s="12"/>
      <c r="AX169" s="13"/>
      <c r="AY169" s="34"/>
      <c r="AZ169" s="12"/>
      <c r="BA169" s="12"/>
    </row>
    <row r="170" ht="15.75" customHeight="1">
      <c r="A170" s="7"/>
      <c r="B170" s="45">
        <v>510.0</v>
      </c>
      <c r="C170" s="11">
        <v>177.0</v>
      </c>
      <c r="D170" s="12">
        <v>0.275</v>
      </c>
      <c r="E170" s="13">
        <v>0.27569444444444446</v>
      </c>
      <c r="F170" s="14">
        <v>167.0</v>
      </c>
      <c r="G170" s="15">
        <v>0.3388888888888889</v>
      </c>
      <c r="H170" s="16">
        <v>0.3388888888888889</v>
      </c>
      <c r="I170" s="11">
        <v>163.0</v>
      </c>
      <c r="J170" s="12">
        <v>0.4173611111111111</v>
      </c>
      <c r="K170" s="13">
        <v>0.42291666666666666</v>
      </c>
      <c r="L170" s="17">
        <v>146.0</v>
      </c>
      <c r="M170" s="12">
        <v>0.5131944444444444</v>
      </c>
      <c r="N170" s="12">
        <v>0.5145833333333333</v>
      </c>
      <c r="O170" s="11">
        <v>139.0</v>
      </c>
      <c r="P170" s="12">
        <v>0.5888888888888889</v>
      </c>
      <c r="Q170" s="13">
        <v>0.5909722222222222</v>
      </c>
      <c r="R170" s="18">
        <v>142.0</v>
      </c>
      <c r="S170" s="12">
        <v>0.6673611111111111</v>
      </c>
      <c r="T170" s="13">
        <v>0.6694444444444444</v>
      </c>
      <c r="U170" s="11">
        <v>144.0</v>
      </c>
      <c r="V170" s="12">
        <v>0.725</v>
      </c>
      <c r="W170" s="13">
        <v>0.7381944444444445</v>
      </c>
      <c r="X170" s="11">
        <v>149.0</v>
      </c>
      <c r="Y170" s="19"/>
      <c r="Z170" s="13">
        <v>0.8743055555555556</v>
      </c>
      <c r="AA170" s="20">
        <v>159.0</v>
      </c>
      <c r="AB170" s="21">
        <v>0.9652777777777778</v>
      </c>
      <c r="AC170" s="54" t="s">
        <v>178</v>
      </c>
      <c r="AD170" s="18"/>
      <c r="AE170" s="18"/>
      <c r="AF170" s="47"/>
      <c r="AG170" s="11"/>
      <c r="AH170" s="12"/>
      <c r="AI170" s="13"/>
      <c r="AJ170" s="14"/>
      <c r="AK170" s="14"/>
      <c r="AL170" s="53"/>
      <c r="AM170" s="11"/>
      <c r="AN170" s="12"/>
      <c r="AO170" s="13"/>
      <c r="AP170" s="11"/>
      <c r="AQ170" s="12"/>
      <c r="AR170" s="13"/>
      <c r="AS170" s="11"/>
      <c r="AT170" s="12"/>
      <c r="AU170" s="13"/>
      <c r="AV170" s="11"/>
      <c r="AW170" s="12"/>
      <c r="AX170" s="13"/>
      <c r="AY170" s="34"/>
      <c r="AZ170" s="12"/>
      <c r="BA170" s="12"/>
    </row>
    <row r="171" ht="15.75" customHeight="1">
      <c r="A171" s="7"/>
      <c r="B171" s="45">
        <v>690.0</v>
      </c>
      <c r="C171" s="11">
        <v>97.0</v>
      </c>
      <c r="D171" s="12">
        <v>0.26805555555555555</v>
      </c>
      <c r="E171" s="13">
        <v>0.26875</v>
      </c>
      <c r="F171" s="14">
        <v>95.0</v>
      </c>
      <c r="G171" s="15">
        <v>0.32430555555555557</v>
      </c>
      <c r="H171" s="16">
        <v>0.32430555555555557</v>
      </c>
      <c r="I171" s="11">
        <v>89.0</v>
      </c>
      <c r="J171" s="12">
        <v>0.3902777777777778</v>
      </c>
      <c r="K171" s="13">
        <v>0.39305555555555555</v>
      </c>
      <c r="L171" s="17">
        <v>84.0</v>
      </c>
      <c r="M171" s="12">
        <v>0.48055555555555557</v>
      </c>
      <c r="N171" s="12">
        <v>0.48333333333333334</v>
      </c>
      <c r="O171" s="11">
        <v>90.0</v>
      </c>
      <c r="P171" s="12">
        <v>0.5555555555555556</v>
      </c>
      <c r="Q171" s="13">
        <v>0.55625</v>
      </c>
      <c r="R171" s="18">
        <v>86.0</v>
      </c>
      <c r="S171" s="12">
        <v>0.625</v>
      </c>
      <c r="T171" s="13">
        <v>0.6263888888888889</v>
      </c>
      <c r="U171" s="11">
        <v>88.0</v>
      </c>
      <c r="V171" s="12">
        <v>0.6784722222222223</v>
      </c>
      <c r="W171" s="13">
        <v>0.6902777777777778</v>
      </c>
      <c r="X171" s="11">
        <v>161.0</v>
      </c>
      <c r="Y171" s="26"/>
      <c r="Z171" s="13">
        <v>0.8958333333333334</v>
      </c>
      <c r="AA171" s="20">
        <v>162.0</v>
      </c>
      <c r="AB171" s="21">
        <v>0.9729166666666667</v>
      </c>
      <c r="AC171" s="54" t="s">
        <v>178</v>
      </c>
      <c r="AD171" s="18"/>
      <c r="AE171" s="18"/>
      <c r="AF171" s="47"/>
      <c r="AG171" s="11"/>
      <c r="AH171" s="18"/>
      <c r="AI171" s="38"/>
      <c r="AJ171" s="14"/>
      <c r="AK171" s="14"/>
      <c r="AL171" s="53"/>
      <c r="AM171" s="11"/>
      <c r="AN171" s="18"/>
      <c r="AO171" s="38"/>
      <c r="AP171" s="11"/>
      <c r="AQ171" s="18"/>
      <c r="AR171" s="38"/>
      <c r="AS171" s="11"/>
      <c r="AT171" s="18"/>
      <c r="AU171" s="38"/>
      <c r="AV171" s="11"/>
      <c r="AW171" s="18"/>
      <c r="AX171" s="38"/>
      <c r="AY171" s="34"/>
      <c r="AZ171" s="12"/>
      <c r="BA171" s="12"/>
    </row>
    <row r="172" ht="15.75" customHeight="1">
      <c r="A172" s="7"/>
      <c r="B172" s="45">
        <v>531.0</v>
      </c>
      <c r="C172" s="11">
        <v>174.0</v>
      </c>
      <c r="D172" s="12">
        <v>0.275</v>
      </c>
      <c r="E172" s="13">
        <v>0.27569444444444446</v>
      </c>
      <c r="F172" s="14">
        <v>160.0</v>
      </c>
      <c r="G172" s="15">
        <v>0.3388888888888889</v>
      </c>
      <c r="H172" s="16">
        <v>0.3388888888888889</v>
      </c>
      <c r="I172" s="11">
        <v>153.0</v>
      </c>
      <c r="J172" s="12">
        <v>0.41388888888888886</v>
      </c>
      <c r="K172" s="13">
        <v>0.4222222222222222</v>
      </c>
      <c r="L172" s="17">
        <v>154.0</v>
      </c>
      <c r="M172" s="12">
        <v>0.5166666666666667</v>
      </c>
      <c r="N172" s="12">
        <v>0.5180555555555556</v>
      </c>
      <c r="O172" s="11">
        <v>155.0</v>
      </c>
      <c r="P172" s="12">
        <v>0.5986111111111111</v>
      </c>
      <c r="Q172" s="13">
        <v>0.6076388888888888</v>
      </c>
      <c r="R172" s="18">
        <v>161.0</v>
      </c>
      <c r="S172" s="12">
        <v>0.6861111111111111</v>
      </c>
      <c r="T172" s="13">
        <v>0.6895833333333333</v>
      </c>
      <c r="U172" s="11">
        <v>162.0</v>
      </c>
      <c r="V172" s="12">
        <v>0.7486111111111111</v>
      </c>
      <c r="W172" s="13">
        <v>0.7715277777777778</v>
      </c>
      <c r="X172" s="11">
        <v>164.0</v>
      </c>
      <c r="Y172" s="19"/>
      <c r="Z172" s="13">
        <v>0.90625</v>
      </c>
      <c r="AA172" s="20">
        <v>167.0</v>
      </c>
      <c r="AB172" s="21">
        <v>0.003472222222222222</v>
      </c>
      <c r="AC172" s="54" t="s">
        <v>178</v>
      </c>
      <c r="AD172" s="18"/>
      <c r="AE172" s="18"/>
      <c r="AF172" s="47"/>
      <c r="AG172" s="11"/>
      <c r="AH172" s="12"/>
      <c r="AI172" s="13"/>
      <c r="AJ172" s="14"/>
      <c r="AK172" s="14"/>
      <c r="AL172" s="53"/>
      <c r="AM172" s="11"/>
      <c r="AN172" s="12"/>
      <c r="AO172" s="13"/>
      <c r="AP172" s="11"/>
      <c r="AQ172" s="12"/>
      <c r="AR172" s="13"/>
      <c r="AS172" s="11"/>
      <c r="AT172" s="12"/>
      <c r="AU172" s="13"/>
      <c r="AV172" s="11"/>
      <c r="AW172" s="12"/>
      <c r="AX172" s="13"/>
      <c r="AY172" s="34"/>
      <c r="AZ172" s="12"/>
      <c r="BA172" s="12"/>
    </row>
    <row r="173" ht="15.75" customHeight="1">
      <c r="A173" s="7"/>
      <c r="B173" s="45">
        <v>630.0</v>
      </c>
      <c r="C173" s="11">
        <v>149.0</v>
      </c>
      <c r="D173" s="12">
        <v>0.27152777777777776</v>
      </c>
      <c r="E173" s="13">
        <v>0.2722222222222222</v>
      </c>
      <c r="F173" s="14">
        <v>154.0</v>
      </c>
      <c r="G173" s="15">
        <v>0.33819444444444446</v>
      </c>
      <c r="H173" s="16">
        <v>0.33819444444444446</v>
      </c>
      <c r="I173" s="11">
        <v>164.0</v>
      </c>
      <c r="J173" s="12">
        <v>0.41875</v>
      </c>
      <c r="K173" s="13">
        <v>0.43472222222222223</v>
      </c>
      <c r="L173" s="17">
        <v>167.0</v>
      </c>
      <c r="M173" s="12">
        <v>0.5291666666666667</v>
      </c>
      <c r="N173" s="12">
        <v>0.5333333333333333</v>
      </c>
      <c r="O173" s="11">
        <v>171.0</v>
      </c>
      <c r="P173" s="12">
        <v>0.6138888888888889</v>
      </c>
      <c r="Q173" s="13">
        <v>0.6222222222222222</v>
      </c>
      <c r="R173" s="18">
        <v>175.0</v>
      </c>
      <c r="S173" s="12">
        <v>0.7055555555555556</v>
      </c>
      <c r="T173" s="13">
        <v>0.7097222222222223</v>
      </c>
      <c r="U173" s="11">
        <v>172.0</v>
      </c>
      <c r="V173" s="12">
        <v>0.7625</v>
      </c>
      <c r="W173" s="13">
        <v>0.7819444444444444</v>
      </c>
      <c r="X173" s="11">
        <v>166.0</v>
      </c>
      <c r="Y173" s="19"/>
      <c r="Z173" s="13">
        <v>0.9125</v>
      </c>
      <c r="AA173" s="20">
        <v>170.0</v>
      </c>
      <c r="AB173" s="21">
        <v>0.008333333333333333</v>
      </c>
      <c r="AC173" s="54" t="s">
        <v>178</v>
      </c>
      <c r="AD173" s="18"/>
      <c r="AE173" s="18"/>
      <c r="AF173" s="47"/>
      <c r="AG173" s="11"/>
      <c r="AH173" s="18"/>
      <c r="AI173" s="38"/>
      <c r="AJ173" s="14"/>
      <c r="AK173" s="14"/>
      <c r="AL173" s="53"/>
      <c r="AM173" s="11"/>
      <c r="AN173" s="12"/>
      <c r="AO173" s="13"/>
      <c r="AP173" s="11"/>
      <c r="AQ173" s="12"/>
      <c r="AR173" s="13"/>
      <c r="AS173" s="11"/>
      <c r="AT173" s="12"/>
      <c r="AU173" s="13"/>
      <c r="AV173" s="11"/>
      <c r="AW173" s="12"/>
      <c r="AX173" s="13"/>
      <c r="AY173" s="34"/>
      <c r="AZ173" s="12"/>
      <c r="BA173" s="12"/>
    </row>
    <row r="174" ht="15.75" customHeight="1">
      <c r="A174" s="7"/>
      <c r="B174" s="45">
        <v>540.0</v>
      </c>
      <c r="C174" s="11">
        <v>193.0</v>
      </c>
      <c r="D174" s="12">
        <v>0.28125</v>
      </c>
      <c r="E174" s="13">
        <v>0.28194444444444444</v>
      </c>
      <c r="F174" s="14">
        <v>189.0</v>
      </c>
      <c r="G174" s="15">
        <v>0.35347222222222224</v>
      </c>
      <c r="H174" s="16">
        <v>0.35347222222222224</v>
      </c>
      <c r="I174" s="11">
        <v>194.0</v>
      </c>
      <c r="J174" s="12">
        <v>0.44305555555555554</v>
      </c>
      <c r="K174" s="13">
        <v>0.45208333333333334</v>
      </c>
      <c r="L174" s="17">
        <v>188.0</v>
      </c>
      <c r="M174" s="12">
        <v>0.5576388888888889</v>
      </c>
      <c r="N174" s="12">
        <v>0.5597222222222222</v>
      </c>
      <c r="O174" s="11">
        <v>188.0</v>
      </c>
      <c r="P174" s="12">
        <v>0.6486111111111111</v>
      </c>
      <c r="Q174" s="13">
        <v>0.65</v>
      </c>
      <c r="R174" s="18">
        <v>185.0</v>
      </c>
      <c r="S174" s="12">
        <v>0.7305555555555555</v>
      </c>
      <c r="T174" s="13">
        <v>0.7326388888888888</v>
      </c>
      <c r="U174" s="11">
        <v>182.0</v>
      </c>
      <c r="V174" s="12">
        <v>0.7951388888888888</v>
      </c>
      <c r="W174" s="13">
        <v>0.8104166666666667</v>
      </c>
      <c r="X174" s="11">
        <v>174.0</v>
      </c>
      <c r="Y174" s="19"/>
      <c r="Z174" s="13">
        <v>0.9527777777777777</v>
      </c>
      <c r="AA174" s="55" t="s">
        <v>178</v>
      </c>
      <c r="AB174" s="20"/>
      <c r="AC174" s="56"/>
      <c r="AD174" s="18"/>
      <c r="AE174" s="18"/>
      <c r="AF174" s="47"/>
      <c r="AG174" s="11"/>
      <c r="AH174" s="18"/>
      <c r="AI174" s="38"/>
      <c r="AJ174" s="14"/>
      <c r="AK174" s="14"/>
      <c r="AL174" s="53"/>
      <c r="AM174" s="11"/>
      <c r="AN174" s="12"/>
      <c r="AO174" s="13"/>
      <c r="AP174" s="11"/>
      <c r="AQ174" s="12"/>
      <c r="AR174" s="13"/>
      <c r="AS174" s="11"/>
      <c r="AT174" s="12"/>
      <c r="AU174" s="13"/>
      <c r="AV174" s="11"/>
      <c r="AW174" s="12"/>
      <c r="AX174" s="13"/>
      <c r="AY174" s="34"/>
      <c r="AZ174" s="12"/>
      <c r="BA174" s="12"/>
    </row>
    <row r="175" ht="15.75" customHeight="1">
      <c r="A175" s="7"/>
      <c r="B175" s="45">
        <v>517.0</v>
      </c>
      <c r="C175" s="11">
        <v>75.0</v>
      </c>
      <c r="D175" s="12">
        <v>0.2652777777777778</v>
      </c>
      <c r="E175" s="13">
        <v>0.2659722222222222</v>
      </c>
      <c r="F175" s="14">
        <v>74.0</v>
      </c>
      <c r="G175" s="15">
        <v>0.32083333333333336</v>
      </c>
      <c r="H175" s="16">
        <v>0.32083333333333336</v>
      </c>
      <c r="I175" s="11">
        <v>121.0</v>
      </c>
      <c r="J175" s="12">
        <v>0.4027777777777778</v>
      </c>
      <c r="K175" s="13">
        <v>0.40902777777777777</v>
      </c>
      <c r="L175" s="17">
        <v>124.0</v>
      </c>
      <c r="M175" s="12">
        <v>0.5020833333333333</v>
      </c>
      <c r="N175" s="12">
        <v>0.5097222222222222</v>
      </c>
      <c r="O175" s="11">
        <v>148.0</v>
      </c>
      <c r="P175" s="12">
        <v>0.5944444444444444</v>
      </c>
      <c r="Q175" s="13">
        <v>0.6006944444444444</v>
      </c>
      <c r="R175" s="18">
        <v>165.0</v>
      </c>
      <c r="S175" s="12">
        <v>0.6930555555555555</v>
      </c>
      <c r="T175" s="13">
        <v>0.7166666666666667</v>
      </c>
      <c r="U175" s="11">
        <v>176.0</v>
      </c>
      <c r="V175" s="12">
        <v>0.7708333333333334</v>
      </c>
      <c r="W175" s="13">
        <v>0.78125</v>
      </c>
      <c r="X175" s="11">
        <v>175.0</v>
      </c>
      <c r="Y175" s="19"/>
      <c r="Z175" s="13">
        <v>0.9534722222222223</v>
      </c>
      <c r="AA175" s="55" t="s">
        <v>178</v>
      </c>
      <c r="AB175" s="20"/>
      <c r="AC175" s="56"/>
      <c r="AD175" s="18"/>
      <c r="AE175" s="18"/>
      <c r="AF175" s="47"/>
      <c r="AG175" s="11"/>
      <c r="AH175" s="12"/>
      <c r="AI175" s="38"/>
      <c r="AJ175" s="14"/>
      <c r="AK175" s="14"/>
      <c r="AL175" s="53"/>
      <c r="AM175" s="11"/>
      <c r="AN175" s="12"/>
      <c r="AO175" s="38"/>
      <c r="AP175" s="11"/>
      <c r="AQ175" s="12"/>
      <c r="AR175" s="38"/>
      <c r="AS175" s="11"/>
      <c r="AT175" s="12"/>
      <c r="AU175" s="38"/>
      <c r="AV175" s="11"/>
      <c r="AW175" s="12"/>
      <c r="AX175" s="38"/>
      <c r="AY175" s="34"/>
      <c r="AZ175" s="12"/>
      <c r="BA175" s="12"/>
    </row>
    <row r="176" ht="15.75" customHeight="1">
      <c r="A176" s="7"/>
      <c r="B176" s="45">
        <v>678.0</v>
      </c>
      <c r="C176" s="11">
        <v>195.0</v>
      </c>
      <c r="D176" s="12">
        <v>0.28125</v>
      </c>
      <c r="E176" s="13">
        <v>0.28194444444444444</v>
      </c>
      <c r="F176" s="14">
        <v>193.0</v>
      </c>
      <c r="G176" s="15">
        <v>0.3541666666666667</v>
      </c>
      <c r="H176" s="16">
        <v>0.3541666666666667</v>
      </c>
      <c r="I176" s="11">
        <v>193.0</v>
      </c>
      <c r="J176" s="12">
        <v>0.4409722222222222</v>
      </c>
      <c r="K176" s="13">
        <v>0.45</v>
      </c>
      <c r="L176" s="17">
        <v>191.0</v>
      </c>
      <c r="M176" s="12">
        <v>0.5638888888888889</v>
      </c>
      <c r="N176" s="12">
        <v>0.5659722222222222</v>
      </c>
      <c r="O176" s="11">
        <v>187.0</v>
      </c>
      <c r="P176" s="12">
        <v>0.6486111111111111</v>
      </c>
      <c r="Q176" s="13">
        <v>0.6513888888888889</v>
      </c>
      <c r="R176" s="18">
        <v>186.0</v>
      </c>
      <c r="S176" s="12">
        <v>0.7319444444444444</v>
      </c>
      <c r="T176" s="13">
        <v>0.7340277777777777</v>
      </c>
      <c r="U176" s="11">
        <v>183.0</v>
      </c>
      <c r="V176" s="12">
        <v>0.7951388888888888</v>
      </c>
      <c r="W176" s="13">
        <v>0.8145833333333333</v>
      </c>
      <c r="X176" s="11">
        <v>173.0</v>
      </c>
      <c r="Y176" s="19"/>
      <c r="Z176" s="13">
        <v>0.9513888888888888</v>
      </c>
      <c r="AA176" s="55" t="s">
        <v>178</v>
      </c>
      <c r="AB176" s="20"/>
      <c r="AC176" s="56"/>
      <c r="AD176" s="18"/>
      <c r="AE176" s="18"/>
      <c r="AF176" s="47"/>
      <c r="AG176" s="11"/>
      <c r="AH176" s="18"/>
      <c r="AI176" s="38"/>
      <c r="AJ176" s="14"/>
      <c r="AK176" s="14"/>
      <c r="AL176" s="53"/>
      <c r="AM176" s="11"/>
      <c r="AN176" s="18"/>
      <c r="AO176" s="38"/>
      <c r="AP176" s="11"/>
      <c r="AQ176" s="18"/>
      <c r="AR176" s="38"/>
      <c r="AS176" s="11"/>
      <c r="AT176" s="18"/>
      <c r="AU176" s="38"/>
      <c r="AV176" s="11"/>
      <c r="AW176" s="18"/>
      <c r="AX176" s="38"/>
      <c r="AY176" s="34"/>
      <c r="AZ176" s="12"/>
      <c r="BA176" s="12"/>
    </row>
    <row r="177" ht="15.75" customHeight="1">
      <c r="A177" s="7"/>
      <c r="B177" s="45">
        <v>707.0</v>
      </c>
      <c r="C177" s="11">
        <v>151.0</v>
      </c>
      <c r="D177" s="12">
        <v>0.2743055555555556</v>
      </c>
      <c r="E177" s="13">
        <v>0.275</v>
      </c>
      <c r="F177" s="14">
        <v>153.0</v>
      </c>
      <c r="G177" s="15">
        <v>0.33819444444444446</v>
      </c>
      <c r="H177" s="16">
        <v>0.33819444444444446</v>
      </c>
      <c r="I177" s="11">
        <v>149.0</v>
      </c>
      <c r="J177" s="12">
        <v>0.4125</v>
      </c>
      <c r="K177" s="13">
        <v>0.4215277777777778</v>
      </c>
      <c r="L177" s="17">
        <v>132.0</v>
      </c>
      <c r="M177" s="12">
        <v>0.5048611111111111</v>
      </c>
      <c r="N177" s="12">
        <v>0.5076388888888889</v>
      </c>
      <c r="O177" s="11">
        <v>126.0</v>
      </c>
      <c r="P177" s="12">
        <v>0.5798611111111112</v>
      </c>
      <c r="Q177" s="13">
        <v>0.5833333333333334</v>
      </c>
      <c r="R177" s="18">
        <v>118.0</v>
      </c>
      <c r="S177" s="12">
        <v>0.6527777777777778</v>
      </c>
      <c r="T177" s="13">
        <v>0.65625</v>
      </c>
      <c r="U177" s="11">
        <v>121.0</v>
      </c>
      <c r="V177" s="12">
        <v>0.7097222222222223</v>
      </c>
      <c r="W177" s="13">
        <v>0.725</v>
      </c>
      <c r="X177" s="57" t="s">
        <v>178</v>
      </c>
      <c r="Y177" s="12"/>
      <c r="Z177" s="13"/>
      <c r="AA177" s="20"/>
      <c r="AB177" s="20"/>
      <c r="AC177" s="56"/>
      <c r="AD177" s="18"/>
      <c r="AE177" s="18"/>
      <c r="AF177" s="47"/>
      <c r="AG177" s="11"/>
      <c r="AH177" s="18"/>
      <c r="AI177" s="38"/>
      <c r="AJ177" s="14"/>
      <c r="AK177" s="14"/>
      <c r="AL177" s="53"/>
      <c r="AM177" s="11"/>
      <c r="AN177" s="12"/>
      <c r="AO177" s="13"/>
      <c r="AP177" s="11"/>
      <c r="AQ177" s="12"/>
      <c r="AR177" s="13"/>
      <c r="AS177" s="11"/>
      <c r="AT177" s="12"/>
      <c r="AU177" s="38"/>
      <c r="AV177" s="11"/>
      <c r="AW177" s="12"/>
      <c r="AX177" s="38"/>
      <c r="AY177" s="34"/>
      <c r="AZ177" s="12"/>
      <c r="BA177" s="12"/>
    </row>
    <row r="178" ht="15.75" customHeight="1">
      <c r="A178" s="7"/>
      <c r="B178" s="45">
        <v>542.0</v>
      </c>
      <c r="C178" s="11">
        <v>145.0</v>
      </c>
      <c r="D178" s="12">
        <v>0.27152777777777776</v>
      </c>
      <c r="E178" s="13">
        <v>0.2722222222222222</v>
      </c>
      <c r="F178" s="14">
        <v>156.0</v>
      </c>
      <c r="G178" s="15">
        <v>0.33819444444444446</v>
      </c>
      <c r="H178" s="16">
        <v>0.33819444444444446</v>
      </c>
      <c r="I178" s="11">
        <v>114.0</v>
      </c>
      <c r="J178" s="12">
        <v>0.40069444444444446</v>
      </c>
      <c r="K178" s="13">
        <v>0.4097222222222222</v>
      </c>
      <c r="L178" s="17">
        <v>138.0</v>
      </c>
      <c r="M178" s="12">
        <v>0.5055555555555555</v>
      </c>
      <c r="N178" s="12">
        <v>0.5118055555555555</v>
      </c>
      <c r="O178" s="11">
        <v>150.0</v>
      </c>
      <c r="P178" s="12">
        <v>0.5944444444444444</v>
      </c>
      <c r="Q178" s="13">
        <v>0.5993055555555555</v>
      </c>
      <c r="R178" s="18">
        <v>148.0</v>
      </c>
      <c r="S178" s="12">
        <v>0.6770833333333334</v>
      </c>
      <c r="T178" s="13">
        <v>0.6868055555555556</v>
      </c>
      <c r="U178" s="11">
        <v>158.0</v>
      </c>
      <c r="V178" s="12">
        <v>0.74375</v>
      </c>
      <c r="W178" s="13">
        <v>0.7631944444444444</v>
      </c>
      <c r="X178" s="57" t="s">
        <v>178</v>
      </c>
      <c r="Y178" s="12"/>
      <c r="Z178" s="13"/>
      <c r="AA178" s="20"/>
      <c r="AB178" s="20"/>
      <c r="AC178" s="56"/>
      <c r="AD178" s="18"/>
      <c r="AE178" s="18"/>
      <c r="AF178" s="47"/>
      <c r="AG178" s="11"/>
      <c r="AH178" s="12"/>
      <c r="AI178" s="13"/>
      <c r="AJ178" s="14"/>
      <c r="AK178" s="14"/>
      <c r="AL178" s="53"/>
      <c r="AM178" s="11"/>
      <c r="AN178" s="12"/>
      <c r="AO178" s="13"/>
      <c r="AP178" s="11"/>
      <c r="AQ178" s="12"/>
      <c r="AR178" s="13"/>
      <c r="AS178" s="11"/>
      <c r="AT178" s="12"/>
      <c r="AU178" s="13"/>
      <c r="AV178" s="11"/>
      <c r="AW178" s="12"/>
      <c r="AX178" s="13"/>
      <c r="AY178" s="34"/>
      <c r="AZ178" s="12"/>
      <c r="BA178" s="12"/>
    </row>
    <row r="179" ht="15.75" customHeight="1">
      <c r="A179" s="7"/>
      <c r="B179" s="45">
        <v>532.0</v>
      </c>
      <c r="C179" s="11">
        <v>163.0</v>
      </c>
      <c r="D179" s="12">
        <v>0.2743055555555556</v>
      </c>
      <c r="E179" s="13">
        <v>0.275</v>
      </c>
      <c r="F179" s="14">
        <v>165.0</v>
      </c>
      <c r="G179" s="15">
        <v>0.3388888888888889</v>
      </c>
      <c r="H179" s="16">
        <v>0.3388888888888889</v>
      </c>
      <c r="I179" s="11">
        <v>154.0</v>
      </c>
      <c r="J179" s="12">
        <v>0.41388888888888886</v>
      </c>
      <c r="K179" s="13">
        <v>0.4222222222222222</v>
      </c>
      <c r="L179" s="17">
        <v>151.0</v>
      </c>
      <c r="M179" s="12">
        <v>0.5145833333333333</v>
      </c>
      <c r="N179" s="12">
        <v>0.5180555555555556</v>
      </c>
      <c r="O179" s="11">
        <v>154.0</v>
      </c>
      <c r="P179" s="12">
        <v>0.5986111111111111</v>
      </c>
      <c r="Q179" s="13">
        <v>0.6076388888888888</v>
      </c>
      <c r="R179" s="18">
        <v>159.0</v>
      </c>
      <c r="S179" s="12">
        <v>0.6861111111111111</v>
      </c>
      <c r="T179" s="13">
        <v>0.6888888888888889</v>
      </c>
      <c r="U179" s="11">
        <v>161.0</v>
      </c>
      <c r="V179" s="12">
        <v>0.7486111111111111</v>
      </c>
      <c r="W179" s="13">
        <v>0.7715277777777778</v>
      </c>
      <c r="X179" s="57" t="s">
        <v>178</v>
      </c>
      <c r="Y179" s="12"/>
      <c r="Z179" s="13"/>
      <c r="AA179" s="20"/>
      <c r="AB179" s="20"/>
      <c r="AC179" s="56"/>
      <c r="AD179" s="18"/>
      <c r="AE179" s="18"/>
      <c r="AF179" s="47"/>
      <c r="AG179" s="11"/>
      <c r="AH179" s="12"/>
      <c r="AI179" s="13"/>
      <c r="AJ179" s="14"/>
      <c r="AK179" s="14"/>
      <c r="AL179" s="53"/>
      <c r="AM179" s="11"/>
      <c r="AN179" s="12"/>
      <c r="AO179" s="13"/>
      <c r="AP179" s="11"/>
      <c r="AQ179" s="12"/>
      <c r="AR179" s="13"/>
      <c r="AS179" s="11"/>
      <c r="AT179" s="12"/>
      <c r="AU179" s="13"/>
      <c r="AV179" s="11"/>
      <c r="AW179" s="12"/>
      <c r="AX179" s="13"/>
      <c r="AY179" s="34"/>
      <c r="AZ179" s="12"/>
      <c r="BA179" s="12"/>
    </row>
    <row r="180" ht="15.75" customHeight="1">
      <c r="A180" s="7"/>
      <c r="B180" s="45">
        <v>506.0</v>
      </c>
      <c r="C180" s="11">
        <v>88.0</v>
      </c>
      <c r="D180" s="12">
        <v>0.2673611111111111</v>
      </c>
      <c r="E180" s="13">
        <v>0.26805555555555555</v>
      </c>
      <c r="F180" s="14">
        <v>117.0</v>
      </c>
      <c r="G180" s="15">
        <v>0.3298611111111111</v>
      </c>
      <c r="H180" s="16">
        <v>0.3298611111111111</v>
      </c>
      <c r="I180" s="11">
        <v>133.0</v>
      </c>
      <c r="J180" s="12">
        <v>0.4076388888888889</v>
      </c>
      <c r="K180" s="13">
        <v>0.41180555555555554</v>
      </c>
      <c r="L180" s="17">
        <v>142.0</v>
      </c>
      <c r="M180" s="12">
        <v>0.5083333333333333</v>
      </c>
      <c r="N180" s="12">
        <v>0.5138888888888888</v>
      </c>
      <c r="O180" s="11">
        <v>146.0</v>
      </c>
      <c r="P180" s="12">
        <v>0.59375</v>
      </c>
      <c r="Q180" s="13">
        <v>0.5993055555555555</v>
      </c>
      <c r="R180" s="18">
        <v>156.0</v>
      </c>
      <c r="S180" s="12">
        <v>0.6854166666666667</v>
      </c>
      <c r="T180" s="13">
        <v>0.7013888888888888</v>
      </c>
      <c r="U180" s="11">
        <v>168.0</v>
      </c>
      <c r="V180" s="12">
        <v>0.75625</v>
      </c>
      <c r="W180" s="13">
        <v>0.7680555555555556</v>
      </c>
      <c r="X180" s="57" t="s">
        <v>178</v>
      </c>
      <c r="Y180" s="12"/>
      <c r="Z180" s="13"/>
      <c r="AA180" s="20"/>
      <c r="AB180" s="20"/>
      <c r="AC180" s="56"/>
      <c r="AD180" s="18"/>
      <c r="AE180" s="18"/>
      <c r="AF180" s="47"/>
      <c r="AG180" s="11"/>
      <c r="AH180" s="18"/>
      <c r="AI180" s="38"/>
      <c r="AJ180" s="14"/>
      <c r="AK180" s="14"/>
      <c r="AL180" s="53"/>
      <c r="AM180" s="11"/>
      <c r="AN180" s="18"/>
      <c r="AO180" s="38"/>
      <c r="AP180" s="11"/>
      <c r="AQ180" s="18"/>
      <c r="AR180" s="38"/>
      <c r="AS180" s="11"/>
      <c r="AT180" s="18"/>
      <c r="AU180" s="38"/>
      <c r="AV180" s="11"/>
      <c r="AW180" s="18"/>
      <c r="AX180" s="38"/>
      <c r="AY180" s="34"/>
      <c r="AZ180" s="12"/>
      <c r="BA180" s="12"/>
    </row>
    <row r="181" ht="15.75" customHeight="1">
      <c r="A181" s="7"/>
      <c r="B181" s="45">
        <v>508.0</v>
      </c>
      <c r="C181" s="11">
        <v>187.0</v>
      </c>
      <c r="D181" s="12">
        <v>0.2798611111111111</v>
      </c>
      <c r="E181" s="13">
        <v>0.28055555555555556</v>
      </c>
      <c r="F181" s="14">
        <v>195.0</v>
      </c>
      <c r="G181" s="15">
        <v>0.3576388888888889</v>
      </c>
      <c r="H181" s="16">
        <v>0.3576388888888889</v>
      </c>
      <c r="I181" s="11">
        <v>197.0</v>
      </c>
      <c r="J181" s="12">
        <v>0.4465277777777778</v>
      </c>
      <c r="K181" s="13">
        <v>0.4534722222222222</v>
      </c>
      <c r="L181" s="17">
        <v>190.0</v>
      </c>
      <c r="M181" s="12">
        <v>0.5618055555555556</v>
      </c>
      <c r="N181" s="12">
        <v>0.5652777777777778</v>
      </c>
      <c r="O181" s="11">
        <v>190.0</v>
      </c>
      <c r="P181" s="12">
        <v>0.6534722222222222</v>
      </c>
      <c r="Q181" s="13">
        <v>0.6604166666666667</v>
      </c>
      <c r="R181" s="18">
        <v>190.0</v>
      </c>
      <c r="S181" s="12">
        <v>0.7444444444444445</v>
      </c>
      <c r="T181" s="13">
        <v>0.7493055555555556</v>
      </c>
      <c r="U181" s="11">
        <v>187.0</v>
      </c>
      <c r="V181" s="12">
        <v>0.8013888888888889</v>
      </c>
      <c r="W181" s="13">
        <v>0.8215277777777777</v>
      </c>
      <c r="X181" s="57" t="s">
        <v>178</v>
      </c>
      <c r="Y181" s="12"/>
      <c r="Z181" s="13"/>
      <c r="AA181" s="20"/>
      <c r="AB181" s="20"/>
      <c r="AC181" s="56"/>
      <c r="AD181" s="18"/>
      <c r="AE181" s="18"/>
      <c r="AF181" s="47"/>
      <c r="AG181" s="11"/>
      <c r="AH181" s="18"/>
      <c r="AI181" s="38"/>
      <c r="AJ181" s="14"/>
      <c r="AK181" s="14"/>
      <c r="AL181" s="53"/>
      <c r="AM181" s="11"/>
      <c r="AN181" s="18"/>
      <c r="AO181" s="38"/>
      <c r="AP181" s="11"/>
      <c r="AQ181" s="18"/>
      <c r="AR181" s="38"/>
      <c r="AS181" s="11"/>
      <c r="AT181" s="18"/>
      <c r="AU181" s="38"/>
      <c r="AV181" s="11"/>
      <c r="AW181" s="18"/>
      <c r="AX181" s="38"/>
      <c r="AY181" s="34"/>
      <c r="AZ181" s="12"/>
      <c r="BA181" s="12"/>
    </row>
    <row r="182" ht="15.75" customHeight="1">
      <c r="A182" s="7"/>
      <c r="B182" s="45">
        <v>667.0</v>
      </c>
      <c r="C182" s="11">
        <v>188.0</v>
      </c>
      <c r="D182" s="12">
        <v>0.2798611111111111</v>
      </c>
      <c r="E182" s="13">
        <v>0.28055555555555556</v>
      </c>
      <c r="F182" s="14">
        <v>174.0</v>
      </c>
      <c r="G182" s="15">
        <v>0.3416666666666667</v>
      </c>
      <c r="H182" s="16">
        <v>0.3416666666666667</v>
      </c>
      <c r="I182" s="11">
        <v>180.0</v>
      </c>
      <c r="J182" s="12">
        <v>0.425</v>
      </c>
      <c r="K182" s="13">
        <v>0.43472222222222223</v>
      </c>
      <c r="L182" s="17">
        <v>180.0</v>
      </c>
      <c r="M182" s="12">
        <v>0.5388888888888889</v>
      </c>
      <c r="N182" s="12">
        <v>0.54375</v>
      </c>
      <c r="O182" s="11">
        <v>181.0</v>
      </c>
      <c r="P182" s="12">
        <v>0.6243055555555556</v>
      </c>
      <c r="Q182" s="13">
        <v>0.6291666666666667</v>
      </c>
      <c r="R182" s="18">
        <v>182.0</v>
      </c>
      <c r="S182" s="12">
        <v>0.7173611111111111</v>
      </c>
      <c r="T182" s="13">
        <v>0.7236111111111111</v>
      </c>
      <c r="U182" s="11">
        <v>188.0</v>
      </c>
      <c r="V182" s="12">
        <v>0.8034722222222223</v>
      </c>
      <c r="W182" s="13">
        <v>0.8104166666666667</v>
      </c>
      <c r="X182" s="57" t="s">
        <v>178</v>
      </c>
      <c r="Y182" s="12"/>
      <c r="Z182" s="13"/>
      <c r="AA182" s="20"/>
      <c r="AB182" s="20"/>
      <c r="AC182" s="56"/>
      <c r="AD182" s="18"/>
      <c r="AE182" s="18"/>
      <c r="AF182" s="47"/>
      <c r="AG182" s="11"/>
      <c r="AH182" s="18"/>
      <c r="AI182" s="38"/>
      <c r="AJ182" s="14"/>
      <c r="AK182" s="14"/>
      <c r="AL182" s="53"/>
      <c r="AM182" s="11"/>
      <c r="AN182" s="12"/>
      <c r="AO182" s="13"/>
      <c r="AP182" s="11"/>
      <c r="AQ182" s="12"/>
      <c r="AR182" s="13"/>
      <c r="AS182" s="11"/>
      <c r="AT182" s="12"/>
      <c r="AU182" s="13"/>
      <c r="AV182" s="11"/>
      <c r="AW182" s="12"/>
      <c r="AX182" s="13"/>
      <c r="AY182" s="34"/>
      <c r="AZ182" s="12"/>
      <c r="BA182" s="12"/>
    </row>
    <row r="183" ht="15.75" customHeight="1">
      <c r="A183" s="7"/>
      <c r="B183" s="45">
        <v>539.0</v>
      </c>
      <c r="C183" s="11">
        <v>182.0</v>
      </c>
      <c r="D183" s="12">
        <v>0.2777777777777778</v>
      </c>
      <c r="E183" s="13">
        <v>0.27847222222222223</v>
      </c>
      <c r="F183" s="14">
        <v>184.0</v>
      </c>
      <c r="G183" s="15">
        <v>0.3458333333333333</v>
      </c>
      <c r="H183" s="16">
        <v>0.3458333333333333</v>
      </c>
      <c r="I183" s="11">
        <v>177.0</v>
      </c>
      <c r="J183" s="12">
        <v>0.42430555555555555</v>
      </c>
      <c r="K183" s="13">
        <v>0.42986111111111114</v>
      </c>
      <c r="L183" s="17">
        <v>163.0</v>
      </c>
      <c r="M183" s="12">
        <v>0.5270833333333333</v>
      </c>
      <c r="N183" s="12">
        <v>0.5298611111111111</v>
      </c>
      <c r="O183" s="11">
        <v>169.0</v>
      </c>
      <c r="P183" s="12">
        <v>0.6131944444444445</v>
      </c>
      <c r="Q183" s="13">
        <v>0.625</v>
      </c>
      <c r="R183" s="18">
        <v>181.0</v>
      </c>
      <c r="S183" s="12">
        <v>0.7166666666666667</v>
      </c>
      <c r="T183" s="13">
        <v>0.7208333333333333</v>
      </c>
      <c r="U183" s="11">
        <v>189.0</v>
      </c>
      <c r="V183" s="12">
        <v>0.80625</v>
      </c>
      <c r="W183" s="13">
        <v>0.8277777777777777</v>
      </c>
      <c r="X183" s="57" t="s">
        <v>178</v>
      </c>
      <c r="Y183" s="12"/>
      <c r="Z183" s="13"/>
      <c r="AA183" s="20"/>
      <c r="AB183" s="20"/>
      <c r="AC183" s="56"/>
      <c r="AD183" s="18"/>
      <c r="AE183" s="18"/>
      <c r="AF183" s="47"/>
      <c r="AG183" s="11"/>
      <c r="AH183" s="18"/>
      <c r="AI183" s="38"/>
      <c r="AJ183" s="14"/>
      <c r="AK183" s="14"/>
      <c r="AL183" s="53"/>
      <c r="AM183" s="11"/>
      <c r="AN183" s="12"/>
      <c r="AO183" s="13"/>
      <c r="AP183" s="11"/>
      <c r="AQ183" s="12"/>
      <c r="AR183" s="13"/>
      <c r="AS183" s="11"/>
      <c r="AT183" s="12"/>
      <c r="AU183" s="13"/>
      <c r="AV183" s="11"/>
      <c r="AW183" s="12"/>
      <c r="AX183" s="13"/>
      <c r="AY183" s="34"/>
      <c r="AZ183" s="12"/>
      <c r="BA183" s="12"/>
    </row>
    <row r="184" ht="15.75" customHeight="1">
      <c r="A184" s="7"/>
      <c r="B184" s="45">
        <v>576.0</v>
      </c>
      <c r="C184" s="11">
        <v>186.0</v>
      </c>
      <c r="D184" s="12">
        <v>0.2791666666666667</v>
      </c>
      <c r="E184" s="13">
        <v>0.2798611111111111</v>
      </c>
      <c r="F184" s="14">
        <v>192.0</v>
      </c>
      <c r="G184" s="15">
        <v>0.3541666666666667</v>
      </c>
      <c r="H184" s="16">
        <v>0.3541666666666667</v>
      </c>
      <c r="I184" s="11">
        <v>192.0</v>
      </c>
      <c r="J184" s="12">
        <v>0.44027777777777777</v>
      </c>
      <c r="K184" s="13">
        <v>0.44375</v>
      </c>
      <c r="L184" s="17">
        <v>189.0</v>
      </c>
      <c r="M184" s="12">
        <v>0.5597222222222222</v>
      </c>
      <c r="N184" s="12">
        <v>0.5638888888888889</v>
      </c>
      <c r="O184" s="11">
        <v>189.0</v>
      </c>
      <c r="P184" s="12">
        <v>0.6527777777777778</v>
      </c>
      <c r="Q184" s="13">
        <v>0.6569444444444444</v>
      </c>
      <c r="R184" s="18">
        <v>189.0</v>
      </c>
      <c r="S184" s="12">
        <v>0.74375</v>
      </c>
      <c r="T184" s="13">
        <v>0.7479166666666667</v>
      </c>
      <c r="U184" s="11">
        <v>190.0</v>
      </c>
      <c r="V184" s="12">
        <v>0.8104166666666667</v>
      </c>
      <c r="W184" s="13">
        <v>0.8298611111111112</v>
      </c>
      <c r="X184" s="57" t="s">
        <v>178</v>
      </c>
      <c r="Y184" s="12"/>
      <c r="Z184" s="13"/>
      <c r="AA184" s="20"/>
      <c r="AB184" s="20"/>
      <c r="AC184" s="56"/>
      <c r="AD184" s="18"/>
      <c r="AE184" s="18"/>
      <c r="AF184" s="47"/>
      <c r="AG184" s="11"/>
      <c r="AH184" s="18"/>
      <c r="AI184" s="38"/>
      <c r="AJ184" s="14"/>
      <c r="AK184" s="14"/>
      <c r="AL184" s="53"/>
      <c r="AM184" s="11"/>
      <c r="AN184" s="12"/>
      <c r="AO184" s="13"/>
      <c r="AP184" s="11"/>
      <c r="AQ184" s="12"/>
      <c r="AR184" s="13"/>
      <c r="AS184" s="11"/>
      <c r="AT184" s="12"/>
      <c r="AU184" s="13"/>
      <c r="AV184" s="11"/>
      <c r="AW184" s="12"/>
      <c r="AX184" s="13"/>
      <c r="AY184" s="34"/>
      <c r="AZ184" s="12"/>
      <c r="BA184" s="12"/>
    </row>
    <row r="185" ht="15.75" customHeight="1">
      <c r="A185" s="7"/>
      <c r="B185" s="45">
        <v>640.0</v>
      </c>
      <c r="C185" s="11">
        <v>25.0</v>
      </c>
      <c r="D185" s="12">
        <v>0.2590277777777778</v>
      </c>
      <c r="E185" s="13">
        <v>0.25972222222222224</v>
      </c>
      <c r="F185" s="14">
        <v>30.0</v>
      </c>
      <c r="G185" s="15">
        <v>0.30694444444444446</v>
      </c>
      <c r="H185" s="16">
        <v>0.30694444444444446</v>
      </c>
      <c r="I185" s="11">
        <v>25.0</v>
      </c>
      <c r="J185" s="12">
        <v>0.3638888888888889</v>
      </c>
      <c r="K185" s="13">
        <v>0.3680555555555556</v>
      </c>
      <c r="L185" s="17">
        <v>28.0</v>
      </c>
      <c r="M185" s="12">
        <v>0.4444444444444444</v>
      </c>
      <c r="N185" s="12">
        <v>0.44722222222222224</v>
      </c>
      <c r="O185" s="11">
        <v>32.0</v>
      </c>
      <c r="P185" s="12">
        <v>0.5048611111111111</v>
      </c>
      <c r="Q185" s="13">
        <v>0.5069444444444444</v>
      </c>
      <c r="R185" s="18">
        <v>34.0</v>
      </c>
      <c r="S185" s="12">
        <v>0.5666666666666667</v>
      </c>
      <c r="T185" s="13">
        <v>0.5701388888888889</v>
      </c>
      <c r="U185" s="11">
        <v>42.0</v>
      </c>
      <c r="V185" s="12">
        <v>0.6145833333333334</v>
      </c>
      <c r="W185" s="50" t="s">
        <v>178</v>
      </c>
      <c r="X185" s="11"/>
      <c r="Y185" s="12"/>
      <c r="Z185" s="13"/>
      <c r="AA185" s="20"/>
      <c r="AB185" s="20"/>
      <c r="AC185" s="56"/>
      <c r="AD185" s="18"/>
      <c r="AE185" s="18"/>
      <c r="AF185" s="47"/>
      <c r="AG185" s="11"/>
      <c r="AH185" s="18"/>
      <c r="AI185" s="38"/>
      <c r="AJ185" s="14"/>
      <c r="AK185" s="14"/>
      <c r="AL185" s="53"/>
      <c r="AM185" s="11"/>
      <c r="AN185" s="12"/>
      <c r="AO185" s="13"/>
      <c r="AP185" s="11"/>
      <c r="AQ185" s="12"/>
      <c r="AR185" s="13"/>
      <c r="AS185" s="11"/>
      <c r="AT185" s="12"/>
      <c r="AU185" s="13"/>
      <c r="AV185" s="11"/>
      <c r="AW185" s="12"/>
      <c r="AX185" s="13"/>
      <c r="AY185" s="34"/>
      <c r="AZ185" s="12"/>
      <c r="BA185" s="12"/>
    </row>
    <row r="186" ht="15.75" customHeight="1">
      <c r="A186" s="7"/>
      <c r="B186" s="45">
        <v>600.0</v>
      </c>
      <c r="C186" s="11">
        <v>55.0</v>
      </c>
      <c r="D186" s="12">
        <v>0.26319444444444445</v>
      </c>
      <c r="E186" s="13">
        <v>0.2638888888888889</v>
      </c>
      <c r="F186" s="14">
        <v>73.0</v>
      </c>
      <c r="G186" s="15">
        <v>0.32083333333333336</v>
      </c>
      <c r="H186" s="16">
        <v>0.32083333333333336</v>
      </c>
      <c r="I186" s="11">
        <v>97.0</v>
      </c>
      <c r="J186" s="12">
        <v>0.3958333333333333</v>
      </c>
      <c r="K186" s="13">
        <v>0.40347222222222223</v>
      </c>
      <c r="L186" s="17">
        <v>116.0</v>
      </c>
      <c r="M186" s="12">
        <v>0.5</v>
      </c>
      <c r="N186" s="12">
        <v>0.5034722222222222</v>
      </c>
      <c r="O186" s="11">
        <v>122.0</v>
      </c>
      <c r="P186" s="12">
        <v>0.5798611111111112</v>
      </c>
      <c r="Q186" s="13">
        <v>0.5909722222222222</v>
      </c>
      <c r="R186" s="18">
        <v>149.0</v>
      </c>
      <c r="S186" s="12">
        <v>0.6770833333333334</v>
      </c>
      <c r="T186" s="13">
        <v>0.6868055555555556</v>
      </c>
      <c r="U186" s="11">
        <v>157.0</v>
      </c>
      <c r="V186" s="12">
        <v>0.74375</v>
      </c>
      <c r="W186" s="50" t="s">
        <v>178</v>
      </c>
      <c r="X186" s="11"/>
      <c r="Y186" s="12"/>
      <c r="Z186" s="13"/>
      <c r="AA186" s="20"/>
      <c r="AB186" s="20"/>
      <c r="AC186" s="56"/>
      <c r="AD186" s="18"/>
      <c r="AE186" s="18"/>
      <c r="AF186" s="47"/>
      <c r="AG186" s="11"/>
      <c r="AH186" s="12"/>
      <c r="AI186" s="38"/>
      <c r="AJ186" s="14"/>
      <c r="AK186" s="14"/>
      <c r="AL186" s="53"/>
      <c r="AM186" s="11"/>
      <c r="AN186" s="12"/>
      <c r="AO186" s="38"/>
      <c r="AP186" s="11"/>
      <c r="AQ186" s="12"/>
      <c r="AR186" s="38"/>
      <c r="AS186" s="11"/>
      <c r="AT186" s="12"/>
      <c r="AU186" s="38"/>
      <c r="AV186" s="11"/>
      <c r="AW186" s="12"/>
      <c r="AX186" s="38"/>
      <c r="AY186" s="34"/>
      <c r="AZ186" s="12"/>
      <c r="BA186" s="12"/>
    </row>
    <row r="187" ht="15.75" customHeight="1">
      <c r="A187" s="7"/>
      <c r="B187" s="45">
        <v>558.0</v>
      </c>
      <c r="C187" s="11">
        <v>156.0</v>
      </c>
      <c r="D187" s="12">
        <v>0.2743055555555556</v>
      </c>
      <c r="E187" s="13">
        <v>0.275</v>
      </c>
      <c r="F187" s="14">
        <v>157.0</v>
      </c>
      <c r="G187" s="15">
        <v>0.3388888888888889</v>
      </c>
      <c r="H187" s="16">
        <v>0.3388888888888889</v>
      </c>
      <c r="I187" s="11">
        <v>184.0</v>
      </c>
      <c r="J187" s="12">
        <v>0.42777777777777776</v>
      </c>
      <c r="K187" s="13">
        <v>0.43333333333333335</v>
      </c>
      <c r="L187" s="17">
        <v>177.0</v>
      </c>
      <c r="M187" s="12">
        <v>0.5368055555555555</v>
      </c>
      <c r="N187" s="12">
        <v>0.5423611111111111</v>
      </c>
      <c r="O187" s="11">
        <v>178.0</v>
      </c>
      <c r="P187" s="12">
        <v>0.6215277777777778</v>
      </c>
      <c r="Q187" s="13">
        <v>0.6236111111111111</v>
      </c>
      <c r="R187" s="18">
        <v>180.0</v>
      </c>
      <c r="S187" s="12">
        <v>0.7111111111111111</v>
      </c>
      <c r="T187" s="13">
        <v>0.7131944444444445</v>
      </c>
      <c r="U187" s="11">
        <v>174.0</v>
      </c>
      <c r="V187" s="12">
        <v>0.7673611111111112</v>
      </c>
      <c r="W187" s="50" t="s">
        <v>178</v>
      </c>
      <c r="X187" s="11"/>
      <c r="Y187" s="12"/>
      <c r="Z187" s="13"/>
      <c r="AA187" s="20"/>
      <c r="AB187" s="20"/>
      <c r="AC187" s="56"/>
      <c r="AD187" s="18"/>
      <c r="AE187" s="18"/>
      <c r="AF187" s="47"/>
      <c r="AG187" s="11"/>
      <c r="AH187" s="12"/>
      <c r="AI187" s="13"/>
      <c r="AJ187" s="14"/>
      <c r="AK187" s="14"/>
      <c r="AL187" s="53"/>
      <c r="AM187" s="11"/>
      <c r="AN187" s="12"/>
      <c r="AO187" s="13"/>
      <c r="AP187" s="11"/>
      <c r="AQ187" s="12"/>
      <c r="AR187" s="13"/>
      <c r="AS187" s="11"/>
      <c r="AT187" s="12"/>
      <c r="AU187" s="13"/>
      <c r="AV187" s="11"/>
      <c r="AW187" s="12"/>
      <c r="AX187" s="13"/>
      <c r="AY187" s="34"/>
      <c r="AZ187" s="12"/>
      <c r="BA187" s="12"/>
    </row>
    <row r="188" ht="15.75" customHeight="1">
      <c r="A188" s="7"/>
      <c r="B188" s="45">
        <v>574.0</v>
      </c>
      <c r="C188" s="11">
        <v>111.0</v>
      </c>
      <c r="D188" s="12">
        <v>0.26944444444444443</v>
      </c>
      <c r="E188" s="13">
        <v>0.2701388888888889</v>
      </c>
      <c r="F188" s="27"/>
      <c r="G188" s="28"/>
      <c r="H188" s="29"/>
      <c r="I188" s="11">
        <v>159.0</v>
      </c>
      <c r="J188" s="12">
        <v>0.41458333333333336</v>
      </c>
      <c r="K188" s="13">
        <v>0.4215277777777778</v>
      </c>
      <c r="L188" s="17">
        <v>173.0</v>
      </c>
      <c r="M188" s="12">
        <v>0.5326388888888889</v>
      </c>
      <c r="N188" s="12">
        <v>0.5381944444444444</v>
      </c>
      <c r="O188" s="11">
        <v>180.0</v>
      </c>
      <c r="P188" s="12">
        <v>0.6243055555555556</v>
      </c>
      <c r="Q188" s="13">
        <v>0.6305555555555555</v>
      </c>
      <c r="R188" s="18">
        <v>176.0</v>
      </c>
      <c r="S188" s="12">
        <v>0.7083333333333334</v>
      </c>
      <c r="T188" s="13">
        <v>0.7131944444444445</v>
      </c>
      <c r="U188" s="11">
        <v>175.0</v>
      </c>
      <c r="V188" s="12">
        <v>0.76875</v>
      </c>
      <c r="W188" s="50" t="s">
        <v>178</v>
      </c>
      <c r="X188" s="11"/>
      <c r="Y188" s="12"/>
      <c r="Z188" s="13"/>
      <c r="AA188" s="20"/>
      <c r="AB188" s="20"/>
      <c r="AC188" s="56"/>
      <c r="AD188" s="18"/>
      <c r="AE188" s="18"/>
      <c r="AF188" s="47"/>
      <c r="AG188" s="11"/>
      <c r="AH188" s="12"/>
      <c r="AI188" s="13"/>
      <c r="AJ188" s="14"/>
      <c r="AK188" s="14"/>
      <c r="AL188" s="53"/>
      <c r="AM188" s="11"/>
      <c r="AN188" s="12"/>
      <c r="AO188" s="13"/>
      <c r="AP188" s="11"/>
      <c r="AQ188" s="12"/>
      <c r="AR188" s="13"/>
      <c r="AS188" s="11"/>
      <c r="AT188" s="12"/>
      <c r="AU188" s="13"/>
      <c r="AV188" s="11"/>
      <c r="AW188" s="12"/>
      <c r="AX188" s="13"/>
      <c r="AY188" s="34"/>
      <c r="AZ188" s="12"/>
      <c r="BA188" s="12"/>
    </row>
    <row r="189" ht="15.75" customHeight="1">
      <c r="A189" s="7"/>
      <c r="B189" s="45">
        <v>726.0</v>
      </c>
      <c r="C189" s="11">
        <v>168.0</v>
      </c>
      <c r="D189" s="12">
        <v>0.2743055555555556</v>
      </c>
      <c r="E189" s="13">
        <v>0.275</v>
      </c>
      <c r="F189" s="14">
        <v>161.0</v>
      </c>
      <c r="G189" s="15">
        <v>0.3388888888888889</v>
      </c>
      <c r="H189" s="16">
        <v>0.3388888888888889</v>
      </c>
      <c r="I189" s="11">
        <v>158.0</v>
      </c>
      <c r="J189" s="12">
        <v>0.41458333333333336</v>
      </c>
      <c r="K189" s="13">
        <v>0.4236111111111111</v>
      </c>
      <c r="L189" s="17">
        <v>158.0</v>
      </c>
      <c r="M189" s="12">
        <v>0.5208333333333334</v>
      </c>
      <c r="N189" s="12">
        <v>0.525</v>
      </c>
      <c r="O189" s="11">
        <v>166.0</v>
      </c>
      <c r="P189" s="12">
        <v>0.6083333333333333</v>
      </c>
      <c r="Q189" s="13">
        <v>0.6215277777777778</v>
      </c>
      <c r="R189" s="18">
        <v>172.0</v>
      </c>
      <c r="S189" s="12">
        <v>0.7</v>
      </c>
      <c r="T189" s="13">
        <v>0.7076388888888889</v>
      </c>
      <c r="U189" s="11">
        <v>179.0</v>
      </c>
      <c r="V189" s="12">
        <v>0.7756944444444445</v>
      </c>
      <c r="W189" s="50" t="s">
        <v>178</v>
      </c>
      <c r="X189" s="11"/>
      <c r="Y189" s="12"/>
      <c r="Z189" s="13"/>
      <c r="AA189" s="20"/>
      <c r="AB189" s="20"/>
      <c r="AC189" s="56"/>
      <c r="AD189" s="18"/>
      <c r="AE189" s="18"/>
      <c r="AF189" s="47"/>
      <c r="AG189" s="11"/>
      <c r="AH189" s="12"/>
      <c r="AI189" s="13"/>
      <c r="AJ189" s="14"/>
      <c r="AK189" s="14"/>
      <c r="AL189" s="53"/>
      <c r="AM189" s="11"/>
      <c r="AN189" s="12"/>
      <c r="AO189" s="13"/>
      <c r="AP189" s="11"/>
      <c r="AQ189" s="12"/>
      <c r="AR189" s="13"/>
      <c r="AS189" s="11"/>
      <c r="AT189" s="12"/>
      <c r="AU189" s="13"/>
      <c r="AV189" s="11"/>
      <c r="AW189" s="12"/>
      <c r="AX189" s="13"/>
      <c r="AY189" s="34"/>
      <c r="AZ189" s="12"/>
      <c r="BA189" s="12"/>
    </row>
    <row r="190" ht="15.75" customHeight="1">
      <c r="A190" s="7"/>
      <c r="B190" s="45">
        <v>541.0</v>
      </c>
      <c r="C190" s="11">
        <v>155.0</v>
      </c>
      <c r="D190" s="12">
        <v>0.2743055555555556</v>
      </c>
      <c r="E190" s="13">
        <v>0.275</v>
      </c>
      <c r="F190" s="14">
        <v>103.0</v>
      </c>
      <c r="G190" s="15">
        <v>0.32569444444444445</v>
      </c>
      <c r="H190" s="16">
        <v>0.32569444444444445</v>
      </c>
      <c r="I190" s="11">
        <v>183.0</v>
      </c>
      <c r="J190" s="12">
        <v>0.42777777777777776</v>
      </c>
      <c r="K190" s="13">
        <v>0.4326388888888889</v>
      </c>
      <c r="L190" s="17">
        <v>187.0</v>
      </c>
      <c r="M190" s="12">
        <v>0.5493055555555556</v>
      </c>
      <c r="N190" s="12">
        <v>0.5527777777777778</v>
      </c>
      <c r="O190" s="11">
        <v>186.0</v>
      </c>
      <c r="P190" s="12">
        <v>0.6375</v>
      </c>
      <c r="Q190" s="13">
        <v>0.6416666666666667</v>
      </c>
      <c r="R190" s="18">
        <v>184.0</v>
      </c>
      <c r="S190" s="12">
        <v>0.7277777777777777</v>
      </c>
      <c r="T190" s="13">
        <v>0.7305555555555555</v>
      </c>
      <c r="U190" s="11">
        <v>185.0</v>
      </c>
      <c r="V190" s="12">
        <v>0.7972222222222223</v>
      </c>
      <c r="W190" s="50" t="s">
        <v>178</v>
      </c>
      <c r="X190" s="11"/>
      <c r="Y190" s="12"/>
      <c r="Z190" s="13"/>
      <c r="AA190" s="20"/>
      <c r="AB190" s="20"/>
      <c r="AC190" s="56"/>
      <c r="AD190" s="18"/>
      <c r="AE190" s="18"/>
      <c r="AF190" s="47"/>
      <c r="AG190" s="11"/>
      <c r="AH190" s="18"/>
      <c r="AI190" s="38"/>
      <c r="AJ190" s="14"/>
      <c r="AK190" s="14"/>
      <c r="AL190" s="53"/>
      <c r="AM190" s="11"/>
      <c r="AN190" s="12"/>
      <c r="AO190" s="13"/>
      <c r="AP190" s="11"/>
      <c r="AQ190" s="12"/>
      <c r="AR190" s="13"/>
      <c r="AS190" s="11"/>
      <c r="AT190" s="12"/>
      <c r="AU190" s="13"/>
      <c r="AV190" s="11"/>
      <c r="AW190" s="12"/>
      <c r="AX190" s="13"/>
      <c r="AY190" s="34"/>
      <c r="AZ190" s="12"/>
      <c r="BA190" s="12"/>
    </row>
    <row r="191" ht="15.75" customHeight="1">
      <c r="A191" s="7"/>
      <c r="B191" s="45">
        <v>641.0</v>
      </c>
      <c r="C191" s="11">
        <v>171.0</v>
      </c>
      <c r="D191" s="12">
        <v>0.2743055555555556</v>
      </c>
      <c r="E191" s="13">
        <v>0.275</v>
      </c>
      <c r="F191" s="14">
        <v>158.0</v>
      </c>
      <c r="G191" s="15">
        <v>0.3388888888888889</v>
      </c>
      <c r="H191" s="16">
        <v>0.3388888888888889</v>
      </c>
      <c r="I191" s="11">
        <v>150.0</v>
      </c>
      <c r="J191" s="12">
        <v>0.4125</v>
      </c>
      <c r="K191" s="13">
        <v>0.4305555555555556</v>
      </c>
      <c r="L191" s="17">
        <v>171.0</v>
      </c>
      <c r="M191" s="12">
        <v>0.53125</v>
      </c>
      <c r="N191" s="12">
        <v>0.5361111111111111</v>
      </c>
      <c r="O191" s="11">
        <v>185.0</v>
      </c>
      <c r="P191" s="12">
        <v>0.6326388888888889</v>
      </c>
      <c r="Q191" s="13">
        <v>0.6381944444444444</v>
      </c>
      <c r="R191" s="18">
        <v>187.0</v>
      </c>
      <c r="S191" s="12">
        <v>0.7319444444444444</v>
      </c>
      <c r="T191" s="13">
        <v>0.7354166666666667</v>
      </c>
      <c r="U191" s="11">
        <v>186.0</v>
      </c>
      <c r="V191" s="12">
        <v>0.7979166666666667</v>
      </c>
      <c r="W191" s="50" t="s">
        <v>178</v>
      </c>
      <c r="X191" s="11"/>
      <c r="Y191" s="12"/>
      <c r="Z191" s="13"/>
      <c r="AA191" s="20"/>
      <c r="AB191" s="20"/>
      <c r="AC191" s="56"/>
      <c r="AD191" s="18"/>
      <c r="AE191" s="18"/>
      <c r="AF191" s="47"/>
      <c r="AG191" s="11"/>
      <c r="AH191" s="12"/>
      <c r="AI191" s="13"/>
      <c r="AJ191" s="14"/>
      <c r="AK191" s="14"/>
      <c r="AL191" s="53"/>
      <c r="AM191" s="11"/>
      <c r="AN191" s="18"/>
      <c r="AO191" s="38"/>
      <c r="AP191" s="11"/>
      <c r="AQ191" s="18"/>
      <c r="AR191" s="38"/>
      <c r="AS191" s="11"/>
      <c r="AT191" s="18"/>
      <c r="AU191" s="38"/>
      <c r="AV191" s="11"/>
      <c r="AW191" s="18"/>
      <c r="AX191" s="38"/>
      <c r="AY191" s="34"/>
      <c r="AZ191" s="12"/>
      <c r="BA191" s="12"/>
    </row>
    <row r="192" ht="15.75" customHeight="1">
      <c r="A192" s="7"/>
      <c r="B192" s="45">
        <v>608.0</v>
      </c>
      <c r="C192" s="11">
        <v>196.0</v>
      </c>
      <c r="D192" s="12">
        <v>0.28125</v>
      </c>
      <c r="E192" s="13">
        <v>0.28194444444444444</v>
      </c>
      <c r="F192" s="14">
        <v>191.0</v>
      </c>
      <c r="G192" s="15">
        <v>0.3541666666666667</v>
      </c>
      <c r="H192" s="16">
        <v>0.3541666666666667</v>
      </c>
      <c r="I192" s="11">
        <v>195.0</v>
      </c>
      <c r="J192" s="12">
        <v>0.44583333333333336</v>
      </c>
      <c r="K192" s="13">
        <v>0.45069444444444445</v>
      </c>
      <c r="L192" s="17">
        <v>193.0</v>
      </c>
      <c r="M192" s="12">
        <v>0.5680555555555555</v>
      </c>
      <c r="N192" s="12">
        <v>0.5694444444444444</v>
      </c>
      <c r="O192" s="11">
        <v>193.0</v>
      </c>
      <c r="P192" s="12">
        <v>0.6597222222222222</v>
      </c>
      <c r="Q192" s="13">
        <v>0.6631944444444444</v>
      </c>
      <c r="R192" s="18">
        <v>191.0</v>
      </c>
      <c r="S192" s="12">
        <v>0.7520833333333333</v>
      </c>
      <c r="T192" s="50" t="s">
        <v>178</v>
      </c>
      <c r="U192" s="11"/>
      <c r="V192" s="18"/>
      <c r="W192" s="38"/>
      <c r="X192" s="11"/>
      <c r="Y192" s="12"/>
      <c r="Z192" s="13"/>
      <c r="AA192" s="20"/>
      <c r="AB192" s="20"/>
      <c r="AC192" s="56"/>
      <c r="AD192" s="18"/>
      <c r="AE192" s="18"/>
      <c r="AF192" s="47"/>
      <c r="AG192" s="11"/>
      <c r="AH192" s="12"/>
      <c r="AI192" s="13"/>
      <c r="AJ192" s="14"/>
      <c r="AK192" s="14"/>
      <c r="AL192" s="53"/>
      <c r="AM192" s="11"/>
      <c r="AN192" s="18"/>
      <c r="AO192" s="38"/>
      <c r="AP192" s="11"/>
      <c r="AQ192" s="18"/>
      <c r="AR192" s="38"/>
      <c r="AS192" s="11"/>
      <c r="AT192" s="18"/>
      <c r="AU192" s="38"/>
      <c r="AV192" s="11"/>
      <c r="AW192" s="18"/>
      <c r="AX192" s="38"/>
      <c r="AY192" s="34"/>
      <c r="AZ192" s="12"/>
      <c r="BA192" s="12"/>
    </row>
    <row r="193" ht="15.75" customHeight="1">
      <c r="A193" s="7"/>
      <c r="B193" s="45">
        <v>700.0</v>
      </c>
      <c r="C193" s="11">
        <v>108.0</v>
      </c>
      <c r="D193" s="12">
        <v>0.26944444444444443</v>
      </c>
      <c r="E193" s="13">
        <v>0.2701388888888889</v>
      </c>
      <c r="F193" s="14">
        <v>115.0</v>
      </c>
      <c r="G193" s="15">
        <v>0.32916666666666666</v>
      </c>
      <c r="H193" s="16">
        <v>0.32916666666666666</v>
      </c>
      <c r="I193" s="11">
        <v>117.0</v>
      </c>
      <c r="J193" s="12">
        <v>0.4013888888888889</v>
      </c>
      <c r="K193" s="13">
        <v>0.4152777777777778</v>
      </c>
      <c r="L193" s="17">
        <v>141.0</v>
      </c>
      <c r="M193" s="12">
        <v>0.5069444444444444</v>
      </c>
      <c r="N193" s="12">
        <v>0.5125</v>
      </c>
      <c r="O193" s="11">
        <v>140.0</v>
      </c>
      <c r="P193" s="12">
        <v>0.5895833333333333</v>
      </c>
      <c r="Q193" s="50" t="s">
        <v>178</v>
      </c>
      <c r="R193" s="18"/>
      <c r="S193" s="18"/>
      <c r="T193" s="13"/>
      <c r="U193" s="11"/>
      <c r="V193" s="12"/>
      <c r="W193" s="13"/>
      <c r="X193" s="11"/>
      <c r="Y193" s="12"/>
      <c r="Z193" s="13"/>
      <c r="AA193" s="20"/>
      <c r="AB193" s="20"/>
      <c r="AC193" s="56"/>
      <c r="AD193" s="18"/>
      <c r="AE193" s="18"/>
      <c r="AF193" s="47"/>
      <c r="AG193" s="11"/>
      <c r="AH193" s="12"/>
      <c r="AI193" s="13"/>
      <c r="AJ193" s="14"/>
      <c r="AK193" s="14"/>
      <c r="AL193" s="53"/>
      <c r="AM193" s="11"/>
      <c r="AN193" s="12"/>
      <c r="AO193" s="13"/>
      <c r="AP193" s="11"/>
      <c r="AQ193" s="12"/>
      <c r="AR193" s="13"/>
      <c r="AS193" s="11"/>
      <c r="AT193" s="12"/>
      <c r="AU193" s="13"/>
      <c r="AV193" s="11"/>
      <c r="AW193" s="12"/>
      <c r="AX193" s="13"/>
      <c r="AY193" s="34"/>
      <c r="AZ193" s="12"/>
      <c r="BA193" s="12"/>
    </row>
    <row r="194" ht="15.75" customHeight="1">
      <c r="A194" s="7"/>
      <c r="B194" s="45">
        <v>616.0</v>
      </c>
      <c r="C194" s="11">
        <v>138.0</v>
      </c>
      <c r="D194" s="12">
        <v>0.27152777777777776</v>
      </c>
      <c r="E194" s="13">
        <v>0.2722222222222222</v>
      </c>
      <c r="F194" s="14">
        <v>171.0</v>
      </c>
      <c r="G194" s="15">
        <v>0.3388888888888889</v>
      </c>
      <c r="H194" s="16">
        <v>0.3388888888888889</v>
      </c>
      <c r="I194" s="11">
        <v>187.0</v>
      </c>
      <c r="J194" s="12">
        <v>0.42916666666666664</v>
      </c>
      <c r="K194" s="13">
        <v>0.4305555555555556</v>
      </c>
      <c r="L194" s="17">
        <v>186.0</v>
      </c>
      <c r="M194" s="12">
        <v>0.5465277777777777</v>
      </c>
      <c r="N194" s="12">
        <v>0.5479166666666667</v>
      </c>
      <c r="O194" s="11">
        <v>192.0</v>
      </c>
      <c r="P194" s="12">
        <v>0.6597222222222222</v>
      </c>
      <c r="Q194" s="50" t="s">
        <v>178</v>
      </c>
      <c r="R194" s="18"/>
      <c r="S194" s="18"/>
      <c r="T194" s="38"/>
      <c r="U194" s="11"/>
      <c r="V194" s="18"/>
      <c r="W194" s="38"/>
      <c r="X194" s="11"/>
      <c r="Y194" s="12"/>
      <c r="Z194" s="13"/>
      <c r="AA194" s="20"/>
      <c r="AB194" s="20"/>
      <c r="AC194" s="56"/>
      <c r="AD194" s="18"/>
      <c r="AE194" s="18"/>
      <c r="AF194" s="47"/>
      <c r="AG194" s="11"/>
      <c r="AH194" s="18"/>
      <c r="AI194" s="38"/>
      <c r="AJ194" s="14"/>
      <c r="AK194" s="14"/>
      <c r="AL194" s="53"/>
      <c r="AM194" s="11"/>
      <c r="AN194" s="12"/>
      <c r="AO194" s="13"/>
      <c r="AP194" s="11"/>
      <c r="AQ194" s="12"/>
      <c r="AR194" s="38"/>
      <c r="AS194" s="11"/>
      <c r="AT194" s="18"/>
      <c r="AU194" s="38"/>
      <c r="AV194" s="11"/>
      <c r="AW194" s="18"/>
      <c r="AX194" s="38"/>
      <c r="AY194" s="34"/>
      <c r="AZ194" s="12"/>
      <c r="BA194" s="12"/>
    </row>
    <row r="195" ht="15.75" customHeight="1">
      <c r="A195" s="7"/>
      <c r="B195" s="45">
        <v>654.0</v>
      </c>
      <c r="C195" s="11">
        <v>192.0</v>
      </c>
      <c r="D195" s="12">
        <v>0.28125</v>
      </c>
      <c r="E195" s="13">
        <v>0.28194444444444444</v>
      </c>
      <c r="F195" s="14">
        <v>194.0</v>
      </c>
      <c r="G195" s="15">
        <v>0.35555555555555557</v>
      </c>
      <c r="H195" s="16">
        <v>0.35555555555555557</v>
      </c>
      <c r="I195" s="11">
        <v>198.0</v>
      </c>
      <c r="J195" s="12">
        <v>0.44722222222222224</v>
      </c>
      <c r="K195" s="13">
        <v>0.45416666666666666</v>
      </c>
      <c r="L195" s="17">
        <v>194.0</v>
      </c>
      <c r="M195" s="12">
        <v>0.5736111111111111</v>
      </c>
      <c r="N195" s="12">
        <v>0.5958333333333333</v>
      </c>
      <c r="O195" s="11">
        <v>194.0</v>
      </c>
      <c r="P195" s="12">
        <v>0.6923611111111111</v>
      </c>
      <c r="Q195" s="50" t="s">
        <v>178</v>
      </c>
      <c r="R195" s="18"/>
      <c r="S195" s="18"/>
      <c r="T195" s="13"/>
      <c r="U195" s="11"/>
      <c r="V195" s="12"/>
      <c r="W195" s="13"/>
      <c r="X195" s="11"/>
      <c r="Y195" s="12"/>
      <c r="Z195" s="13"/>
      <c r="AA195" s="20"/>
      <c r="AB195" s="20"/>
      <c r="AC195" s="56"/>
      <c r="AD195" s="18"/>
      <c r="AE195" s="18"/>
      <c r="AF195" s="47"/>
      <c r="AG195" s="11"/>
      <c r="AH195" s="12"/>
      <c r="AI195" s="13"/>
      <c r="AJ195" s="14"/>
      <c r="AK195" s="14"/>
      <c r="AL195" s="53"/>
      <c r="AM195" s="11"/>
      <c r="AN195" s="12"/>
      <c r="AO195" s="13"/>
      <c r="AP195" s="11"/>
      <c r="AQ195" s="12"/>
      <c r="AR195" s="13"/>
      <c r="AS195" s="11"/>
      <c r="AT195" s="12"/>
      <c r="AU195" s="13"/>
      <c r="AV195" s="11"/>
      <c r="AW195" s="12"/>
      <c r="AX195" s="13"/>
      <c r="AY195" s="34"/>
      <c r="AZ195" s="12"/>
      <c r="BA195" s="12"/>
    </row>
    <row r="196" ht="15.75" customHeight="1">
      <c r="A196" s="7"/>
      <c r="B196" s="45" t="s">
        <v>180</v>
      </c>
      <c r="C196" s="11">
        <v>166.0</v>
      </c>
      <c r="D196" s="12">
        <v>0.2743055555555556</v>
      </c>
      <c r="E196" s="13">
        <v>0.275</v>
      </c>
      <c r="F196" s="14">
        <v>159.0</v>
      </c>
      <c r="G196" s="15">
        <v>0.3388888888888889</v>
      </c>
      <c r="H196" s="16">
        <v>0.3388888888888889</v>
      </c>
      <c r="I196" s="11">
        <v>146.0</v>
      </c>
      <c r="J196" s="12">
        <v>0.4125</v>
      </c>
      <c r="K196" s="13">
        <v>0.42083333333333334</v>
      </c>
      <c r="L196" s="57" t="s">
        <v>178</v>
      </c>
      <c r="M196" s="12"/>
      <c r="N196" s="13"/>
      <c r="O196" s="11"/>
      <c r="P196" s="17"/>
      <c r="Q196" s="58"/>
      <c r="R196" s="18"/>
      <c r="S196" s="18"/>
      <c r="T196" s="38"/>
      <c r="U196" s="11"/>
      <c r="V196" s="18"/>
      <c r="W196" s="38"/>
      <c r="X196" s="11"/>
      <c r="Y196" s="18"/>
      <c r="Z196" s="38"/>
      <c r="AA196" s="20"/>
      <c r="AB196" s="20"/>
      <c r="AC196" s="56"/>
      <c r="AD196" s="18"/>
      <c r="AE196" s="18"/>
      <c r="AF196" s="47"/>
      <c r="AG196" s="11"/>
      <c r="AH196" s="18"/>
      <c r="AI196" s="38"/>
      <c r="AJ196" s="14"/>
      <c r="AK196" s="14"/>
      <c r="AL196" s="53"/>
      <c r="AM196" s="11"/>
      <c r="AN196" s="18"/>
      <c r="AO196" s="38"/>
      <c r="AP196" s="11"/>
      <c r="AQ196" s="18"/>
      <c r="AR196" s="38"/>
      <c r="AS196" s="11"/>
      <c r="AT196" s="18"/>
      <c r="AU196" s="38"/>
      <c r="AV196" s="11"/>
      <c r="AW196" s="18"/>
      <c r="AX196" s="38"/>
      <c r="AY196" s="34"/>
      <c r="AZ196" s="12"/>
      <c r="BA196" s="12"/>
    </row>
    <row r="197" ht="15.75" customHeight="1">
      <c r="A197" s="7"/>
      <c r="B197" s="45">
        <v>613.0</v>
      </c>
      <c r="C197" s="11">
        <v>19.0</v>
      </c>
      <c r="D197" s="12">
        <v>0.25763888888888886</v>
      </c>
      <c r="E197" s="13">
        <v>0.25833333333333336</v>
      </c>
      <c r="F197" s="14">
        <v>190.0</v>
      </c>
      <c r="G197" s="15">
        <v>0.35347222222222224</v>
      </c>
      <c r="H197" s="16">
        <v>0.35347222222222224</v>
      </c>
      <c r="I197" s="11">
        <v>17.0</v>
      </c>
      <c r="J197" s="12">
        <v>0.3611111111111111</v>
      </c>
      <c r="K197" s="50" t="s">
        <v>178</v>
      </c>
      <c r="L197" s="34"/>
      <c r="M197" s="17"/>
      <c r="N197" s="58"/>
      <c r="O197" s="11"/>
      <c r="P197" s="17"/>
      <c r="Q197" s="58"/>
      <c r="R197" s="18"/>
      <c r="S197" s="18"/>
      <c r="T197" s="13"/>
      <c r="U197" s="11"/>
      <c r="V197" s="12"/>
      <c r="W197" s="13"/>
      <c r="X197" s="11"/>
      <c r="Y197" s="12"/>
      <c r="Z197" s="13"/>
      <c r="AA197" s="20"/>
      <c r="AB197" s="20"/>
      <c r="AC197" s="56"/>
      <c r="AD197" s="18"/>
      <c r="AE197" s="18"/>
      <c r="AF197" s="47"/>
      <c r="AG197" s="11"/>
      <c r="AH197" s="12"/>
      <c r="AI197" s="13"/>
      <c r="AJ197" s="14"/>
      <c r="AK197" s="14"/>
      <c r="AL197" s="53"/>
      <c r="AM197" s="11"/>
      <c r="AN197" s="12"/>
      <c r="AO197" s="13"/>
      <c r="AP197" s="11"/>
      <c r="AQ197" s="12"/>
      <c r="AR197" s="13"/>
      <c r="AS197" s="11"/>
      <c r="AT197" s="12"/>
      <c r="AU197" s="13"/>
      <c r="AV197" s="11"/>
      <c r="AW197" s="12"/>
      <c r="AX197" s="13"/>
      <c r="AY197" s="34"/>
      <c r="AZ197" s="12"/>
      <c r="BA197" s="12"/>
    </row>
    <row r="198" ht="15.75" customHeight="1">
      <c r="A198" s="7"/>
      <c r="B198" s="45">
        <v>572.0</v>
      </c>
      <c r="C198" s="11">
        <v>80.0</v>
      </c>
      <c r="D198" s="12">
        <v>0.2659722222222222</v>
      </c>
      <c r="E198" s="13">
        <v>0.26666666666666666</v>
      </c>
      <c r="F198" s="14">
        <v>99.0</v>
      </c>
      <c r="G198" s="15">
        <v>0.32569444444444445</v>
      </c>
      <c r="H198" s="16">
        <v>0.32569444444444445</v>
      </c>
      <c r="I198" s="11">
        <v>123.0</v>
      </c>
      <c r="J198" s="12">
        <v>0.4041666666666667</v>
      </c>
      <c r="K198" s="50" t="s">
        <v>178</v>
      </c>
      <c r="L198" s="34"/>
      <c r="M198" s="12"/>
      <c r="N198" s="13"/>
      <c r="O198" s="11"/>
      <c r="P198" s="17"/>
      <c r="Q198" s="58"/>
      <c r="R198" s="18"/>
      <c r="S198" s="18"/>
      <c r="T198" s="38"/>
      <c r="U198" s="11"/>
      <c r="V198" s="18"/>
      <c r="W198" s="38"/>
      <c r="X198" s="11"/>
      <c r="Y198" s="18"/>
      <c r="Z198" s="38"/>
      <c r="AA198" s="20"/>
      <c r="AB198" s="20"/>
      <c r="AC198" s="56"/>
      <c r="AD198" s="18"/>
      <c r="AE198" s="18"/>
      <c r="AF198" s="47"/>
      <c r="AG198" s="11"/>
      <c r="AH198" s="18"/>
      <c r="AI198" s="38"/>
      <c r="AJ198" s="14"/>
      <c r="AK198" s="14"/>
      <c r="AL198" s="53"/>
      <c r="AM198" s="11"/>
      <c r="AN198" s="18"/>
      <c r="AO198" s="38"/>
      <c r="AP198" s="11"/>
      <c r="AQ198" s="18"/>
      <c r="AR198" s="38"/>
      <c r="AS198" s="11"/>
      <c r="AT198" s="18"/>
      <c r="AU198" s="38"/>
      <c r="AV198" s="11"/>
      <c r="AW198" s="18"/>
      <c r="AX198" s="38"/>
      <c r="AY198" s="34"/>
      <c r="AZ198" s="12"/>
      <c r="BA198" s="12"/>
    </row>
    <row r="199" ht="15.75" customHeight="1">
      <c r="A199" s="7"/>
      <c r="B199" s="45">
        <v>552.0</v>
      </c>
      <c r="C199" s="11">
        <v>81.0</v>
      </c>
      <c r="D199" s="12">
        <v>0.2659722222222222</v>
      </c>
      <c r="E199" s="13">
        <v>0.26666666666666666</v>
      </c>
      <c r="F199" s="14">
        <v>75.0</v>
      </c>
      <c r="G199" s="15">
        <v>0.32083333333333336</v>
      </c>
      <c r="H199" s="16">
        <v>0.32083333333333336</v>
      </c>
      <c r="I199" s="11">
        <v>124.0</v>
      </c>
      <c r="J199" s="12">
        <v>0.4041666666666667</v>
      </c>
      <c r="K199" s="50" t="s">
        <v>178</v>
      </c>
      <c r="L199" s="34"/>
      <c r="M199" s="12"/>
      <c r="N199" s="13"/>
      <c r="O199" s="11"/>
      <c r="P199" s="17"/>
      <c r="Q199" s="58"/>
      <c r="R199" s="18"/>
      <c r="S199" s="18"/>
      <c r="T199" s="38"/>
      <c r="U199" s="11"/>
      <c r="V199" s="18"/>
      <c r="W199" s="38"/>
      <c r="X199" s="11"/>
      <c r="Y199" s="12"/>
      <c r="Z199" s="13"/>
      <c r="AA199" s="20"/>
      <c r="AB199" s="20"/>
      <c r="AC199" s="56"/>
      <c r="AD199" s="18"/>
      <c r="AE199" s="18"/>
      <c r="AF199" s="47"/>
      <c r="AG199" s="11"/>
      <c r="AH199" s="18"/>
      <c r="AI199" s="38"/>
      <c r="AJ199" s="14"/>
      <c r="AK199" s="14"/>
      <c r="AL199" s="53"/>
      <c r="AM199" s="11"/>
      <c r="AN199" s="18"/>
      <c r="AO199" s="38"/>
      <c r="AP199" s="11"/>
      <c r="AQ199" s="18"/>
      <c r="AR199" s="38"/>
      <c r="AS199" s="11"/>
      <c r="AT199" s="18"/>
      <c r="AU199" s="38"/>
      <c r="AV199" s="11"/>
      <c r="AW199" s="18"/>
      <c r="AX199" s="38"/>
      <c r="AY199" s="34"/>
      <c r="AZ199" s="12"/>
      <c r="BA199" s="12"/>
    </row>
    <row r="200" ht="15.75" customHeight="1">
      <c r="A200" s="7"/>
      <c r="B200" s="45">
        <v>557.0</v>
      </c>
      <c r="C200" s="11">
        <v>142.0</v>
      </c>
      <c r="D200" s="12">
        <v>0.27152777777777776</v>
      </c>
      <c r="E200" s="13">
        <v>0.2722222222222222</v>
      </c>
      <c r="F200" s="27"/>
      <c r="G200" s="28"/>
      <c r="H200" s="29"/>
      <c r="I200" s="11">
        <v>166.0</v>
      </c>
      <c r="J200" s="12">
        <v>0.42083333333333334</v>
      </c>
      <c r="K200" s="50" t="s">
        <v>178</v>
      </c>
      <c r="L200" s="34"/>
      <c r="M200" s="12"/>
      <c r="N200" s="13"/>
      <c r="O200" s="11"/>
      <c r="P200" s="17"/>
      <c r="Q200" s="58"/>
      <c r="R200" s="18"/>
      <c r="S200" s="18"/>
      <c r="T200" s="13"/>
      <c r="U200" s="11"/>
      <c r="V200" s="12"/>
      <c r="W200" s="13"/>
      <c r="X200" s="11"/>
      <c r="Y200" s="12"/>
      <c r="Z200" s="13"/>
      <c r="AA200" s="20"/>
      <c r="AB200" s="20"/>
      <c r="AC200" s="56"/>
      <c r="AD200" s="18"/>
      <c r="AE200" s="18"/>
      <c r="AF200" s="47"/>
      <c r="AG200" s="11"/>
      <c r="AH200" s="12"/>
      <c r="AI200" s="13"/>
      <c r="AJ200" s="14"/>
      <c r="AK200" s="14"/>
      <c r="AL200" s="53"/>
      <c r="AM200" s="11"/>
      <c r="AN200" s="12"/>
      <c r="AO200" s="13"/>
      <c r="AP200" s="11"/>
      <c r="AQ200" s="12"/>
      <c r="AR200" s="13"/>
      <c r="AS200" s="11"/>
      <c r="AT200" s="12"/>
      <c r="AU200" s="13"/>
      <c r="AV200" s="11"/>
      <c r="AW200" s="12"/>
      <c r="AX200" s="13"/>
      <c r="AY200" s="34"/>
      <c r="AZ200" s="12"/>
      <c r="BA200" s="12"/>
    </row>
    <row r="201" ht="15.75" customHeight="1">
      <c r="A201" s="7"/>
      <c r="B201" s="45">
        <v>624.0</v>
      </c>
      <c r="C201" s="11">
        <v>180.0</v>
      </c>
      <c r="D201" s="12">
        <v>0.2777777777777778</v>
      </c>
      <c r="E201" s="13">
        <v>0.27847222222222223</v>
      </c>
      <c r="F201" s="14">
        <v>152.0</v>
      </c>
      <c r="G201" s="15">
        <v>0.3368055555555556</v>
      </c>
      <c r="H201" s="16">
        <v>0.3368055555555556</v>
      </c>
      <c r="I201" s="11">
        <v>199.0</v>
      </c>
      <c r="J201" s="12">
        <v>0.44930555555555557</v>
      </c>
      <c r="K201" s="50" t="s">
        <v>178</v>
      </c>
      <c r="L201" s="34"/>
      <c r="M201" s="12"/>
      <c r="N201" s="13"/>
      <c r="O201" s="11"/>
      <c r="P201" s="17"/>
      <c r="Q201" s="58"/>
      <c r="R201" s="18"/>
      <c r="S201" s="18"/>
      <c r="T201" s="13"/>
      <c r="U201" s="11"/>
      <c r="V201" s="12"/>
      <c r="W201" s="13"/>
      <c r="X201" s="11"/>
      <c r="Y201" s="12"/>
      <c r="Z201" s="13"/>
      <c r="AA201" s="59"/>
      <c r="AB201" s="20"/>
      <c r="AC201" s="56"/>
      <c r="AD201" s="18"/>
      <c r="AE201" s="18"/>
      <c r="AF201" s="47"/>
      <c r="AG201" s="11"/>
      <c r="AH201" s="12"/>
      <c r="AI201" s="13"/>
      <c r="AJ201" s="14"/>
      <c r="AK201" s="14"/>
      <c r="AL201" s="53"/>
      <c r="AM201" s="11"/>
      <c r="AN201" s="12"/>
      <c r="AO201" s="13"/>
      <c r="AP201" s="11"/>
      <c r="AQ201" s="12"/>
      <c r="AR201" s="13"/>
      <c r="AS201" s="11"/>
      <c r="AT201" s="12"/>
      <c r="AU201" s="13"/>
      <c r="AV201" s="11"/>
      <c r="AW201" s="12"/>
      <c r="AX201" s="13"/>
      <c r="AY201" s="34"/>
      <c r="AZ201" s="12"/>
      <c r="BA201" s="12"/>
    </row>
    <row r="202" ht="15.75" customHeight="1">
      <c r="A202" s="7"/>
      <c r="B202" s="45">
        <v>674.0</v>
      </c>
      <c r="C202" s="11">
        <v>199.0</v>
      </c>
      <c r="D202" s="12">
        <v>0.28680555555555554</v>
      </c>
      <c r="E202" s="13">
        <v>0.2875</v>
      </c>
      <c r="F202" s="14">
        <v>199.0</v>
      </c>
      <c r="G202" s="15">
        <v>0.38333333333333336</v>
      </c>
      <c r="H202" s="16">
        <v>0.38333333333333336</v>
      </c>
      <c r="I202" s="11">
        <v>201.0</v>
      </c>
      <c r="J202" s="12">
        <v>0.4930555555555556</v>
      </c>
      <c r="K202" s="50" t="s">
        <v>178</v>
      </c>
      <c r="L202" s="34"/>
      <c r="M202" s="12"/>
      <c r="N202" s="13"/>
      <c r="O202" s="11"/>
      <c r="P202" s="17"/>
      <c r="Q202" s="58"/>
      <c r="R202" s="18"/>
      <c r="S202" s="18"/>
      <c r="T202" s="13"/>
      <c r="U202" s="11"/>
      <c r="V202" s="12"/>
      <c r="W202" s="13"/>
      <c r="X202" s="11"/>
      <c r="Y202" s="12"/>
      <c r="Z202" s="13"/>
      <c r="AA202" s="59"/>
      <c r="AB202" s="14"/>
      <c r="AC202" s="56"/>
      <c r="AD202" s="18"/>
      <c r="AE202" s="18"/>
      <c r="AF202" s="47"/>
      <c r="AG202" s="11"/>
      <c r="AH202" s="12"/>
      <c r="AI202" s="13"/>
      <c r="AJ202" s="14"/>
      <c r="AK202" s="14"/>
      <c r="AL202" s="53"/>
      <c r="AM202" s="11"/>
      <c r="AN202" s="12"/>
      <c r="AO202" s="13"/>
      <c r="AP202" s="11"/>
      <c r="AQ202" s="12"/>
      <c r="AR202" s="13"/>
      <c r="AS202" s="11"/>
      <c r="AT202" s="12"/>
      <c r="AU202" s="13"/>
      <c r="AV202" s="11"/>
      <c r="AW202" s="12"/>
      <c r="AX202" s="13"/>
      <c r="AY202" s="34"/>
      <c r="AZ202" s="12"/>
      <c r="BA202" s="12"/>
    </row>
    <row r="203" ht="15.75" customHeight="1">
      <c r="A203" s="7"/>
      <c r="B203" s="45" t="s">
        <v>181</v>
      </c>
      <c r="C203" s="11">
        <v>14.0</v>
      </c>
      <c r="D203" s="12">
        <v>0.2548611111111111</v>
      </c>
      <c r="E203" s="13">
        <v>0.25555555555555554</v>
      </c>
      <c r="F203" s="14">
        <v>14.0</v>
      </c>
      <c r="G203" s="15">
        <v>0.3013888888888889</v>
      </c>
      <c r="H203" s="16">
        <v>0.3013888888888889</v>
      </c>
      <c r="I203" s="60" t="s">
        <v>178</v>
      </c>
      <c r="J203" s="12"/>
      <c r="K203" s="12"/>
      <c r="L203" s="34"/>
      <c r="M203" s="17"/>
      <c r="N203" s="58"/>
      <c r="O203" s="11"/>
      <c r="P203" s="17"/>
      <c r="Q203" s="58"/>
      <c r="R203" s="18"/>
      <c r="S203" s="18"/>
      <c r="T203" s="38"/>
      <c r="U203" s="11"/>
      <c r="V203" s="18"/>
      <c r="W203" s="38"/>
      <c r="X203" s="11"/>
      <c r="Y203" s="12"/>
      <c r="Z203" s="13"/>
      <c r="AA203" s="37"/>
      <c r="AB203" s="20"/>
      <c r="AC203" s="53"/>
      <c r="AD203" s="18"/>
      <c r="AE203" s="18"/>
      <c r="AF203" s="47"/>
      <c r="AG203" s="11"/>
      <c r="AH203" s="12"/>
      <c r="AI203" s="13"/>
      <c r="AJ203" s="14"/>
      <c r="AK203" s="14"/>
      <c r="AL203" s="53"/>
      <c r="AM203" s="11"/>
      <c r="AN203" s="12"/>
      <c r="AO203" s="13"/>
      <c r="AP203" s="11"/>
      <c r="AQ203" s="12"/>
      <c r="AR203" s="13"/>
      <c r="AS203" s="11"/>
      <c r="AT203" s="12"/>
      <c r="AU203" s="13"/>
      <c r="AV203" s="11"/>
      <c r="AW203" s="12"/>
      <c r="AX203" s="13"/>
      <c r="AY203" s="34"/>
      <c r="AZ203" s="12"/>
      <c r="BA203" s="12"/>
    </row>
    <row r="204" ht="15.75" customHeight="1">
      <c r="A204" s="7"/>
      <c r="B204" s="45">
        <v>566.0</v>
      </c>
      <c r="C204" s="11">
        <v>58.0</v>
      </c>
      <c r="D204" s="12">
        <v>0.26319444444444445</v>
      </c>
      <c r="E204" s="13">
        <v>0.2638888888888889</v>
      </c>
      <c r="F204" s="60" t="s">
        <v>178</v>
      </c>
      <c r="G204" s="12"/>
      <c r="H204" s="12"/>
      <c r="I204" s="11"/>
      <c r="J204" s="18"/>
      <c r="K204" s="38"/>
      <c r="L204" s="34"/>
      <c r="M204" s="12"/>
      <c r="N204" s="13"/>
      <c r="O204" s="11"/>
      <c r="P204" s="17"/>
      <c r="Q204" s="58"/>
      <c r="R204" s="18"/>
      <c r="S204" s="18"/>
      <c r="T204" s="38"/>
      <c r="U204" s="11"/>
      <c r="V204" s="18"/>
      <c r="W204" s="38"/>
      <c r="X204" s="11"/>
      <c r="Y204" s="12"/>
      <c r="Z204" s="13"/>
      <c r="AA204" s="59"/>
      <c r="AB204" s="20"/>
      <c r="AC204" s="56"/>
      <c r="AD204" s="18"/>
      <c r="AE204" s="18"/>
      <c r="AF204" s="47"/>
      <c r="AG204" s="11"/>
      <c r="AH204" s="12"/>
      <c r="AI204" s="38"/>
      <c r="AJ204" s="14"/>
      <c r="AK204" s="14"/>
      <c r="AL204" s="53"/>
      <c r="AM204" s="11"/>
      <c r="AN204" s="12"/>
      <c r="AO204" s="38"/>
      <c r="AP204" s="11"/>
      <c r="AQ204" s="12"/>
      <c r="AR204" s="38"/>
      <c r="AS204" s="11"/>
      <c r="AT204" s="12"/>
      <c r="AU204" s="38"/>
      <c r="AV204" s="11"/>
      <c r="AW204" s="12"/>
      <c r="AX204" s="38"/>
      <c r="AY204" s="34"/>
      <c r="AZ204" s="12"/>
      <c r="BA204" s="12"/>
    </row>
    <row r="205" ht="15.75" customHeight="1">
      <c r="A205" s="7"/>
      <c r="B205" s="48">
        <v>593.0</v>
      </c>
      <c r="C205" s="11">
        <v>200.0</v>
      </c>
      <c r="D205" s="12">
        <v>0.28958333333333336</v>
      </c>
      <c r="E205" s="13">
        <v>0.2902777777777778</v>
      </c>
      <c r="F205" s="60" t="s">
        <v>178</v>
      </c>
      <c r="G205" s="12"/>
      <c r="H205" s="12"/>
      <c r="I205" s="11"/>
      <c r="J205" s="18"/>
      <c r="K205" s="38"/>
      <c r="L205" s="34"/>
      <c r="M205" s="17"/>
      <c r="N205" s="58"/>
      <c r="O205" s="11"/>
      <c r="P205" s="17"/>
      <c r="Q205" s="58"/>
      <c r="R205" s="18"/>
      <c r="S205" s="18"/>
      <c r="T205" s="38"/>
      <c r="U205" s="11"/>
      <c r="V205" s="18"/>
      <c r="W205" s="38"/>
      <c r="X205" s="11"/>
      <c r="Y205" s="18"/>
      <c r="Z205" s="38"/>
      <c r="AA205" s="59"/>
      <c r="AB205" s="20"/>
      <c r="AC205" s="56"/>
      <c r="AD205" s="18"/>
      <c r="AE205" s="18"/>
      <c r="AF205" s="18"/>
      <c r="AG205" s="11"/>
      <c r="AH205" s="18"/>
      <c r="AI205" s="38"/>
      <c r="AJ205" s="14"/>
      <c r="AK205" s="14"/>
      <c r="AL205" s="53"/>
      <c r="AM205" s="11"/>
      <c r="AN205" s="18"/>
      <c r="AO205" s="38"/>
      <c r="AP205" s="11"/>
      <c r="AQ205" s="18"/>
      <c r="AR205" s="38"/>
      <c r="AS205" s="11"/>
      <c r="AT205" s="18"/>
      <c r="AU205" s="38"/>
      <c r="AV205" s="11"/>
      <c r="AW205" s="18"/>
      <c r="AX205" s="38"/>
      <c r="AY205" s="34"/>
      <c r="AZ205" s="12"/>
      <c r="BA205" s="12"/>
    </row>
    <row r="206" ht="15.75" customHeight="1">
      <c r="A206" s="7"/>
      <c r="B206" s="47"/>
      <c r="C206" s="11"/>
      <c r="D206" s="12"/>
      <c r="E206" s="13"/>
      <c r="F206" s="14"/>
      <c r="G206" s="15"/>
      <c r="H206" s="16"/>
      <c r="I206" s="18"/>
      <c r="J206" s="12"/>
      <c r="K206" s="12"/>
      <c r="L206" s="34"/>
      <c r="M206" s="12"/>
      <c r="N206" s="13"/>
      <c r="O206" s="11"/>
      <c r="P206" s="12"/>
      <c r="Q206" s="13"/>
      <c r="R206" s="18"/>
      <c r="S206" s="12"/>
      <c r="T206" s="13"/>
      <c r="U206" s="11"/>
      <c r="V206" s="12"/>
      <c r="W206" s="13"/>
      <c r="X206" s="11"/>
      <c r="Y206" s="12"/>
      <c r="Z206" s="13"/>
      <c r="AA206" s="11"/>
      <c r="AB206" s="18"/>
      <c r="AC206" s="38"/>
      <c r="AD206" s="18"/>
      <c r="AE206" s="18"/>
      <c r="AF206" s="38"/>
      <c r="AG206" s="11"/>
      <c r="AH206" s="18"/>
      <c r="AI206" s="38"/>
      <c r="AJ206" s="11"/>
      <c r="AK206" s="18"/>
      <c r="AL206" s="18"/>
      <c r="AM206" s="11"/>
      <c r="AN206" s="12"/>
      <c r="AO206" s="13"/>
      <c r="AP206" s="11"/>
      <c r="AQ206" s="12"/>
      <c r="AR206" s="13"/>
      <c r="AS206" s="11"/>
      <c r="AT206" s="12"/>
      <c r="AU206" s="13"/>
      <c r="AV206" s="11"/>
      <c r="AW206" s="12"/>
      <c r="AX206" s="13"/>
      <c r="AY206" s="34"/>
      <c r="AZ206" s="12"/>
      <c r="BA206" s="12"/>
    </row>
    <row r="207" ht="15.75" customHeight="1">
      <c r="A207" s="7"/>
      <c r="B207" s="47"/>
      <c r="C207" s="18"/>
      <c r="D207" s="12"/>
      <c r="E207" s="12"/>
      <c r="F207" s="14"/>
      <c r="G207" s="15"/>
      <c r="H207" s="15"/>
      <c r="I207" s="18"/>
      <c r="J207" s="12"/>
      <c r="K207" s="12"/>
      <c r="L207" s="17"/>
      <c r="M207" s="12"/>
      <c r="N207" s="12"/>
      <c r="O207" s="18"/>
      <c r="P207" s="12"/>
      <c r="Q207" s="12"/>
      <c r="R207" s="18"/>
      <c r="S207" s="12"/>
      <c r="T207" s="12"/>
      <c r="U207" s="18"/>
      <c r="V207" s="12"/>
      <c r="W207" s="12"/>
      <c r="X207" s="18"/>
      <c r="Y207" s="12"/>
      <c r="Z207" s="12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2"/>
      <c r="AO207" s="12"/>
      <c r="AP207" s="18"/>
      <c r="AQ207" s="12"/>
      <c r="AR207" s="12"/>
      <c r="AS207" s="18"/>
      <c r="AT207" s="12"/>
      <c r="AU207" s="12"/>
      <c r="AV207" s="18"/>
      <c r="AW207" s="12"/>
      <c r="AX207" s="12"/>
      <c r="AY207" s="17"/>
      <c r="AZ207" s="12"/>
      <c r="BA207" s="12"/>
    </row>
    <row r="208" ht="15.75" customHeight="1">
      <c r="A208" s="7"/>
      <c r="B208" s="47"/>
      <c r="C208" s="18"/>
      <c r="D208" s="12"/>
      <c r="E208" s="12"/>
      <c r="F208" s="14"/>
      <c r="G208" s="15"/>
      <c r="H208" s="15"/>
      <c r="I208" s="18"/>
      <c r="J208" s="12"/>
      <c r="K208" s="12"/>
      <c r="L208" s="17"/>
      <c r="M208" s="12"/>
      <c r="N208" s="12"/>
      <c r="O208" s="18"/>
      <c r="P208" s="12"/>
      <c r="Q208" s="12"/>
      <c r="R208" s="18"/>
      <c r="S208" s="12"/>
      <c r="T208" s="12"/>
      <c r="U208" s="18"/>
      <c r="V208" s="12"/>
      <c r="W208" s="12"/>
      <c r="X208" s="18"/>
      <c r="Y208" s="12"/>
      <c r="Z208" s="12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2"/>
      <c r="AO208" s="12"/>
      <c r="AP208" s="18"/>
      <c r="AQ208" s="12"/>
      <c r="AR208" s="12"/>
      <c r="AS208" s="18"/>
      <c r="AT208" s="12"/>
      <c r="AU208" s="12"/>
      <c r="AV208" s="18"/>
      <c r="AW208" s="12"/>
      <c r="AX208" s="12"/>
      <c r="AY208" s="17"/>
      <c r="AZ208" s="12"/>
      <c r="BA208" s="12"/>
    </row>
    <row r="209" ht="15.75" customHeight="1">
      <c r="A209" s="7"/>
      <c r="B209" s="47"/>
      <c r="C209" s="18"/>
      <c r="D209" s="12"/>
      <c r="E209" s="12"/>
      <c r="F209" s="14"/>
      <c r="G209" s="15"/>
      <c r="H209" s="15"/>
      <c r="I209" s="18"/>
      <c r="J209" s="12"/>
      <c r="K209" s="12"/>
      <c r="L209" s="17"/>
      <c r="M209" s="12"/>
      <c r="N209" s="12"/>
      <c r="O209" s="18"/>
      <c r="P209" s="12"/>
      <c r="Q209" s="12"/>
      <c r="R209" s="18"/>
      <c r="S209" s="12"/>
      <c r="T209" s="12"/>
      <c r="U209" s="18"/>
      <c r="V209" s="12"/>
      <c r="W209" s="12"/>
      <c r="X209" s="18"/>
      <c r="Y209" s="12"/>
      <c r="Z209" s="12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2"/>
      <c r="AO209" s="12"/>
      <c r="AP209" s="18"/>
      <c r="AQ209" s="12"/>
      <c r="AR209" s="12"/>
      <c r="AS209" s="18"/>
      <c r="AT209" s="12"/>
      <c r="AU209" s="12"/>
      <c r="AV209" s="18"/>
      <c r="AW209" s="12"/>
      <c r="AX209" s="12"/>
      <c r="AY209" s="17"/>
      <c r="AZ209" s="12"/>
      <c r="BA209" s="12"/>
    </row>
    <row r="210" ht="15.75" customHeight="1">
      <c r="A210" s="7"/>
      <c r="B210" s="47"/>
      <c r="C210" s="18"/>
      <c r="D210" s="12"/>
      <c r="E210" s="12"/>
      <c r="F210" s="14"/>
      <c r="G210" s="15"/>
      <c r="H210" s="15"/>
      <c r="I210" s="18"/>
      <c r="J210" s="12"/>
      <c r="K210" s="12"/>
      <c r="L210" s="17"/>
      <c r="M210" s="12"/>
      <c r="N210" s="12"/>
      <c r="O210" s="18"/>
      <c r="P210" s="12"/>
      <c r="Q210" s="12"/>
      <c r="R210" s="18"/>
      <c r="S210" s="12"/>
      <c r="T210" s="12"/>
      <c r="U210" s="18"/>
      <c r="V210" s="12"/>
      <c r="W210" s="12"/>
      <c r="X210" s="18"/>
      <c r="Y210" s="12"/>
      <c r="Z210" s="12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2"/>
      <c r="AO210" s="12"/>
      <c r="AP210" s="18"/>
      <c r="AQ210" s="12"/>
      <c r="AR210" s="12"/>
      <c r="AS210" s="18"/>
      <c r="AT210" s="12"/>
      <c r="AU210" s="12"/>
      <c r="AV210" s="18"/>
      <c r="AW210" s="12"/>
      <c r="AX210" s="12"/>
      <c r="AY210" s="17"/>
      <c r="AZ210" s="12"/>
      <c r="BA210" s="12"/>
    </row>
    <row r="211" ht="15.75" customHeight="1">
      <c r="A211" s="7"/>
      <c r="B211" s="47"/>
      <c r="C211" s="18"/>
      <c r="D211" s="12"/>
      <c r="E211" s="12"/>
      <c r="F211" s="14"/>
      <c r="G211" s="15"/>
      <c r="H211" s="15"/>
      <c r="I211" s="18"/>
      <c r="J211" s="12"/>
      <c r="K211" s="12"/>
      <c r="L211" s="17"/>
      <c r="M211" s="12"/>
      <c r="N211" s="12"/>
      <c r="O211" s="18"/>
      <c r="P211" s="12"/>
      <c r="Q211" s="12"/>
      <c r="R211" s="18"/>
      <c r="S211" s="12"/>
      <c r="T211" s="12"/>
      <c r="U211" s="18"/>
      <c r="V211" s="12"/>
      <c r="W211" s="12"/>
      <c r="X211" s="18"/>
      <c r="Y211" s="12"/>
      <c r="Z211" s="12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2"/>
      <c r="AO211" s="12"/>
      <c r="AP211" s="18"/>
      <c r="AQ211" s="12"/>
      <c r="AR211" s="12"/>
      <c r="AS211" s="18"/>
      <c r="AT211" s="12"/>
      <c r="AU211" s="12"/>
      <c r="AV211" s="18"/>
      <c r="AW211" s="12"/>
      <c r="AX211" s="12"/>
      <c r="AY211" s="17"/>
      <c r="AZ211" s="12"/>
      <c r="BA211" s="12"/>
    </row>
    <row r="212" ht="15.75" customHeight="1">
      <c r="A212" s="7"/>
      <c r="B212" s="47"/>
      <c r="C212" s="18"/>
      <c r="D212" s="12"/>
      <c r="E212" s="12"/>
      <c r="F212" s="14"/>
      <c r="G212" s="15"/>
      <c r="H212" s="15"/>
      <c r="I212" s="18"/>
      <c r="J212" s="12"/>
      <c r="K212" s="12"/>
      <c r="L212" s="17"/>
      <c r="M212" s="12"/>
      <c r="N212" s="12"/>
      <c r="O212" s="18"/>
      <c r="P212" s="12"/>
      <c r="Q212" s="12"/>
      <c r="R212" s="18"/>
      <c r="S212" s="12"/>
      <c r="T212" s="12"/>
      <c r="U212" s="18"/>
      <c r="V212" s="12"/>
      <c r="W212" s="12"/>
      <c r="X212" s="18"/>
      <c r="Y212" s="12"/>
      <c r="Z212" s="12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2"/>
      <c r="AO212" s="12"/>
      <c r="AP212" s="18"/>
      <c r="AQ212" s="12"/>
      <c r="AR212" s="12"/>
      <c r="AS212" s="18"/>
      <c r="AT212" s="12"/>
      <c r="AU212" s="12"/>
      <c r="AV212" s="18"/>
      <c r="AW212" s="12"/>
      <c r="AX212" s="12"/>
      <c r="AY212" s="17"/>
      <c r="AZ212" s="12"/>
      <c r="BA212" s="12"/>
    </row>
    <row r="213" ht="15.75" customHeight="1">
      <c r="A213" s="7"/>
      <c r="B213" s="47"/>
      <c r="C213" s="18"/>
      <c r="D213" s="12"/>
      <c r="E213" s="12"/>
      <c r="F213" s="14"/>
      <c r="G213" s="15"/>
      <c r="H213" s="15"/>
      <c r="I213" s="18"/>
      <c r="J213" s="12"/>
      <c r="K213" s="12"/>
      <c r="L213" s="17"/>
      <c r="M213" s="12"/>
      <c r="N213" s="12"/>
      <c r="O213" s="18"/>
      <c r="P213" s="12"/>
      <c r="Q213" s="12"/>
      <c r="R213" s="18"/>
      <c r="S213" s="12"/>
      <c r="T213" s="12"/>
      <c r="U213" s="18"/>
      <c r="V213" s="12"/>
      <c r="W213" s="12"/>
      <c r="X213" s="18"/>
      <c r="Y213" s="12"/>
      <c r="Z213" s="12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2"/>
      <c r="AO213" s="12"/>
      <c r="AP213" s="18"/>
      <c r="AQ213" s="12"/>
      <c r="AR213" s="12"/>
      <c r="AS213" s="18"/>
      <c r="AT213" s="12"/>
      <c r="AU213" s="12"/>
      <c r="AV213" s="18"/>
      <c r="AW213" s="12"/>
      <c r="AX213" s="12"/>
      <c r="AY213" s="17"/>
      <c r="AZ213" s="12"/>
      <c r="BA213" s="12"/>
    </row>
    <row r="214" ht="15.75" customHeight="1">
      <c r="A214" s="7"/>
      <c r="B214" s="47"/>
      <c r="C214" s="18"/>
      <c r="D214" s="12"/>
      <c r="E214" s="12"/>
      <c r="F214" s="14"/>
      <c r="G214" s="15"/>
      <c r="H214" s="15"/>
      <c r="I214" s="18"/>
      <c r="J214" s="12"/>
      <c r="K214" s="12"/>
      <c r="L214" s="17"/>
      <c r="M214" s="12"/>
      <c r="N214" s="12"/>
      <c r="O214" s="18"/>
      <c r="P214" s="12"/>
      <c r="Q214" s="12"/>
      <c r="R214" s="18"/>
      <c r="S214" s="12"/>
      <c r="T214" s="12"/>
      <c r="U214" s="18"/>
      <c r="V214" s="12"/>
      <c r="W214" s="12"/>
      <c r="X214" s="18"/>
      <c r="Y214" s="12"/>
      <c r="Z214" s="12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2"/>
      <c r="AO214" s="12"/>
      <c r="AP214" s="18"/>
      <c r="AQ214" s="12"/>
      <c r="AR214" s="12"/>
      <c r="AS214" s="18"/>
      <c r="AT214" s="12"/>
      <c r="AU214" s="12"/>
      <c r="AV214" s="18"/>
      <c r="AW214" s="12"/>
      <c r="AX214" s="12"/>
      <c r="AY214" s="17"/>
      <c r="AZ214" s="12"/>
      <c r="BA214" s="12"/>
    </row>
    <row r="215" ht="15.75" customHeight="1">
      <c r="A215" s="7"/>
      <c r="B215" s="47"/>
      <c r="C215" s="18"/>
      <c r="D215" s="12"/>
      <c r="E215" s="12"/>
      <c r="F215" s="14"/>
      <c r="G215" s="15"/>
      <c r="H215" s="15"/>
      <c r="I215" s="18"/>
      <c r="J215" s="12"/>
      <c r="K215" s="12"/>
      <c r="L215" s="17"/>
      <c r="M215" s="12"/>
      <c r="N215" s="12"/>
      <c r="O215" s="18"/>
      <c r="P215" s="12"/>
      <c r="Q215" s="12"/>
      <c r="R215" s="18"/>
      <c r="S215" s="12"/>
      <c r="T215" s="12"/>
      <c r="U215" s="18"/>
      <c r="V215" s="12"/>
      <c r="W215" s="12"/>
      <c r="X215" s="18"/>
      <c r="Y215" s="12"/>
      <c r="Z215" s="12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2"/>
      <c r="AO215" s="12"/>
      <c r="AP215" s="18"/>
      <c r="AQ215" s="12"/>
      <c r="AR215" s="12"/>
      <c r="AS215" s="18"/>
      <c r="AT215" s="12"/>
      <c r="AU215" s="12"/>
      <c r="AV215" s="18"/>
      <c r="AW215" s="12"/>
      <c r="AX215" s="12"/>
      <c r="AY215" s="17"/>
      <c r="AZ215" s="12"/>
      <c r="BA215" s="12"/>
    </row>
    <row r="216" ht="15.75" customHeight="1">
      <c r="A216" s="7"/>
      <c r="B216" s="47"/>
      <c r="C216" s="18"/>
      <c r="D216" s="12"/>
      <c r="E216" s="12"/>
      <c r="F216" s="14"/>
      <c r="G216" s="15"/>
      <c r="H216" s="15"/>
      <c r="I216" s="18"/>
      <c r="J216" s="12"/>
      <c r="K216" s="12"/>
      <c r="L216" s="17"/>
      <c r="M216" s="12"/>
      <c r="N216" s="12"/>
      <c r="O216" s="18"/>
      <c r="P216" s="12"/>
      <c r="Q216" s="12"/>
      <c r="R216" s="18"/>
      <c r="S216" s="12"/>
      <c r="T216" s="12"/>
      <c r="U216" s="18"/>
      <c r="V216" s="12"/>
      <c r="W216" s="12"/>
      <c r="X216" s="18"/>
      <c r="Y216" s="12"/>
      <c r="Z216" s="12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2"/>
      <c r="AO216" s="12"/>
      <c r="AP216" s="18"/>
      <c r="AQ216" s="12"/>
      <c r="AR216" s="12"/>
      <c r="AS216" s="18"/>
      <c r="AT216" s="12"/>
      <c r="AU216" s="12"/>
      <c r="AV216" s="18"/>
      <c r="AW216" s="12"/>
      <c r="AX216" s="12"/>
      <c r="AY216" s="17"/>
      <c r="AZ216" s="12"/>
      <c r="BA216" s="1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Z$206">
    <sortState ref="A1:AZ206">
      <sortCondition ref="C1:C206"/>
      <sortCondition ref="F1:F206"/>
      <sortCondition ref="I1:I206"/>
      <sortCondition ref="L1:L206"/>
      <sortCondition ref="O1:O206"/>
      <sortCondition ref="R1:R206"/>
      <sortCondition ref="U1:U206"/>
      <sortCondition ref="X1:X206"/>
      <sortCondition ref="AA1:AA206"/>
      <sortCondition ref="AD1:AD206"/>
      <sortCondition ref="AG1:AG206"/>
      <sortCondition ref="AJ1:AJ206"/>
      <sortCondition ref="AM1:AM206"/>
      <sortCondition ref="AP1:AP206"/>
      <sortCondition ref="AS1:AS206"/>
      <sortCondition ref="AV1:AV20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5"/>
    <col customWidth="1" min="2" max="2" width="7.25"/>
    <col customWidth="1" min="3" max="3" width="7.75"/>
    <col customWidth="1" min="4" max="5" width="6.88"/>
    <col customWidth="1" min="6" max="7" width="7.75"/>
    <col customWidth="1" min="8" max="8" width="6.88"/>
    <col customWidth="1" min="9" max="9" width="7.75"/>
    <col customWidth="1" min="10" max="11" width="6.88"/>
    <col customWidth="1" min="12" max="12" width="7.75"/>
    <col customWidth="1" min="13" max="14" width="6.88"/>
    <col customWidth="1" min="15" max="15" width="7.75"/>
    <col customWidth="1" min="16" max="17" width="6.88"/>
    <col customWidth="1" min="18" max="18" width="7.75"/>
    <col customWidth="1" min="19" max="20" width="6.88"/>
    <col customWidth="1" min="21" max="21" width="7.75"/>
    <col customWidth="1" min="22" max="23" width="6.88"/>
    <col customWidth="1" min="24" max="24" width="7.75"/>
    <col customWidth="1" min="25" max="26" width="6.88"/>
    <col customWidth="1" min="27" max="27" width="7.75"/>
    <col customWidth="1" min="28" max="29" width="6.88"/>
    <col customWidth="1" min="30" max="31" width="7.75"/>
    <col customWidth="1" min="32" max="32" width="7.88"/>
    <col customWidth="1" min="33" max="33" width="7.75"/>
    <col customWidth="1" min="34" max="34" width="7.5"/>
    <col customWidth="1" min="35" max="35" width="7.63"/>
    <col customWidth="1" min="36" max="36" width="7.75"/>
    <col customWidth="1" min="37" max="37" width="7.5"/>
    <col customWidth="1" min="38" max="38" width="7.63"/>
    <col customWidth="1" min="39" max="39" width="7.75"/>
    <col customWidth="1" min="40" max="40" width="8.13"/>
    <col customWidth="1" min="41" max="41" width="7.63"/>
    <col customWidth="1" min="42" max="42" width="7.75"/>
    <col customWidth="1" min="43" max="43" width="7.88"/>
    <col customWidth="1" min="44" max="44" width="7.63"/>
    <col customWidth="1" min="45" max="45" width="7.75"/>
    <col customWidth="1" min="46" max="47" width="7.63"/>
    <col customWidth="1" min="48" max="48" width="7.75"/>
    <col customWidth="1" min="49" max="50" width="7.63"/>
    <col customWidth="1" min="51" max="51" width="5.63"/>
    <col customWidth="1" min="52" max="53" width="8.25"/>
  </cols>
  <sheetData>
    <row r="1" ht="15.75" customHeight="1">
      <c r="A1" s="1"/>
      <c r="B1" s="1" t="s">
        <v>1</v>
      </c>
      <c r="C1" s="3" t="s">
        <v>3</v>
      </c>
      <c r="D1" s="1" t="s">
        <v>4</v>
      </c>
      <c r="E1" s="4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1" t="s">
        <v>10</v>
      </c>
      <c r="K1" s="4" t="s">
        <v>11</v>
      </c>
      <c r="L1" s="3" t="s">
        <v>12</v>
      </c>
      <c r="M1" s="1" t="s">
        <v>13</v>
      </c>
      <c r="N1" s="4" t="s">
        <v>14</v>
      </c>
      <c r="O1" s="3" t="s">
        <v>15</v>
      </c>
      <c r="P1" s="1" t="s">
        <v>16</v>
      </c>
      <c r="Q1" s="4" t="s">
        <v>17</v>
      </c>
      <c r="R1" s="3" t="s">
        <v>18</v>
      </c>
      <c r="S1" s="1" t="s">
        <v>19</v>
      </c>
      <c r="T1" s="4" t="s">
        <v>20</v>
      </c>
      <c r="U1" s="3" t="s">
        <v>21</v>
      </c>
      <c r="V1" s="1" t="s">
        <v>22</v>
      </c>
      <c r="W1" s="4" t="s">
        <v>23</v>
      </c>
      <c r="X1" s="3" t="s">
        <v>24</v>
      </c>
      <c r="Y1" s="1" t="s">
        <v>25</v>
      </c>
      <c r="Z1" s="4" t="s">
        <v>26</v>
      </c>
      <c r="AA1" s="3" t="s">
        <v>27</v>
      </c>
      <c r="AB1" s="1" t="s">
        <v>28</v>
      </c>
      <c r="AC1" s="4" t="s">
        <v>29</v>
      </c>
      <c r="AD1" s="3" t="s">
        <v>30</v>
      </c>
      <c r="AE1" s="1" t="s">
        <v>31</v>
      </c>
      <c r="AF1" s="4" t="s">
        <v>32</v>
      </c>
      <c r="AG1" s="3" t="s">
        <v>33</v>
      </c>
      <c r="AH1" s="1" t="s">
        <v>34</v>
      </c>
      <c r="AI1" s="4" t="s">
        <v>35</v>
      </c>
      <c r="AJ1" s="3" t="s">
        <v>36</v>
      </c>
      <c r="AK1" s="1" t="s">
        <v>37</v>
      </c>
      <c r="AL1" s="4" t="s">
        <v>38</v>
      </c>
      <c r="AM1" s="3" t="s">
        <v>39</v>
      </c>
      <c r="AN1" s="1" t="s">
        <v>40</v>
      </c>
      <c r="AO1" s="4" t="s">
        <v>41</v>
      </c>
      <c r="AP1" s="3" t="s">
        <v>42</v>
      </c>
      <c r="AQ1" s="1" t="s">
        <v>43</v>
      </c>
      <c r="AR1" s="4" t="s">
        <v>44</v>
      </c>
      <c r="AS1" s="3" t="s">
        <v>45</v>
      </c>
      <c r="AT1" s="1" t="s">
        <v>46</v>
      </c>
      <c r="AU1" s="4" t="s">
        <v>47</v>
      </c>
      <c r="AV1" s="3" t="s">
        <v>48</v>
      </c>
      <c r="AW1" s="1" t="s">
        <v>49</v>
      </c>
      <c r="AX1" s="4" t="s">
        <v>50</v>
      </c>
      <c r="AY1" s="3" t="s">
        <v>51</v>
      </c>
      <c r="AZ1" s="1" t="s">
        <v>52</v>
      </c>
      <c r="BA1" s="6" t="s">
        <v>182</v>
      </c>
    </row>
    <row r="2" ht="15.75" customHeight="1">
      <c r="A2" s="7"/>
      <c r="B2" s="47">
        <v>500.0</v>
      </c>
      <c r="C2" s="11">
        <v>189.0</v>
      </c>
      <c r="D2" s="12">
        <v>0.2798611111111111</v>
      </c>
      <c r="E2" s="13">
        <v>0.28055555555555556</v>
      </c>
      <c r="F2" s="64">
        <v>179.0</v>
      </c>
      <c r="G2" s="65">
        <v>0.34444444444444444</v>
      </c>
      <c r="H2" s="66">
        <v>0.34444444444444444</v>
      </c>
      <c r="I2" s="11">
        <v>181.0</v>
      </c>
      <c r="J2" s="12">
        <v>0.4263888888888889</v>
      </c>
      <c r="K2" s="13">
        <v>0.4388888888888889</v>
      </c>
      <c r="L2" s="67">
        <v>169.0</v>
      </c>
      <c r="M2" s="12">
        <v>0.5305555555555556</v>
      </c>
      <c r="N2" s="13">
        <v>0.5340277777777778</v>
      </c>
      <c r="O2" s="38">
        <v>163.0</v>
      </c>
      <c r="P2" s="12">
        <v>0.6083333333333333</v>
      </c>
      <c r="Q2" s="13">
        <v>0.6125</v>
      </c>
      <c r="R2" s="11">
        <v>160.0</v>
      </c>
      <c r="S2" s="12">
        <v>0.6861111111111111</v>
      </c>
      <c r="T2" s="13">
        <v>0.6902777777777778</v>
      </c>
      <c r="U2" s="11">
        <v>156.0</v>
      </c>
      <c r="V2" s="12">
        <v>0.7430555555555556</v>
      </c>
      <c r="W2" s="13">
        <v>0.7638888888888888</v>
      </c>
      <c r="X2" s="11">
        <v>147.0</v>
      </c>
      <c r="Y2" s="12"/>
      <c r="Z2" s="13">
        <v>0.8743055555555556</v>
      </c>
      <c r="AA2" s="20">
        <v>146.0</v>
      </c>
      <c r="AB2" s="21">
        <v>0.9465277777777777</v>
      </c>
      <c r="AC2" s="22">
        <v>0.96875</v>
      </c>
      <c r="AD2" s="18">
        <v>152.0</v>
      </c>
      <c r="AE2" s="12">
        <v>0.09236111111111112</v>
      </c>
      <c r="AF2" s="23">
        <v>0.10416666666666667</v>
      </c>
      <c r="AG2" s="11">
        <v>146.0</v>
      </c>
      <c r="AH2" s="12">
        <v>0.19583333333333333</v>
      </c>
      <c r="AI2" s="13">
        <v>0.19652777777777777</v>
      </c>
      <c r="AJ2" s="14">
        <v>129.0</v>
      </c>
      <c r="AK2" s="15">
        <v>0.2902777777777778</v>
      </c>
      <c r="AL2" s="16">
        <v>0.29097222222222224</v>
      </c>
      <c r="AM2" s="11">
        <v>122.0</v>
      </c>
      <c r="AN2" s="12">
        <v>0.3472222222222222</v>
      </c>
      <c r="AO2" s="13">
        <v>0.35138888888888886</v>
      </c>
      <c r="AP2" s="11">
        <v>117.0</v>
      </c>
      <c r="AQ2" s="12">
        <v>0.41458333333333336</v>
      </c>
      <c r="AR2" s="13">
        <v>0.41944444444444445</v>
      </c>
      <c r="AS2" s="11">
        <v>114.0</v>
      </c>
      <c r="AT2" s="12">
        <v>0.5236111111111111</v>
      </c>
      <c r="AU2" s="13">
        <v>0.5395833333333333</v>
      </c>
      <c r="AV2" s="11">
        <v>111.0</v>
      </c>
      <c r="AW2" s="12">
        <v>0.11041666666666666</v>
      </c>
      <c r="AX2" s="13">
        <v>0.11041666666666666</v>
      </c>
      <c r="AY2" s="34">
        <f t="array" ref="AY2">XLOOKUP(B2,faclon_results_2022!$D:$D,faclon_results_2022!$A:$A,"DNF")</f>
        <v>107</v>
      </c>
      <c r="AZ2" s="12">
        <f t="shared" ref="AZ2:AZ205" si="1">TIME(5,0,0)+time(BA2,60*(BA2-int(BA2)),0)</f>
        <v>0.6590277778</v>
      </c>
      <c r="BA2" s="18">
        <f t="array" ref="BA2">XLOOKUP(B2,faclon_results_2022!$D:$D,faclon_results_2022!$J:$J)</f>
        <v>34.82155</v>
      </c>
    </row>
    <row r="3" ht="15.75" customHeight="1">
      <c r="A3" s="7"/>
      <c r="B3" s="47">
        <v>501.0</v>
      </c>
      <c r="C3" s="11">
        <v>178.0</v>
      </c>
      <c r="D3" s="12">
        <v>0.2763888888888889</v>
      </c>
      <c r="E3" s="13">
        <v>0.27708333333333335</v>
      </c>
      <c r="F3" s="64">
        <v>178.0</v>
      </c>
      <c r="G3" s="65">
        <v>0.34444444444444444</v>
      </c>
      <c r="H3" s="66">
        <v>0.34444444444444444</v>
      </c>
      <c r="I3" s="11">
        <v>188.0</v>
      </c>
      <c r="J3" s="12">
        <v>0.4305555555555556</v>
      </c>
      <c r="K3" s="13">
        <v>0.4375</v>
      </c>
      <c r="L3" s="67">
        <v>170.0</v>
      </c>
      <c r="M3" s="12">
        <v>0.5305555555555556</v>
      </c>
      <c r="N3" s="13">
        <v>0.5347222222222222</v>
      </c>
      <c r="O3" s="38">
        <v>168.0</v>
      </c>
      <c r="P3" s="12">
        <v>0.6118055555555556</v>
      </c>
      <c r="Q3" s="13">
        <v>0.6173611111111111</v>
      </c>
      <c r="R3" s="11">
        <v>166.0</v>
      </c>
      <c r="S3" s="12">
        <v>0.6944444444444444</v>
      </c>
      <c r="T3" s="13">
        <v>0.6986111111111111</v>
      </c>
      <c r="U3" s="11">
        <v>165.0</v>
      </c>
      <c r="V3" s="12">
        <v>0.7506944444444444</v>
      </c>
      <c r="W3" s="13">
        <v>0.7645833333333333</v>
      </c>
      <c r="X3" s="11">
        <v>160.0</v>
      </c>
      <c r="Y3" s="12"/>
      <c r="Z3" s="13">
        <v>0.8930555555555556</v>
      </c>
      <c r="AA3" s="20">
        <v>161.0</v>
      </c>
      <c r="AB3" s="21">
        <v>0.9708333333333333</v>
      </c>
      <c r="AC3" s="22">
        <v>0.9736111111111111</v>
      </c>
      <c r="AD3" s="18">
        <v>154.0</v>
      </c>
      <c r="AE3" s="12">
        <v>0.09791666666666667</v>
      </c>
      <c r="AF3" s="23">
        <v>0.10972222222222222</v>
      </c>
      <c r="AG3" s="11">
        <v>141.0</v>
      </c>
      <c r="AH3" s="12">
        <v>0.19305555555555556</v>
      </c>
      <c r="AI3" s="13">
        <v>0.19652777777777777</v>
      </c>
      <c r="AJ3" s="14">
        <v>132.0</v>
      </c>
      <c r="AK3" s="15">
        <v>0.2965277777777778</v>
      </c>
      <c r="AL3" s="16">
        <v>0.3013888888888889</v>
      </c>
      <c r="AM3" s="11">
        <v>123.0</v>
      </c>
      <c r="AN3" s="12">
        <v>0.36180555555555555</v>
      </c>
      <c r="AO3" s="13">
        <v>0.36875</v>
      </c>
      <c r="AP3" s="11">
        <v>120.0</v>
      </c>
      <c r="AQ3" s="12">
        <v>0.43680555555555556</v>
      </c>
      <c r="AR3" s="13">
        <v>0.43819444444444444</v>
      </c>
      <c r="AS3" s="11">
        <v>120.0</v>
      </c>
      <c r="AT3" s="12">
        <v>0.5472222222222223</v>
      </c>
      <c r="AU3" s="13">
        <v>0.5506944444444445</v>
      </c>
      <c r="AV3" s="11">
        <v>120.0</v>
      </c>
      <c r="AW3" s="12">
        <v>0.1326388888888889</v>
      </c>
      <c r="AX3" s="13">
        <v>0.1361111111111111</v>
      </c>
      <c r="AY3" s="34">
        <f t="array" ref="AY3">XLOOKUP(B3,faclon_results_2022!$D:$D,faclon_results_2022!$A:$A,"DNF")</f>
        <v>120</v>
      </c>
      <c r="AZ3" s="12">
        <f t="shared" si="1"/>
        <v>0.6916666667</v>
      </c>
      <c r="BA3" s="18">
        <f t="array" ref="BA3">XLOOKUP(B3,faclon_results_2022!$D:$D,faclon_results_2022!$J:$J)</f>
        <v>35.60848</v>
      </c>
    </row>
    <row r="4" ht="15.75" customHeight="1">
      <c r="A4" s="7"/>
      <c r="B4" s="47">
        <v>502.0</v>
      </c>
      <c r="C4" s="11">
        <v>103.0</v>
      </c>
      <c r="D4" s="12">
        <v>0.26875</v>
      </c>
      <c r="E4" s="13">
        <v>0.26944444444444443</v>
      </c>
      <c r="F4" s="64">
        <v>135.0</v>
      </c>
      <c r="G4" s="65">
        <v>0.33402777777777776</v>
      </c>
      <c r="H4" s="66">
        <v>0.33402777777777776</v>
      </c>
      <c r="I4" s="11">
        <v>168.0</v>
      </c>
      <c r="J4" s="12">
        <v>0.4215277777777778</v>
      </c>
      <c r="K4" s="13">
        <v>0.4326388888888889</v>
      </c>
      <c r="L4" s="67">
        <v>182.0</v>
      </c>
      <c r="M4" s="12">
        <v>0.5395833333333333</v>
      </c>
      <c r="N4" s="13">
        <v>0.5430555555555555</v>
      </c>
      <c r="O4" s="38">
        <v>182.0</v>
      </c>
      <c r="P4" s="12">
        <v>0.625</v>
      </c>
      <c r="Q4" s="13">
        <v>0.6284722222222222</v>
      </c>
      <c r="R4" s="11">
        <v>177.0</v>
      </c>
      <c r="S4" s="12">
        <v>0.7090277777777778</v>
      </c>
      <c r="T4" s="13">
        <v>0.7125</v>
      </c>
      <c r="U4" s="11">
        <v>181.0</v>
      </c>
      <c r="V4" s="12">
        <v>0.7784722222222222</v>
      </c>
      <c r="W4" s="13">
        <v>0.79375</v>
      </c>
      <c r="X4" s="11">
        <v>169.0</v>
      </c>
      <c r="Y4" s="12"/>
      <c r="Z4" s="13">
        <v>0.9291666666666667</v>
      </c>
      <c r="AA4" s="20">
        <v>168.0</v>
      </c>
      <c r="AB4" s="21">
        <v>0.00625</v>
      </c>
      <c r="AC4" s="22">
        <v>0.009722222222222222</v>
      </c>
      <c r="AD4" s="18"/>
      <c r="AE4" s="18"/>
      <c r="AF4" s="47"/>
      <c r="AG4" s="11"/>
      <c r="AH4" s="18"/>
      <c r="AI4" s="38"/>
      <c r="AJ4" s="68"/>
      <c r="AK4" s="68"/>
      <c r="AL4" s="69"/>
      <c r="AM4" s="11"/>
      <c r="AN4" s="12"/>
      <c r="AO4" s="13"/>
      <c r="AP4" s="11"/>
      <c r="AQ4" s="12"/>
      <c r="AR4" s="13"/>
      <c r="AS4" s="11"/>
      <c r="AT4" s="12"/>
      <c r="AU4" s="13"/>
      <c r="AV4" s="11"/>
      <c r="AW4" s="12"/>
      <c r="AX4" s="13"/>
      <c r="AY4" s="34" t="str">
        <f t="array" ref="AY4">XLOOKUP(B4,faclon_results_2022!$D:$D,faclon_results_2022!$A:$A,"DNF")</f>
        <v>DNF</v>
      </c>
      <c r="AZ4" s="12" t="str">
        <f t="shared" si="1"/>
        <v>#N/A</v>
      </c>
      <c r="BA4" s="18" t="str">
        <f t="array" ref="BA4">XLOOKUP(B4,faclon_results_2022!$D:$D,faclon_results_2022!$J:$J)</f>
        <v>#N/A</v>
      </c>
    </row>
    <row r="5" ht="15.75" customHeight="1">
      <c r="A5" s="7"/>
      <c r="B5" s="47">
        <v>504.0</v>
      </c>
      <c r="C5" s="11">
        <v>15.0</v>
      </c>
      <c r="D5" s="12">
        <v>0.25555555555555554</v>
      </c>
      <c r="E5" s="13">
        <v>0.25555555555555554</v>
      </c>
      <c r="F5" s="64">
        <v>17.0</v>
      </c>
      <c r="G5" s="65">
        <v>0.3020833333333333</v>
      </c>
      <c r="H5" s="66">
        <v>0.3020833333333333</v>
      </c>
      <c r="I5" s="11">
        <v>42.0</v>
      </c>
      <c r="J5" s="12">
        <v>0.3729166666666667</v>
      </c>
      <c r="K5" s="13">
        <v>0.3784722222222222</v>
      </c>
      <c r="L5" s="67">
        <v>59.0</v>
      </c>
      <c r="M5" s="30">
        <v>0.46319444444444446</v>
      </c>
      <c r="N5" s="35">
        <v>0.46805555555555556</v>
      </c>
      <c r="O5" s="38">
        <v>72.0</v>
      </c>
      <c r="P5" s="12">
        <v>0.54375</v>
      </c>
      <c r="Q5" s="13">
        <v>0.5506944444444445</v>
      </c>
      <c r="R5" s="11">
        <v>81.0</v>
      </c>
      <c r="S5" s="12">
        <v>0.6201388888888889</v>
      </c>
      <c r="T5" s="13">
        <v>0.6256944444444444</v>
      </c>
      <c r="U5" s="11">
        <v>75.0</v>
      </c>
      <c r="V5" s="12">
        <v>0.6659722222222222</v>
      </c>
      <c r="W5" s="13">
        <v>0.6791666666666667</v>
      </c>
      <c r="X5" s="11">
        <v>98.0</v>
      </c>
      <c r="Y5" s="12"/>
      <c r="Z5" s="13">
        <v>0.8104166666666667</v>
      </c>
      <c r="AA5" s="20">
        <v>99.0</v>
      </c>
      <c r="AB5" s="21">
        <v>0.8840277777777777</v>
      </c>
      <c r="AC5" s="22">
        <v>0.8909722222222223</v>
      </c>
      <c r="AD5" s="18">
        <v>109.0</v>
      </c>
      <c r="AE5" s="12">
        <v>0.017361111111111112</v>
      </c>
      <c r="AF5" s="23">
        <v>0.03194444444444444</v>
      </c>
      <c r="AG5" s="11">
        <v>122.0</v>
      </c>
      <c r="AH5" s="12">
        <v>0.1361111111111111</v>
      </c>
      <c r="AI5" s="13">
        <v>0.14791666666666667</v>
      </c>
      <c r="AJ5" s="14">
        <v>131.0</v>
      </c>
      <c r="AK5" s="15">
        <v>0.2965277777777778</v>
      </c>
      <c r="AL5" s="16">
        <v>0.30833333333333335</v>
      </c>
      <c r="AM5" s="11">
        <v>131.0</v>
      </c>
      <c r="AN5" s="12">
        <v>0.38680555555555557</v>
      </c>
      <c r="AO5" s="38" t="s">
        <v>178</v>
      </c>
      <c r="AP5" s="11"/>
      <c r="AQ5" s="12"/>
      <c r="AR5" s="13"/>
      <c r="AS5" s="11"/>
      <c r="AT5" s="12"/>
      <c r="AU5" s="13"/>
      <c r="AV5" s="11"/>
      <c r="AW5" s="12"/>
      <c r="AX5" s="13"/>
      <c r="AY5" s="34" t="str">
        <f t="array" ref="AY5">XLOOKUP(B5,faclon_results_2022!$D:$D,faclon_results_2022!$A:$A,"DNF")</f>
        <v>DNF</v>
      </c>
      <c r="AZ5" s="12" t="str">
        <f t="shared" si="1"/>
        <v>#N/A</v>
      </c>
      <c r="BA5" s="18" t="str">
        <f t="array" ref="BA5">XLOOKUP(B5,faclon_results_2022!$D:$D,faclon_results_2022!$J:$J)</f>
        <v>#N/A</v>
      </c>
    </row>
    <row r="6" ht="15.75" customHeight="1">
      <c r="A6" s="7"/>
      <c r="B6" s="47">
        <v>506.0</v>
      </c>
      <c r="C6" s="11">
        <v>88.0</v>
      </c>
      <c r="D6" s="12">
        <v>0.2673611111111111</v>
      </c>
      <c r="E6" s="13">
        <v>0.26805555555555555</v>
      </c>
      <c r="F6" s="64">
        <v>117.0</v>
      </c>
      <c r="G6" s="65">
        <v>0.3298611111111111</v>
      </c>
      <c r="H6" s="66">
        <v>0.3298611111111111</v>
      </c>
      <c r="I6" s="11">
        <v>133.0</v>
      </c>
      <c r="J6" s="12">
        <v>0.4076388888888889</v>
      </c>
      <c r="K6" s="13">
        <v>0.41180555555555554</v>
      </c>
      <c r="L6" s="67">
        <v>142.0</v>
      </c>
      <c r="M6" s="12">
        <v>0.5083333333333333</v>
      </c>
      <c r="N6" s="13">
        <v>0.5138888888888888</v>
      </c>
      <c r="O6" s="38">
        <v>146.0</v>
      </c>
      <c r="P6" s="12">
        <v>0.59375</v>
      </c>
      <c r="Q6" s="13">
        <v>0.5993055555555555</v>
      </c>
      <c r="R6" s="11">
        <v>156.0</v>
      </c>
      <c r="S6" s="12">
        <v>0.6854166666666667</v>
      </c>
      <c r="T6" s="13">
        <v>0.7013888888888888</v>
      </c>
      <c r="U6" s="11">
        <v>168.0</v>
      </c>
      <c r="V6" s="12">
        <v>0.75625</v>
      </c>
      <c r="W6" s="13">
        <v>0.7680555555555556</v>
      </c>
      <c r="X6" s="11"/>
      <c r="Y6" s="12"/>
      <c r="Z6" s="13"/>
      <c r="AA6" s="20"/>
      <c r="AB6" s="20"/>
      <c r="AC6" s="70"/>
      <c r="AD6" s="18"/>
      <c r="AE6" s="18"/>
      <c r="AF6" s="47"/>
      <c r="AG6" s="11"/>
      <c r="AH6" s="18"/>
      <c r="AI6" s="38"/>
      <c r="AJ6" s="68"/>
      <c r="AK6" s="68"/>
      <c r="AL6" s="69"/>
      <c r="AM6" s="11"/>
      <c r="AN6" s="18"/>
      <c r="AO6" s="38"/>
      <c r="AP6" s="11"/>
      <c r="AQ6" s="18"/>
      <c r="AR6" s="38"/>
      <c r="AS6" s="11"/>
      <c r="AT6" s="18"/>
      <c r="AU6" s="38"/>
      <c r="AV6" s="11"/>
      <c r="AW6" s="18"/>
      <c r="AX6" s="38"/>
      <c r="AY6" s="34" t="str">
        <f t="array" ref="AY6">XLOOKUP(B6,faclon_results_2022!$D:$D,faclon_results_2022!$A:$A,"DNF")</f>
        <v>DNF</v>
      </c>
      <c r="AZ6" s="12" t="str">
        <f t="shared" si="1"/>
        <v>#N/A</v>
      </c>
      <c r="BA6" s="18" t="str">
        <f t="array" ref="BA6">XLOOKUP(B6,faclon_results_2022!$D:$D,faclon_results_2022!$J:$J)</f>
        <v>#N/A</v>
      </c>
    </row>
    <row r="7" ht="15.75" customHeight="1">
      <c r="A7" s="7"/>
      <c r="B7" s="47">
        <v>507.0</v>
      </c>
      <c r="C7" s="11">
        <v>44.0</v>
      </c>
      <c r="D7" s="12">
        <v>0.2611111111111111</v>
      </c>
      <c r="E7" s="13">
        <v>0.26180555555555557</v>
      </c>
      <c r="F7" s="64">
        <v>32.0</v>
      </c>
      <c r="G7" s="65">
        <v>0.3076388888888889</v>
      </c>
      <c r="H7" s="66">
        <v>0.3076388888888889</v>
      </c>
      <c r="I7" s="11">
        <v>41.0</v>
      </c>
      <c r="J7" s="12">
        <v>0.3715277777777778</v>
      </c>
      <c r="K7" s="13">
        <v>0.3784722222222222</v>
      </c>
      <c r="L7" s="67">
        <v>52.0</v>
      </c>
      <c r="M7" s="12">
        <v>0.4597222222222222</v>
      </c>
      <c r="N7" s="13">
        <v>0.46111111111111114</v>
      </c>
      <c r="O7" s="38">
        <v>50.0</v>
      </c>
      <c r="P7" s="12">
        <v>0.5215277777777778</v>
      </c>
      <c r="Q7" s="13">
        <v>0.525</v>
      </c>
      <c r="R7" s="11">
        <v>49.0</v>
      </c>
      <c r="S7" s="12">
        <v>0.5854166666666667</v>
      </c>
      <c r="T7" s="13">
        <v>0.5881944444444445</v>
      </c>
      <c r="U7" s="11">
        <v>47.0</v>
      </c>
      <c r="V7" s="12">
        <v>0.6277777777777778</v>
      </c>
      <c r="W7" s="13">
        <v>0.6326388888888889</v>
      </c>
      <c r="X7" s="11">
        <v>46.0</v>
      </c>
      <c r="Y7" s="12"/>
      <c r="Z7" s="13">
        <v>0.7333333333333333</v>
      </c>
      <c r="AA7" s="20">
        <v>46.0</v>
      </c>
      <c r="AB7" s="21">
        <v>0.79375</v>
      </c>
      <c r="AC7" s="22">
        <v>0.8</v>
      </c>
      <c r="AD7" s="18">
        <v>45.0</v>
      </c>
      <c r="AE7" s="12">
        <v>0.8895833333333333</v>
      </c>
      <c r="AF7" s="23">
        <v>0.9006944444444445</v>
      </c>
      <c r="AG7" s="11">
        <v>41.0</v>
      </c>
      <c r="AH7" s="12">
        <v>0.9708333333333333</v>
      </c>
      <c r="AI7" s="13">
        <v>0.9777777777777777</v>
      </c>
      <c r="AJ7" s="14">
        <v>40.0</v>
      </c>
      <c r="AK7" s="15">
        <v>0.07291666666666667</v>
      </c>
      <c r="AL7" s="16">
        <v>0.08055555555555556</v>
      </c>
      <c r="AM7" s="11">
        <v>36.0</v>
      </c>
      <c r="AN7" s="12">
        <v>0.12986111111111112</v>
      </c>
      <c r="AO7" s="13">
        <v>0.14305555555555555</v>
      </c>
      <c r="AP7" s="11">
        <v>36.0</v>
      </c>
      <c r="AQ7" s="12">
        <v>0.21180555555555555</v>
      </c>
      <c r="AR7" s="13">
        <v>0.2152777777777778</v>
      </c>
      <c r="AS7" s="11">
        <v>36.0</v>
      </c>
      <c r="AT7" s="12">
        <v>0.3138888888888889</v>
      </c>
      <c r="AU7" s="13">
        <v>0.3194444444444444</v>
      </c>
      <c r="AV7" s="11">
        <v>36.0</v>
      </c>
      <c r="AW7" s="12">
        <v>0.39444444444444443</v>
      </c>
      <c r="AX7" s="13">
        <v>0.39652777777777776</v>
      </c>
      <c r="AY7" s="34">
        <f t="array" ref="AY7">XLOOKUP(B7,faclon_results_2022!$D:$D,faclon_results_2022!$A:$A,"DNF")</f>
        <v>36</v>
      </c>
      <c r="AZ7" s="12">
        <f t="shared" si="1"/>
        <v>0.4409722222</v>
      </c>
      <c r="BA7" s="18">
        <f t="array" ref="BA7">XLOOKUP(B7,faclon_results_2022!$D:$D,faclon_results_2022!$J:$J)</f>
        <v>29.59563</v>
      </c>
    </row>
    <row r="8" ht="15.75" customHeight="1">
      <c r="A8" s="7"/>
      <c r="B8" s="47">
        <v>508.0</v>
      </c>
      <c r="C8" s="11">
        <v>187.0</v>
      </c>
      <c r="D8" s="12">
        <v>0.2798611111111111</v>
      </c>
      <c r="E8" s="13">
        <v>0.28055555555555556</v>
      </c>
      <c r="F8" s="64">
        <v>195.0</v>
      </c>
      <c r="G8" s="65">
        <v>0.3576388888888889</v>
      </c>
      <c r="H8" s="66">
        <v>0.3576388888888889</v>
      </c>
      <c r="I8" s="11">
        <v>197.0</v>
      </c>
      <c r="J8" s="12">
        <v>0.4465277777777778</v>
      </c>
      <c r="K8" s="13">
        <v>0.4534722222222222</v>
      </c>
      <c r="L8" s="67">
        <v>190.0</v>
      </c>
      <c r="M8" s="12">
        <v>0.5618055555555556</v>
      </c>
      <c r="N8" s="13">
        <v>0.5652777777777778</v>
      </c>
      <c r="O8" s="38">
        <v>190.0</v>
      </c>
      <c r="P8" s="12">
        <v>0.6534722222222222</v>
      </c>
      <c r="Q8" s="13">
        <v>0.6604166666666667</v>
      </c>
      <c r="R8" s="11">
        <v>190.0</v>
      </c>
      <c r="S8" s="12">
        <v>0.7444444444444445</v>
      </c>
      <c r="T8" s="13">
        <v>0.7493055555555556</v>
      </c>
      <c r="U8" s="11">
        <v>187.0</v>
      </c>
      <c r="V8" s="12">
        <v>0.8013888888888889</v>
      </c>
      <c r="W8" s="13">
        <v>0.8215277777777777</v>
      </c>
      <c r="X8" s="11"/>
      <c r="Y8" s="12"/>
      <c r="Z8" s="13"/>
      <c r="AA8" s="20"/>
      <c r="AB8" s="71"/>
      <c r="AC8" s="56"/>
      <c r="AD8" s="18"/>
      <c r="AE8" s="18"/>
      <c r="AF8" s="47"/>
      <c r="AG8" s="11"/>
      <c r="AH8" s="18"/>
      <c r="AI8" s="38"/>
      <c r="AJ8" s="68"/>
      <c r="AK8" s="68"/>
      <c r="AL8" s="69"/>
      <c r="AM8" s="11"/>
      <c r="AN8" s="18"/>
      <c r="AO8" s="38"/>
      <c r="AP8" s="11"/>
      <c r="AQ8" s="18"/>
      <c r="AR8" s="38"/>
      <c r="AS8" s="11"/>
      <c r="AT8" s="18"/>
      <c r="AU8" s="38"/>
      <c r="AV8" s="11"/>
      <c r="AW8" s="18"/>
      <c r="AX8" s="38"/>
      <c r="AY8" s="34" t="str">
        <f t="array" ref="AY8">XLOOKUP(B8,faclon_results_2022!$D:$D,faclon_results_2022!$A:$A,"DNF")</f>
        <v>DNF</v>
      </c>
      <c r="AZ8" s="12" t="str">
        <f t="shared" si="1"/>
        <v>#N/A</v>
      </c>
      <c r="BA8" s="18" t="str">
        <f t="array" ref="BA8">XLOOKUP(B8,faclon_results_2022!$D:$D,faclon_results_2022!$J:$J)</f>
        <v>#N/A</v>
      </c>
    </row>
    <row r="9" ht="15.75" customHeight="1">
      <c r="A9" s="7"/>
      <c r="B9" s="47">
        <v>509.0</v>
      </c>
      <c r="C9" s="11">
        <v>69.0</v>
      </c>
      <c r="D9" s="12">
        <v>0.2638888888888889</v>
      </c>
      <c r="E9" s="13">
        <v>0.26458333333333334</v>
      </c>
      <c r="F9" s="64">
        <v>55.0</v>
      </c>
      <c r="G9" s="65">
        <v>0.3145833333333333</v>
      </c>
      <c r="H9" s="66">
        <v>0.3145833333333333</v>
      </c>
      <c r="I9" s="11">
        <v>52.0</v>
      </c>
      <c r="J9" s="12">
        <v>0.3763888888888889</v>
      </c>
      <c r="K9" s="13">
        <v>0.3798611111111111</v>
      </c>
      <c r="L9" s="67">
        <v>57.0</v>
      </c>
      <c r="M9" s="12">
        <v>0.4618055555555556</v>
      </c>
      <c r="N9" s="13">
        <v>0.46319444444444446</v>
      </c>
      <c r="O9" s="38">
        <v>58.0</v>
      </c>
      <c r="P9" s="12">
        <v>0.5277777777777778</v>
      </c>
      <c r="Q9" s="13">
        <v>0.5305555555555556</v>
      </c>
      <c r="R9" s="11">
        <v>60.0</v>
      </c>
      <c r="S9" s="12">
        <v>0.5972222222222222</v>
      </c>
      <c r="T9" s="13">
        <v>0.5993055555555555</v>
      </c>
      <c r="U9" s="11">
        <v>57.0</v>
      </c>
      <c r="V9" s="12">
        <v>0.6416666666666667</v>
      </c>
      <c r="W9" s="13">
        <v>0.6534722222222222</v>
      </c>
      <c r="X9" s="11">
        <v>79.0</v>
      </c>
      <c r="Y9" s="12"/>
      <c r="Z9" s="13">
        <v>0.7840277777777778</v>
      </c>
      <c r="AA9" s="20">
        <v>79.0</v>
      </c>
      <c r="AB9" s="21">
        <v>0.8534722222222222</v>
      </c>
      <c r="AC9" s="22">
        <v>0.8548611111111111</v>
      </c>
      <c r="AD9" s="18">
        <v>87.0</v>
      </c>
      <c r="AE9" s="12">
        <v>0.9701388888888889</v>
      </c>
      <c r="AF9" s="23">
        <v>0.9916666666666667</v>
      </c>
      <c r="AG9" s="11">
        <v>87.0</v>
      </c>
      <c r="AH9" s="12">
        <v>0.06944444444444445</v>
      </c>
      <c r="AI9" s="13">
        <v>0.07152777777777777</v>
      </c>
      <c r="AJ9" s="14">
        <v>82.0</v>
      </c>
      <c r="AK9" s="15">
        <v>0.17152777777777778</v>
      </c>
      <c r="AL9" s="16">
        <v>0.1736111111111111</v>
      </c>
      <c r="AM9" s="11">
        <v>74.0</v>
      </c>
      <c r="AN9" s="12">
        <v>0.23819444444444443</v>
      </c>
      <c r="AO9" s="13">
        <v>0.2590277777777778</v>
      </c>
      <c r="AP9" s="11">
        <v>78.0</v>
      </c>
      <c r="AQ9" s="12">
        <v>0.33958333333333335</v>
      </c>
      <c r="AR9" s="13">
        <v>0.3458333333333333</v>
      </c>
      <c r="AS9" s="11">
        <v>81.0</v>
      </c>
      <c r="AT9" s="12">
        <v>0.45555555555555555</v>
      </c>
      <c r="AU9" s="13">
        <v>0.4583333333333333</v>
      </c>
      <c r="AV9" s="11">
        <v>79.0</v>
      </c>
      <c r="AW9" s="12">
        <v>0.04513888888888889</v>
      </c>
      <c r="AX9" s="13">
        <v>0.04513888888888889</v>
      </c>
      <c r="AY9" s="34">
        <f t="array" ref="AY9">XLOOKUP(B9,faclon_results_2022!$D:$D,faclon_results_2022!$A:$A,"DNF")</f>
        <v>80</v>
      </c>
      <c r="AZ9" s="12">
        <f t="shared" si="1"/>
        <v>0.6055555556</v>
      </c>
      <c r="BA9" s="18">
        <f t="array" ref="BA9">XLOOKUP(B9,faclon_results_2022!$D:$D,faclon_results_2022!$J:$J)</f>
        <v>33.5349</v>
      </c>
    </row>
    <row r="10" ht="15.75" customHeight="1">
      <c r="A10" s="7"/>
      <c r="B10" s="47">
        <v>510.0</v>
      </c>
      <c r="C10" s="11">
        <v>177.0</v>
      </c>
      <c r="D10" s="12">
        <v>0.275</v>
      </c>
      <c r="E10" s="13">
        <v>0.27569444444444446</v>
      </c>
      <c r="F10" s="64">
        <v>167.0</v>
      </c>
      <c r="G10" s="65">
        <v>0.3388888888888889</v>
      </c>
      <c r="H10" s="66">
        <v>0.3388888888888889</v>
      </c>
      <c r="I10" s="11">
        <v>163.0</v>
      </c>
      <c r="J10" s="12">
        <v>0.4173611111111111</v>
      </c>
      <c r="K10" s="13">
        <v>0.42291666666666666</v>
      </c>
      <c r="L10" s="67">
        <v>146.0</v>
      </c>
      <c r="M10" s="12">
        <v>0.5131944444444444</v>
      </c>
      <c r="N10" s="13">
        <v>0.5145833333333333</v>
      </c>
      <c r="O10" s="38">
        <v>139.0</v>
      </c>
      <c r="P10" s="12">
        <v>0.5888888888888889</v>
      </c>
      <c r="Q10" s="13">
        <v>0.5909722222222222</v>
      </c>
      <c r="R10" s="11">
        <v>142.0</v>
      </c>
      <c r="S10" s="12">
        <v>0.6673611111111111</v>
      </c>
      <c r="T10" s="13">
        <v>0.6694444444444444</v>
      </c>
      <c r="U10" s="11">
        <v>144.0</v>
      </c>
      <c r="V10" s="12">
        <v>0.725</v>
      </c>
      <c r="W10" s="13">
        <v>0.7381944444444445</v>
      </c>
      <c r="X10" s="11">
        <v>149.0</v>
      </c>
      <c r="Y10" s="12"/>
      <c r="Z10" s="13">
        <v>0.8743055555555556</v>
      </c>
      <c r="AA10" s="20">
        <v>159.0</v>
      </c>
      <c r="AB10" s="21">
        <v>0.9652777777777778</v>
      </c>
      <c r="AC10" s="70" t="s">
        <v>178</v>
      </c>
      <c r="AD10" s="18"/>
      <c r="AE10" s="18"/>
      <c r="AF10" s="47"/>
      <c r="AG10" s="11"/>
      <c r="AH10" s="12"/>
      <c r="AI10" s="13"/>
      <c r="AJ10" s="68"/>
      <c r="AK10" s="68"/>
      <c r="AL10" s="69"/>
      <c r="AM10" s="11"/>
      <c r="AN10" s="12"/>
      <c r="AO10" s="13"/>
      <c r="AP10" s="11"/>
      <c r="AQ10" s="12"/>
      <c r="AR10" s="13"/>
      <c r="AS10" s="11"/>
      <c r="AT10" s="12"/>
      <c r="AU10" s="13"/>
      <c r="AV10" s="11"/>
      <c r="AW10" s="12"/>
      <c r="AX10" s="13"/>
      <c r="AY10" s="34" t="str">
        <f t="array" ref="AY10">XLOOKUP(B10,faclon_results_2022!$D:$D,faclon_results_2022!$A:$A,"DNF")</f>
        <v>DNF</v>
      </c>
      <c r="AZ10" s="12" t="str">
        <f t="shared" si="1"/>
        <v>#N/A</v>
      </c>
      <c r="BA10" s="18" t="str">
        <f t="array" ref="BA10">XLOOKUP(B10,faclon_results_2022!$D:$D,faclon_results_2022!$J:$J)</f>
        <v>#N/A</v>
      </c>
    </row>
    <row r="11" ht="15.75" customHeight="1">
      <c r="A11" s="7"/>
      <c r="B11" s="47">
        <v>511.0</v>
      </c>
      <c r="C11" s="11">
        <v>37.0</v>
      </c>
      <c r="D11" s="12">
        <v>0.2604166666666667</v>
      </c>
      <c r="E11" s="13">
        <v>0.26180555555555557</v>
      </c>
      <c r="F11" s="64">
        <v>22.0</v>
      </c>
      <c r="G11" s="65">
        <v>0.30625</v>
      </c>
      <c r="H11" s="66">
        <v>0.30625</v>
      </c>
      <c r="I11" s="11">
        <v>27.0</v>
      </c>
      <c r="J11" s="12">
        <v>0.3659722222222222</v>
      </c>
      <c r="K11" s="13">
        <v>0.3701388888888889</v>
      </c>
      <c r="L11" s="67">
        <v>36.0</v>
      </c>
      <c r="M11" s="12">
        <v>0.4465277777777778</v>
      </c>
      <c r="N11" s="13">
        <v>0.4479166666666667</v>
      </c>
      <c r="O11" s="38">
        <v>45.0</v>
      </c>
      <c r="P11" s="12">
        <v>0.5131944444444444</v>
      </c>
      <c r="Q11" s="13">
        <v>0.5152777777777777</v>
      </c>
      <c r="R11" s="11">
        <v>46.0</v>
      </c>
      <c r="S11" s="12">
        <v>0.5798611111111112</v>
      </c>
      <c r="T11" s="13">
        <v>0.58125</v>
      </c>
      <c r="U11" s="11">
        <v>45.0</v>
      </c>
      <c r="V11" s="12">
        <v>0.6222222222222222</v>
      </c>
      <c r="W11" s="13">
        <v>0.6319444444444444</v>
      </c>
      <c r="X11" s="11">
        <v>50.0</v>
      </c>
      <c r="Y11" s="12"/>
      <c r="Z11" s="13">
        <v>0.74375</v>
      </c>
      <c r="AA11" s="20">
        <v>50.0</v>
      </c>
      <c r="AB11" s="21">
        <v>0.8027777777777778</v>
      </c>
      <c r="AC11" s="22">
        <v>0.8076388888888889</v>
      </c>
      <c r="AD11" s="18">
        <v>46.0</v>
      </c>
      <c r="AE11" s="12">
        <v>0.8916666666666667</v>
      </c>
      <c r="AF11" s="23">
        <v>0.9111111111111111</v>
      </c>
      <c r="AG11" s="11">
        <v>43.0</v>
      </c>
      <c r="AH11" s="12">
        <v>0.9805555555555555</v>
      </c>
      <c r="AI11" s="13">
        <v>0.9868055555555556</v>
      </c>
      <c r="AJ11" s="14">
        <v>42.0</v>
      </c>
      <c r="AK11" s="15">
        <v>0.0763888888888889</v>
      </c>
      <c r="AL11" s="16">
        <v>0.08055555555555556</v>
      </c>
      <c r="AM11" s="11">
        <v>37.0</v>
      </c>
      <c r="AN11" s="12">
        <v>0.13333333333333333</v>
      </c>
      <c r="AO11" s="13">
        <v>0.15138888888888888</v>
      </c>
      <c r="AP11" s="11">
        <v>38.0</v>
      </c>
      <c r="AQ11" s="12">
        <v>0.21458333333333332</v>
      </c>
      <c r="AR11" s="13">
        <v>0.22152777777777777</v>
      </c>
      <c r="AS11" s="11">
        <v>37.0</v>
      </c>
      <c r="AT11" s="12">
        <v>0.31666666666666665</v>
      </c>
      <c r="AU11" s="13">
        <v>0.3263888888888889</v>
      </c>
      <c r="AV11" s="11">
        <v>38.0</v>
      </c>
      <c r="AW11" s="12">
        <v>0.39791666666666664</v>
      </c>
      <c r="AX11" s="13">
        <v>0.3993055555555556</v>
      </c>
      <c r="AY11" s="34">
        <f t="array" ref="AY11">XLOOKUP(B11,faclon_results_2022!$D:$D,faclon_results_2022!$A:$A,"DNF")</f>
        <v>37</v>
      </c>
      <c r="AZ11" s="12">
        <f t="shared" si="1"/>
        <v>0.4416666667</v>
      </c>
      <c r="BA11" s="18">
        <f t="array" ref="BA11">XLOOKUP(B11,faclon_results_2022!$D:$D,faclon_results_2022!$J:$J)</f>
        <v>29.60739</v>
      </c>
    </row>
    <row r="12" ht="15.75" customHeight="1">
      <c r="A12" s="7"/>
      <c r="B12" s="47">
        <v>513.0</v>
      </c>
      <c r="C12" s="11">
        <v>9.0</v>
      </c>
      <c r="D12" s="12">
        <v>0.2520833333333333</v>
      </c>
      <c r="E12" s="13">
        <v>0.25277777777777777</v>
      </c>
      <c r="F12" s="64">
        <v>7.0</v>
      </c>
      <c r="G12" s="65">
        <v>0.2923611111111111</v>
      </c>
      <c r="H12" s="66">
        <v>0.2923611111111111</v>
      </c>
      <c r="I12" s="11">
        <v>9.0</v>
      </c>
      <c r="J12" s="12">
        <v>0.3458333333333333</v>
      </c>
      <c r="K12" s="13">
        <v>0.34791666666666665</v>
      </c>
      <c r="L12" s="67">
        <v>8.0</v>
      </c>
      <c r="M12" s="12">
        <v>0.4166666666666667</v>
      </c>
      <c r="N12" s="13">
        <v>0.41875</v>
      </c>
      <c r="O12" s="38">
        <v>8.0</v>
      </c>
      <c r="P12" s="12">
        <v>0.47291666666666665</v>
      </c>
      <c r="Q12" s="13">
        <v>0.47430555555555554</v>
      </c>
      <c r="R12" s="11">
        <v>10.0</v>
      </c>
      <c r="S12" s="12">
        <v>0.5305555555555556</v>
      </c>
      <c r="T12" s="13">
        <v>0.5326388888888889</v>
      </c>
      <c r="U12" s="11">
        <v>12.0</v>
      </c>
      <c r="V12" s="12">
        <v>0.5743055555555555</v>
      </c>
      <c r="W12" s="13">
        <v>0.5777777777777777</v>
      </c>
      <c r="X12" s="11">
        <v>9.0</v>
      </c>
      <c r="Y12" s="12"/>
      <c r="Z12" s="13">
        <v>0.6590277777777778</v>
      </c>
      <c r="AA12" s="20">
        <v>8.0</v>
      </c>
      <c r="AB12" s="21">
        <v>0.70625</v>
      </c>
      <c r="AC12" s="22">
        <v>0.7097222222222223</v>
      </c>
      <c r="AD12" s="18">
        <v>8.0</v>
      </c>
      <c r="AE12" s="12">
        <v>0.7833333333333333</v>
      </c>
      <c r="AF12" s="23">
        <v>0.7868055555555555</v>
      </c>
      <c r="AG12" s="11">
        <v>7.0</v>
      </c>
      <c r="AH12" s="12">
        <v>0.8409722222222222</v>
      </c>
      <c r="AI12" s="13">
        <v>0.84375</v>
      </c>
      <c r="AJ12" s="14">
        <v>5.0</v>
      </c>
      <c r="AK12" s="15">
        <v>0.9118055555555555</v>
      </c>
      <c r="AL12" s="16">
        <v>0.9173611111111111</v>
      </c>
      <c r="AM12" s="11">
        <v>6.0</v>
      </c>
      <c r="AN12" s="12">
        <v>0.9631944444444445</v>
      </c>
      <c r="AO12" s="13">
        <v>0.9666666666666667</v>
      </c>
      <c r="AP12" s="11">
        <v>4.0</v>
      </c>
      <c r="AQ12" s="12">
        <v>0.02013888888888889</v>
      </c>
      <c r="AR12" s="13">
        <v>0.02361111111111111</v>
      </c>
      <c r="AS12" s="11">
        <v>4.0</v>
      </c>
      <c r="AT12" s="12">
        <v>0.10625</v>
      </c>
      <c r="AU12" s="13">
        <v>0.11041666666666666</v>
      </c>
      <c r="AV12" s="11">
        <v>3.0</v>
      </c>
      <c r="AW12" s="12">
        <v>0.1638888888888889</v>
      </c>
      <c r="AX12" s="13">
        <v>0.16458333333333333</v>
      </c>
      <c r="AY12" s="34">
        <f t="array" ref="AY12">XLOOKUP(B12,faclon_results_2022!$D:$D,faclon_results_2022!$A:$A,"DNF")</f>
        <v>3</v>
      </c>
      <c r="AZ12" s="12">
        <f t="shared" si="1"/>
        <v>1.199305556</v>
      </c>
      <c r="BA12" s="18">
        <f t="array" ref="BA12">XLOOKUP(B12,faclon_results_2022!$D:$D,faclon_results_2022!$J:$J)</f>
        <v>23.78605</v>
      </c>
    </row>
    <row r="13" ht="15.75" customHeight="1">
      <c r="A13" s="7"/>
      <c r="B13" s="47">
        <v>515.0</v>
      </c>
      <c r="C13" s="11">
        <v>16.0</v>
      </c>
      <c r="D13" s="12">
        <v>0.2569444444444444</v>
      </c>
      <c r="E13" s="13">
        <v>0.2569444444444444</v>
      </c>
      <c r="F13" s="64">
        <v>16.0</v>
      </c>
      <c r="G13" s="65">
        <v>0.3020833333333333</v>
      </c>
      <c r="H13" s="66">
        <v>0.3020833333333333</v>
      </c>
      <c r="I13" s="11">
        <v>14.0</v>
      </c>
      <c r="J13" s="12">
        <v>0.3590277777777778</v>
      </c>
      <c r="K13" s="13">
        <v>0.3597222222222222</v>
      </c>
      <c r="L13" s="67">
        <v>13.0</v>
      </c>
      <c r="M13" s="12">
        <v>0.42777777777777776</v>
      </c>
      <c r="N13" s="12">
        <v>0.4284722222222222</v>
      </c>
      <c r="O13" s="38">
        <v>12.0</v>
      </c>
      <c r="P13" s="12">
        <v>0.4826388888888889</v>
      </c>
      <c r="Q13" s="13">
        <v>0.48333333333333334</v>
      </c>
      <c r="R13" s="11">
        <v>12.0</v>
      </c>
      <c r="S13" s="12">
        <v>0.5340277777777778</v>
      </c>
      <c r="T13" s="13">
        <v>0.5347222222222222</v>
      </c>
      <c r="U13" s="11">
        <v>9.0</v>
      </c>
      <c r="V13" s="12">
        <v>0.5701388888888889</v>
      </c>
      <c r="W13" s="13">
        <v>0.5715277777777777</v>
      </c>
      <c r="X13" s="11">
        <v>8.0</v>
      </c>
      <c r="Y13" s="12"/>
      <c r="Z13" s="13">
        <v>0.6590277777777778</v>
      </c>
      <c r="AA13" s="20">
        <v>9.0</v>
      </c>
      <c r="AB13" s="21">
        <v>0.7131944444444445</v>
      </c>
      <c r="AC13" s="22">
        <v>0.7145833333333333</v>
      </c>
      <c r="AD13" s="18">
        <v>10.0</v>
      </c>
      <c r="AE13" s="12">
        <v>0.7930555555555555</v>
      </c>
      <c r="AF13" s="23">
        <v>0.7944444444444444</v>
      </c>
      <c r="AG13" s="11">
        <v>10.0</v>
      </c>
      <c r="AH13" s="12">
        <v>0.8555555555555555</v>
      </c>
      <c r="AI13" s="13">
        <v>0.8576388888888888</v>
      </c>
      <c r="AJ13" s="14">
        <v>9.0</v>
      </c>
      <c r="AK13" s="15">
        <v>0.9381944444444444</v>
      </c>
      <c r="AL13" s="16">
        <v>0.9402777777777778</v>
      </c>
      <c r="AM13" s="11">
        <v>10.0</v>
      </c>
      <c r="AN13" s="12">
        <v>0.9923611111111111</v>
      </c>
      <c r="AO13" s="13">
        <v>0.9944444444444445</v>
      </c>
      <c r="AP13" s="11">
        <v>10.0</v>
      </c>
      <c r="AQ13" s="12">
        <v>0.05694444444444444</v>
      </c>
      <c r="AR13" s="13">
        <v>0.059027777777777776</v>
      </c>
      <c r="AS13" s="11">
        <v>9.0</v>
      </c>
      <c r="AT13" s="12">
        <v>0.15416666666666667</v>
      </c>
      <c r="AU13" s="13">
        <v>0.15625</v>
      </c>
      <c r="AV13" s="11">
        <v>8.0</v>
      </c>
      <c r="AW13" s="12">
        <v>0.225</v>
      </c>
      <c r="AX13" s="13">
        <v>0.2263888888888889</v>
      </c>
      <c r="AY13" s="34">
        <f t="array" ref="AY13">XLOOKUP(B13,faclon_results_2022!$D:$D,faclon_results_2022!$A:$A,"DNF")</f>
        <v>8</v>
      </c>
      <c r="AZ13" s="12">
        <f t="shared" si="1"/>
        <v>0.2673611111</v>
      </c>
      <c r="BA13" s="18">
        <f t="array" ref="BA13">XLOOKUP(B13,faclon_results_2022!$D:$D,faclon_results_2022!$J:$J)</f>
        <v>25.42819</v>
      </c>
    </row>
    <row r="14" ht="15.75" customHeight="1">
      <c r="A14" s="7"/>
      <c r="B14" s="47">
        <v>516.0</v>
      </c>
      <c r="C14" s="11">
        <v>105.0</v>
      </c>
      <c r="D14" s="12">
        <v>0.26875</v>
      </c>
      <c r="E14" s="13">
        <v>0.26944444444444443</v>
      </c>
      <c r="F14" s="64">
        <v>113.0</v>
      </c>
      <c r="G14" s="65">
        <v>0.32569444444444445</v>
      </c>
      <c r="H14" s="66">
        <v>0.32569444444444445</v>
      </c>
      <c r="I14" s="11">
        <v>128.0</v>
      </c>
      <c r="J14" s="12">
        <v>0.40555555555555556</v>
      </c>
      <c r="K14" s="13">
        <v>0.4125</v>
      </c>
      <c r="L14" s="67">
        <v>127.0</v>
      </c>
      <c r="M14" s="12">
        <v>0.5041666666666667</v>
      </c>
      <c r="N14" s="12">
        <v>0.5083333333333333</v>
      </c>
      <c r="O14" s="38">
        <v>135.0</v>
      </c>
      <c r="P14" s="12">
        <v>0.58125</v>
      </c>
      <c r="Q14" s="13">
        <v>0.5861111111111111</v>
      </c>
      <c r="R14" s="11">
        <v>117.0</v>
      </c>
      <c r="S14" s="12">
        <v>0.6527777777777778</v>
      </c>
      <c r="T14" s="13">
        <v>0.65625</v>
      </c>
      <c r="U14" s="11">
        <v>128.0</v>
      </c>
      <c r="V14" s="12">
        <v>0.7131944444444445</v>
      </c>
      <c r="W14" s="13">
        <v>0.7270833333333333</v>
      </c>
      <c r="X14" s="11">
        <v>125.0</v>
      </c>
      <c r="Y14" s="12"/>
      <c r="Z14" s="13">
        <v>0.8444444444444444</v>
      </c>
      <c r="AA14" s="20">
        <v>124.0</v>
      </c>
      <c r="AB14" s="21">
        <v>0.9152777777777777</v>
      </c>
      <c r="AC14" s="22">
        <v>0.9208333333333333</v>
      </c>
      <c r="AD14" s="18">
        <v>114.0</v>
      </c>
      <c r="AE14" s="12">
        <v>0.02638888888888889</v>
      </c>
      <c r="AF14" s="23">
        <v>0.03125</v>
      </c>
      <c r="AG14" s="11">
        <v>108.0</v>
      </c>
      <c r="AH14" s="12">
        <v>0.10694444444444444</v>
      </c>
      <c r="AI14" s="13">
        <v>0.11319444444444444</v>
      </c>
      <c r="AJ14" s="14">
        <v>106.0</v>
      </c>
      <c r="AK14" s="15">
        <v>0.22291666666666668</v>
      </c>
      <c r="AL14" s="16">
        <v>0.23402777777777778</v>
      </c>
      <c r="AM14" s="11">
        <v>107.0</v>
      </c>
      <c r="AN14" s="12">
        <v>0.30625</v>
      </c>
      <c r="AO14" s="13">
        <v>0.31319444444444444</v>
      </c>
      <c r="AP14" s="11">
        <v>107.0</v>
      </c>
      <c r="AQ14" s="12">
        <v>0.38680555555555557</v>
      </c>
      <c r="AR14" s="13">
        <v>0.3951388888888889</v>
      </c>
      <c r="AS14" s="11">
        <v>108.0</v>
      </c>
      <c r="AT14" s="12">
        <v>0.5083333333333333</v>
      </c>
      <c r="AU14" s="13">
        <v>0.5125</v>
      </c>
      <c r="AV14" s="11">
        <v>109.0</v>
      </c>
      <c r="AW14" s="12">
        <v>0.10138888888888889</v>
      </c>
      <c r="AX14" s="13">
        <v>0.10625</v>
      </c>
      <c r="AY14" s="34">
        <f t="array" ref="AY14">XLOOKUP(B14,faclon_results_2022!$D:$D,faclon_results_2022!$A:$A,"DNF")</f>
        <v>111</v>
      </c>
      <c r="AZ14" s="12">
        <f t="shared" si="1"/>
        <v>0.6673611111</v>
      </c>
      <c r="BA14" s="18">
        <f t="array" ref="BA14">XLOOKUP(B14,faclon_results_2022!$D:$D,faclon_results_2022!$J:$J)</f>
        <v>35.02384</v>
      </c>
    </row>
    <row r="15" ht="15.75" customHeight="1">
      <c r="A15" s="7"/>
      <c r="B15" s="47">
        <v>517.0</v>
      </c>
      <c r="C15" s="11">
        <v>75.0</v>
      </c>
      <c r="D15" s="12">
        <v>0.2652777777777778</v>
      </c>
      <c r="E15" s="13">
        <v>0.2659722222222222</v>
      </c>
      <c r="F15" s="64">
        <v>74.0</v>
      </c>
      <c r="G15" s="65">
        <v>0.32083333333333336</v>
      </c>
      <c r="H15" s="66">
        <v>0.32083333333333336</v>
      </c>
      <c r="I15" s="11">
        <v>121.0</v>
      </c>
      <c r="J15" s="12">
        <v>0.4027777777777778</v>
      </c>
      <c r="K15" s="13">
        <v>0.40902777777777777</v>
      </c>
      <c r="L15" s="67">
        <v>124.0</v>
      </c>
      <c r="M15" s="12">
        <v>0.5020833333333333</v>
      </c>
      <c r="N15" s="13">
        <v>0.5097222222222222</v>
      </c>
      <c r="O15" s="38">
        <v>148.0</v>
      </c>
      <c r="P15" s="12">
        <v>0.5944444444444444</v>
      </c>
      <c r="Q15" s="13">
        <v>0.6006944444444444</v>
      </c>
      <c r="R15" s="11">
        <v>165.0</v>
      </c>
      <c r="S15" s="12">
        <v>0.6930555555555555</v>
      </c>
      <c r="T15" s="13">
        <v>0.7166666666666667</v>
      </c>
      <c r="U15" s="11">
        <v>176.0</v>
      </c>
      <c r="V15" s="12">
        <v>0.7708333333333334</v>
      </c>
      <c r="W15" s="13">
        <v>0.78125</v>
      </c>
      <c r="X15" s="11">
        <v>175.0</v>
      </c>
      <c r="Y15" s="12"/>
      <c r="Z15" s="13">
        <v>0.9534722222222223</v>
      </c>
      <c r="AA15" s="20" t="s">
        <v>178</v>
      </c>
      <c r="AB15" s="71"/>
      <c r="AC15" s="70"/>
      <c r="AD15" s="18"/>
      <c r="AE15" s="18"/>
      <c r="AF15" s="47"/>
      <c r="AG15" s="11"/>
      <c r="AH15" s="12"/>
      <c r="AI15" s="38"/>
      <c r="AJ15" s="68"/>
      <c r="AK15" s="68"/>
      <c r="AL15" s="69"/>
      <c r="AM15" s="11"/>
      <c r="AN15" s="12"/>
      <c r="AO15" s="38"/>
      <c r="AP15" s="11"/>
      <c r="AQ15" s="12"/>
      <c r="AR15" s="38"/>
      <c r="AS15" s="11"/>
      <c r="AT15" s="12"/>
      <c r="AU15" s="38"/>
      <c r="AV15" s="11"/>
      <c r="AW15" s="12"/>
      <c r="AX15" s="38"/>
      <c r="AY15" s="34" t="str">
        <f t="array" ref="AY15">XLOOKUP(B15,faclon_results_2022!$D:$D,faclon_results_2022!$A:$A,"DNF")</f>
        <v>DNF</v>
      </c>
      <c r="AZ15" s="12" t="str">
        <f t="shared" si="1"/>
        <v>#N/A</v>
      </c>
      <c r="BA15" s="18" t="str">
        <f t="array" ref="BA15">XLOOKUP(B15,faclon_results_2022!$D:$D,faclon_results_2022!$J:$J)</f>
        <v>#N/A</v>
      </c>
    </row>
    <row r="16" ht="15.75" customHeight="1">
      <c r="A16" s="7"/>
      <c r="B16" s="47">
        <v>518.0</v>
      </c>
      <c r="C16" s="11">
        <v>150.0</v>
      </c>
      <c r="D16" s="12">
        <v>0.2743055555555556</v>
      </c>
      <c r="E16" s="13">
        <v>0.275</v>
      </c>
      <c r="F16" s="64">
        <v>139.0</v>
      </c>
      <c r="G16" s="65">
        <v>0.33611111111111114</v>
      </c>
      <c r="H16" s="66">
        <v>0.33611111111111114</v>
      </c>
      <c r="I16" s="11">
        <v>135.0</v>
      </c>
      <c r="J16" s="12">
        <v>0.4083333333333333</v>
      </c>
      <c r="K16" s="13">
        <v>0.4166666666666667</v>
      </c>
      <c r="L16" s="67">
        <v>130.0</v>
      </c>
      <c r="M16" s="12">
        <v>0.5041666666666667</v>
      </c>
      <c r="N16" s="12">
        <v>0.5055555555555555</v>
      </c>
      <c r="O16" s="38">
        <v>119.0</v>
      </c>
      <c r="P16" s="12">
        <v>0.5791666666666667</v>
      </c>
      <c r="Q16" s="13">
        <v>0.58125</v>
      </c>
      <c r="R16" s="11">
        <v>109.0</v>
      </c>
      <c r="S16" s="12">
        <v>0.6479166666666667</v>
      </c>
      <c r="T16" s="13">
        <v>0.6493055555555556</v>
      </c>
      <c r="U16" s="11">
        <v>107.0</v>
      </c>
      <c r="V16" s="12">
        <v>0.6979166666666666</v>
      </c>
      <c r="W16" s="13">
        <v>0.7048611111111112</v>
      </c>
      <c r="X16" s="11">
        <v>103.0</v>
      </c>
      <c r="Y16" s="12"/>
      <c r="Z16" s="13">
        <v>0.8166666666666667</v>
      </c>
      <c r="AA16" s="20">
        <v>105.0</v>
      </c>
      <c r="AB16" s="21">
        <v>0.8888888888888888</v>
      </c>
      <c r="AC16" s="22">
        <v>0.8909722222222223</v>
      </c>
      <c r="AD16" s="18">
        <v>102.0</v>
      </c>
      <c r="AE16" s="12">
        <v>0.001388888888888889</v>
      </c>
      <c r="AF16" s="23">
        <v>0.010416666666666666</v>
      </c>
      <c r="AG16" s="11">
        <v>100.0</v>
      </c>
      <c r="AH16" s="12">
        <v>0.09722222222222222</v>
      </c>
      <c r="AI16" s="13">
        <v>0.10208333333333333</v>
      </c>
      <c r="AJ16" s="14">
        <v>103.0</v>
      </c>
      <c r="AK16" s="15">
        <v>0.21041666666666667</v>
      </c>
      <c r="AL16" s="16">
        <v>0.21041666666666667</v>
      </c>
      <c r="AM16" s="11">
        <v>90.0</v>
      </c>
      <c r="AN16" s="12">
        <v>0.2701388888888889</v>
      </c>
      <c r="AO16" s="13">
        <v>0.28125</v>
      </c>
      <c r="AP16" s="11">
        <v>89.0</v>
      </c>
      <c r="AQ16" s="12">
        <v>0.35555555555555557</v>
      </c>
      <c r="AR16" s="13">
        <v>0.3576388888888889</v>
      </c>
      <c r="AS16" s="11">
        <v>87.0</v>
      </c>
      <c r="AT16" s="12">
        <v>0.46319444444444446</v>
      </c>
      <c r="AU16" s="13">
        <v>0.4701388888888889</v>
      </c>
      <c r="AV16" s="11">
        <v>80.0</v>
      </c>
      <c r="AW16" s="12">
        <v>0.04513888888888889</v>
      </c>
      <c r="AX16" s="13">
        <v>0.04583333333333333</v>
      </c>
      <c r="AY16" s="34">
        <f t="array" ref="AY16">XLOOKUP(B16,faclon_results_2022!$D:$D,faclon_results_2022!$A:$A,"DNF")</f>
        <v>79</v>
      </c>
      <c r="AZ16" s="12">
        <f t="shared" si="1"/>
        <v>0.5986111111</v>
      </c>
      <c r="BA16" s="18">
        <f t="array" ref="BA16">XLOOKUP(B16,faclon_results_2022!$D:$D,faclon_results_2022!$J:$J)</f>
        <v>33.3782</v>
      </c>
    </row>
    <row r="17" ht="15.75" customHeight="1">
      <c r="A17" s="7"/>
      <c r="B17" s="47">
        <v>519.0</v>
      </c>
      <c r="C17" s="11">
        <v>133.0</v>
      </c>
      <c r="D17" s="12">
        <v>0.27152777777777776</v>
      </c>
      <c r="E17" s="13">
        <v>0.2722222222222222</v>
      </c>
      <c r="F17" s="64">
        <v>125.0</v>
      </c>
      <c r="G17" s="65">
        <v>0.33194444444444443</v>
      </c>
      <c r="H17" s="66">
        <v>0.33194444444444443</v>
      </c>
      <c r="I17" s="11">
        <v>96.0</v>
      </c>
      <c r="J17" s="12">
        <v>0.3958333333333333</v>
      </c>
      <c r="K17" s="13">
        <v>0.4013888888888889</v>
      </c>
      <c r="L17" s="67">
        <v>105.0</v>
      </c>
      <c r="M17" s="12">
        <v>0.49166666666666664</v>
      </c>
      <c r="N17" s="12">
        <v>0.49444444444444446</v>
      </c>
      <c r="O17" s="38">
        <v>100.0</v>
      </c>
      <c r="P17" s="12">
        <v>0.5625</v>
      </c>
      <c r="Q17" s="13">
        <v>0.5645833333333333</v>
      </c>
      <c r="R17" s="11">
        <v>97.0</v>
      </c>
      <c r="S17" s="12">
        <v>0.6305555555555555</v>
      </c>
      <c r="T17" s="13">
        <v>0.6326388888888889</v>
      </c>
      <c r="U17" s="11">
        <v>89.0</v>
      </c>
      <c r="V17" s="12">
        <v>0.6798611111111111</v>
      </c>
      <c r="W17" s="13">
        <v>0.6944444444444444</v>
      </c>
      <c r="X17" s="11">
        <v>90.0</v>
      </c>
      <c r="Y17" s="12"/>
      <c r="Z17" s="13">
        <v>0.7972222222222223</v>
      </c>
      <c r="AA17" s="20">
        <v>82.0</v>
      </c>
      <c r="AB17" s="21">
        <v>0.8534722222222222</v>
      </c>
      <c r="AC17" s="22">
        <v>0.8555555555555555</v>
      </c>
      <c r="AD17" s="18">
        <v>77.0</v>
      </c>
      <c r="AE17" s="12">
        <v>0.9486111111111111</v>
      </c>
      <c r="AF17" s="23">
        <v>0.9673611111111111</v>
      </c>
      <c r="AG17" s="11">
        <v>82.0</v>
      </c>
      <c r="AH17" s="12">
        <v>0.04722222222222222</v>
      </c>
      <c r="AI17" s="13">
        <v>0.05138888888888889</v>
      </c>
      <c r="AJ17" s="14">
        <v>78.0</v>
      </c>
      <c r="AK17" s="15">
        <v>0.15486111111111112</v>
      </c>
      <c r="AL17" s="16">
        <v>0.16319444444444445</v>
      </c>
      <c r="AM17" s="11">
        <v>73.0</v>
      </c>
      <c r="AN17" s="12">
        <v>0.23819444444444443</v>
      </c>
      <c r="AO17" s="13">
        <v>0.26875</v>
      </c>
      <c r="AP17" s="11">
        <v>72.0</v>
      </c>
      <c r="AQ17" s="12">
        <v>0.3277777777777778</v>
      </c>
      <c r="AR17" s="13">
        <v>0.3326388888888889</v>
      </c>
      <c r="AS17" s="11">
        <v>69.0</v>
      </c>
      <c r="AT17" s="12">
        <v>0.4395833333333333</v>
      </c>
      <c r="AU17" s="13">
        <v>0.4444444444444444</v>
      </c>
      <c r="AV17" s="11">
        <v>70.0</v>
      </c>
      <c r="AW17" s="12">
        <v>0.5215277777777778</v>
      </c>
      <c r="AX17" s="13">
        <v>0.5215277777777778</v>
      </c>
      <c r="AY17" s="34">
        <f t="array" ref="AY17">XLOOKUP(B17,faclon_results_2022!$D:$D,faclon_results_2022!$A:$A,"DNF")</f>
        <v>63</v>
      </c>
      <c r="AZ17" s="12">
        <f t="shared" si="1"/>
        <v>0.5680555556</v>
      </c>
      <c r="BA17" s="18">
        <f t="array" ref="BA17">XLOOKUP(B17,faclon_results_2022!$D:$D,faclon_results_2022!$J:$J)</f>
        <v>32.63401</v>
      </c>
    </row>
    <row r="18" ht="15.75" customHeight="1">
      <c r="A18" s="7"/>
      <c r="B18" s="47">
        <v>520.0</v>
      </c>
      <c r="C18" s="11">
        <v>136.0</v>
      </c>
      <c r="D18" s="12">
        <v>0.27152777777777776</v>
      </c>
      <c r="E18" s="13">
        <v>0.2722222222222222</v>
      </c>
      <c r="F18" s="64">
        <v>130.0</v>
      </c>
      <c r="G18" s="65">
        <v>0.3326388888888889</v>
      </c>
      <c r="H18" s="66">
        <v>0.3326388888888889</v>
      </c>
      <c r="I18" s="11">
        <v>161.0</v>
      </c>
      <c r="J18" s="12">
        <v>0.41597222222222224</v>
      </c>
      <c r="K18" s="13">
        <v>0.4326388888888889</v>
      </c>
      <c r="L18" s="67">
        <v>172.0</v>
      </c>
      <c r="M18" s="12">
        <v>0.5319444444444444</v>
      </c>
      <c r="N18" s="13">
        <v>0.5402777777777777</v>
      </c>
      <c r="O18" s="38">
        <v>177.0</v>
      </c>
      <c r="P18" s="12">
        <v>0.61875</v>
      </c>
      <c r="Q18" s="13">
        <v>0.6236111111111111</v>
      </c>
      <c r="R18" s="11">
        <v>170.0</v>
      </c>
      <c r="S18" s="12">
        <v>0.6986111111111111</v>
      </c>
      <c r="T18" s="13">
        <v>0.7006944444444444</v>
      </c>
      <c r="U18" s="11">
        <v>169.0</v>
      </c>
      <c r="V18" s="12">
        <v>0.75625</v>
      </c>
      <c r="W18" s="13">
        <v>0.7736111111111111</v>
      </c>
      <c r="X18" s="11">
        <v>162.0</v>
      </c>
      <c r="Y18" s="18"/>
      <c r="Z18" s="13">
        <v>0.8965277777777778</v>
      </c>
      <c r="AA18" s="20">
        <v>160.0</v>
      </c>
      <c r="AB18" s="21">
        <v>0.9666666666666667</v>
      </c>
      <c r="AC18" s="22">
        <v>0.9694444444444444</v>
      </c>
      <c r="AD18" s="18">
        <v>146.0</v>
      </c>
      <c r="AE18" s="12">
        <v>0.08194444444444444</v>
      </c>
      <c r="AF18" s="23">
        <v>0.10069444444444445</v>
      </c>
      <c r="AG18" s="11">
        <v>145.0</v>
      </c>
      <c r="AH18" s="12">
        <v>0.19583333333333333</v>
      </c>
      <c r="AI18" s="13">
        <v>0.20069444444444445</v>
      </c>
      <c r="AJ18" s="14">
        <v>136.0</v>
      </c>
      <c r="AK18" s="15">
        <v>0.3055555555555556</v>
      </c>
      <c r="AL18" s="16">
        <v>0.30833333333333335</v>
      </c>
      <c r="AM18" s="11">
        <v>125.0</v>
      </c>
      <c r="AN18" s="12">
        <v>0.3680555555555556</v>
      </c>
      <c r="AO18" s="38" t="s">
        <v>178</v>
      </c>
      <c r="AP18" s="11"/>
      <c r="AQ18" s="18"/>
      <c r="AR18" s="38"/>
      <c r="AS18" s="11"/>
      <c r="AT18" s="18"/>
      <c r="AU18" s="38"/>
      <c r="AV18" s="11"/>
      <c r="AW18" s="18"/>
      <c r="AX18" s="38"/>
      <c r="AY18" s="34" t="str">
        <f t="array" ref="AY18">XLOOKUP(B18,faclon_results_2022!$D:$D,faclon_results_2022!$A:$A,"DNF")</f>
        <v>DNF</v>
      </c>
      <c r="AZ18" s="12" t="str">
        <f t="shared" si="1"/>
        <v>#N/A</v>
      </c>
      <c r="BA18" s="18" t="str">
        <f t="array" ref="BA18">XLOOKUP(B18,faclon_results_2022!$D:$D,faclon_results_2022!$J:$J)</f>
        <v>#N/A</v>
      </c>
    </row>
    <row r="19" ht="15.75" customHeight="1">
      <c r="A19" s="7"/>
      <c r="B19" s="47">
        <v>521.0</v>
      </c>
      <c r="C19" s="11">
        <v>132.0</v>
      </c>
      <c r="D19" s="12">
        <v>0.27152777777777776</v>
      </c>
      <c r="E19" s="13">
        <v>0.2722222222222222</v>
      </c>
      <c r="F19" s="64">
        <v>106.0</v>
      </c>
      <c r="G19" s="65">
        <v>0.32569444444444445</v>
      </c>
      <c r="H19" s="66">
        <v>0.32569444444444445</v>
      </c>
      <c r="I19" s="11">
        <v>101.0</v>
      </c>
      <c r="J19" s="12">
        <v>0.39652777777777776</v>
      </c>
      <c r="K19" s="13">
        <v>0.4041666666666667</v>
      </c>
      <c r="L19" s="67">
        <v>117.0</v>
      </c>
      <c r="M19" s="12">
        <v>0.5</v>
      </c>
      <c r="N19" s="13">
        <v>0.50625</v>
      </c>
      <c r="O19" s="38">
        <v>129.0</v>
      </c>
      <c r="P19" s="12">
        <v>0.5798611111111112</v>
      </c>
      <c r="Q19" s="13">
        <v>0.5854166666666667</v>
      </c>
      <c r="R19" s="11">
        <v>135.0</v>
      </c>
      <c r="S19" s="12">
        <v>0.6645833333333333</v>
      </c>
      <c r="T19" s="13">
        <v>0.6729166666666667</v>
      </c>
      <c r="U19" s="11">
        <v>147.0</v>
      </c>
      <c r="V19" s="12">
        <v>0.73125</v>
      </c>
      <c r="W19" s="13">
        <v>0.7583333333333333</v>
      </c>
      <c r="X19" s="11">
        <v>156.0</v>
      </c>
      <c r="Y19" s="12"/>
      <c r="Z19" s="13">
        <v>0.88125</v>
      </c>
      <c r="AA19" s="20">
        <v>153.0</v>
      </c>
      <c r="AB19" s="21">
        <v>0.9583333333333334</v>
      </c>
      <c r="AC19" s="22">
        <v>0.9631944444444445</v>
      </c>
      <c r="AD19" s="18">
        <v>144.0</v>
      </c>
      <c r="AE19" s="12">
        <v>0.08055555555555556</v>
      </c>
      <c r="AF19" s="23">
        <v>0.09861111111111111</v>
      </c>
      <c r="AG19" s="11">
        <v>143.0</v>
      </c>
      <c r="AH19" s="12">
        <v>0.1951388888888889</v>
      </c>
      <c r="AI19" s="13">
        <v>0.19722222222222222</v>
      </c>
      <c r="AJ19" s="14">
        <v>139.0</v>
      </c>
      <c r="AK19" s="15">
        <v>0.32430555555555557</v>
      </c>
      <c r="AL19" s="16">
        <v>0.3298611111111111</v>
      </c>
      <c r="AM19" s="11"/>
      <c r="AN19" s="12"/>
      <c r="AO19" s="13"/>
      <c r="AP19" s="11"/>
      <c r="AQ19" s="12"/>
      <c r="AR19" s="13"/>
      <c r="AS19" s="11"/>
      <c r="AT19" s="12"/>
      <c r="AU19" s="13"/>
      <c r="AV19" s="11"/>
      <c r="AW19" s="12"/>
      <c r="AX19" s="13"/>
      <c r="AY19" s="34" t="str">
        <f t="array" ref="AY19">XLOOKUP(B19,faclon_results_2022!$D:$D,faclon_results_2022!$A:$A,"DNF")</f>
        <v>DNF</v>
      </c>
      <c r="AZ19" s="12" t="str">
        <f t="shared" si="1"/>
        <v>#N/A</v>
      </c>
      <c r="BA19" s="18" t="str">
        <f t="array" ref="BA19">XLOOKUP(B19,faclon_results_2022!$D:$D,faclon_results_2022!$J:$J)</f>
        <v>#N/A</v>
      </c>
    </row>
    <row r="20" ht="15.75" customHeight="1">
      <c r="A20" s="7"/>
      <c r="B20" s="47">
        <v>522.0</v>
      </c>
      <c r="C20" s="11">
        <v>87.0</v>
      </c>
      <c r="D20" s="12">
        <v>0.26666666666666666</v>
      </c>
      <c r="E20" s="13">
        <v>0.2673611111111111</v>
      </c>
      <c r="F20" s="64">
        <v>90.0</v>
      </c>
      <c r="G20" s="65">
        <v>0.32430555555555557</v>
      </c>
      <c r="H20" s="66">
        <v>0.32430555555555557</v>
      </c>
      <c r="I20" s="11">
        <v>94.0</v>
      </c>
      <c r="J20" s="12">
        <v>0.39375</v>
      </c>
      <c r="K20" s="13">
        <v>0.39652777777777776</v>
      </c>
      <c r="L20" s="67">
        <v>87.0</v>
      </c>
      <c r="M20" s="12">
        <v>0.4826388888888889</v>
      </c>
      <c r="N20" s="13">
        <v>0.48541666666666666</v>
      </c>
      <c r="O20" s="38">
        <v>88.0</v>
      </c>
      <c r="P20" s="12">
        <v>0.55625</v>
      </c>
      <c r="Q20" s="13">
        <v>0.5583333333333333</v>
      </c>
      <c r="R20" s="11">
        <v>95.0</v>
      </c>
      <c r="S20" s="12">
        <v>0.6298611111111111</v>
      </c>
      <c r="T20" s="13">
        <v>0.6326388888888889</v>
      </c>
      <c r="U20" s="11">
        <v>92.0</v>
      </c>
      <c r="V20" s="12">
        <v>0.6805555555555556</v>
      </c>
      <c r="W20" s="13">
        <v>0.6861111111111111</v>
      </c>
      <c r="X20" s="11">
        <v>81.0</v>
      </c>
      <c r="Y20" s="12"/>
      <c r="Z20" s="13">
        <v>0.7895833333333333</v>
      </c>
      <c r="AA20" s="20">
        <v>80.0</v>
      </c>
      <c r="AB20" s="21">
        <v>0.8534722222222222</v>
      </c>
      <c r="AC20" s="22">
        <v>0.8569444444444444</v>
      </c>
      <c r="AD20" s="18">
        <v>74.0</v>
      </c>
      <c r="AE20" s="12">
        <v>0.9486111111111111</v>
      </c>
      <c r="AF20" s="23">
        <v>0.9548611111111112</v>
      </c>
      <c r="AG20" s="11">
        <v>66.0</v>
      </c>
      <c r="AH20" s="12">
        <v>0.022222222222222223</v>
      </c>
      <c r="AI20" s="13">
        <v>0.025</v>
      </c>
      <c r="AJ20" s="14">
        <v>57.0</v>
      </c>
      <c r="AK20" s="15">
        <v>0.11388888888888889</v>
      </c>
      <c r="AL20" s="16">
        <v>0.12013888888888889</v>
      </c>
      <c r="AM20" s="11">
        <v>54.0</v>
      </c>
      <c r="AN20" s="12">
        <v>0.17847222222222223</v>
      </c>
      <c r="AO20" s="13">
        <v>0.1840277777777778</v>
      </c>
      <c r="AP20" s="11">
        <v>46.0</v>
      </c>
      <c r="AQ20" s="12">
        <v>0.24444444444444444</v>
      </c>
      <c r="AR20" s="13">
        <v>0.2465277777777778</v>
      </c>
      <c r="AS20" s="11">
        <v>42.0</v>
      </c>
      <c r="AT20" s="12">
        <v>0.3375</v>
      </c>
      <c r="AU20" s="13">
        <v>0.3402777777777778</v>
      </c>
      <c r="AV20" s="11">
        <v>40.0</v>
      </c>
      <c r="AW20" s="12">
        <v>0.4076388888888889</v>
      </c>
      <c r="AX20" s="13">
        <v>0.40902777777777777</v>
      </c>
      <c r="AY20" s="34">
        <f t="array" ref="AY20">XLOOKUP(B20,faclon_results_2022!$D:$D,faclon_results_2022!$A:$A,"DNF")</f>
        <v>41</v>
      </c>
      <c r="AZ20" s="12">
        <f t="shared" si="1"/>
        <v>0.4513888889</v>
      </c>
      <c r="BA20" s="18">
        <f t="array" ref="BA20">XLOOKUP(B20,faclon_results_2022!$D:$D,faclon_results_2022!$J:$J)</f>
        <v>29.8396</v>
      </c>
    </row>
    <row r="21" ht="15.75" customHeight="1">
      <c r="A21" s="7"/>
      <c r="B21" s="47">
        <v>523.0</v>
      </c>
      <c r="C21" s="11">
        <v>114.0</v>
      </c>
      <c r="D21" s="12">
        <v>0.26944444444444443</v>
      </c>
      <c r="E21" s="13">
        <v>0.2701388888888889</v>
      </c>
      <c r="F21" s="64">
        <v>100.0</v>
      </c>
      <c r="G21" s="65">
        <v>0.32569444444444445</v>
      </c>
      <c r="H21" s="66">
        <v>0.32569444444444445</v>
      </c>
      <c r="I21" s="11">
        <v>81.0</v>
      </c>
      <c r="J21" s="12">
        <v>0.38819444444444445</v>
      </c>
      <c r="K21" s="13">
        <v>0.39375</v>
      </c>
      <c r="L21" s="67">
        <v>70.0</v>
      </c>
      <c r="M21" s="12">
        <v>0.4722222222222222</v>
      </c>
      <c r="N21" s="13">
        <v>0.4736111111111111</v>
      </c>
      <c r="O21" s="38">
        <v>61.0</v>
      </c>
      <c r="P21" s="12">
        <v>0.51875</v>
      </c>
      <c r="Q21" s="13">
        <v>0.5368055555555555</v>
      </c>
      <c r="R21" s="11">
        <v>58.0</v>
      </c>
      <c r="S21" s="12">
        <v>0.5958333333333333</v>
      </c>
      <c r="T21" s="13">
        <v>0.6</v>
      </c>
      <c r="U21" s="11">
        <v>55.0</v>
      </c>
      <c r="V21" s="12">
        <v>0.6409722222222223</v>
      </c>
      <c r="W21" s="13">
        <v>0.6555555555555556</v>
      </c>
      <c r="X21" s="11">
        <v>57.0</v>
      </c>
      <c r="Y21" s="12"/>
      <c r="Z21" s="13">
        <v>0.75625</v>
      </c>
      <c r="AA21" s="20">
        <v>55.0</v>
      </c>
      <c r="AB21" s="21">
        <v>0.8125</v>
      </c>
      <c r="AC21" s="22">
        <v>0.8208333333333333</v>
      </c>
      <c r="AD21" s="18">
        <v>51.0</v>
      </c>
      <c r="AE21" s="12">
        <v>0.9076388888888889</v>
      </c>
      <c r="AF21" s="23">
        <v>0.91875</v>
      </c>
      <c r="AG21" s="11">
        <v>49.0</v>
      </c>
      <c r="AH21" s="12">
        <v>0.9930555555555556</v>
      </c>
      <c r="AI21" s="13">
        <v>0.9993055555555556</v>
      </c>
      <c r="AJ21" s="14">
        <v>48.0</v>
      </c>
      <c r="AK21" s="15">
        <v>0.09791666666666667</v>
      </c>
      <c r="AL21" s="16">
        <v>0.10694444444444444</v>
      </c>
      <c r="AM21" s="11">
        <v>43.0</v>
      </c>
      <c r="AN21" s="12">
        <v>0.15416666666666667</v>
      </c>
      <c r="AO21" s="13">
        <v>0.1673611111111111</v>
      </c>
      <c r="AP21" s="11">
        <v>41.0</v>
      </c>
      <c r="AQ21" s="12">
        <v>0.2298611111111111</v>
      </c>
      <c r="AR21" s="13">
        <v>0.23680555555555555</v>
      </c>
      <c r="AS21" s="11">
        <v>40.0</v>
      </c>
      <c r="AT21" s="12">
        <v>0.3277777777777778</v>
      </c>
      <c r="AU21" s="13">
        <v>0.33541666666666664</v>
      </c>
      <c r="AV21" s="11">
        <v>39.0</v>
      </c>
      <c r="AW21" s="12">
        <v>0.4027777777777778</v>
      </c>
      <c r="AX21" s="13">
        <v>0.40347222222222223</v>
      </c>
      <c r="AY21" s="34">
        <f t="array" ref="AY21">XLOOKUP(B21,faclon_results_2022!$D:$D,faclon_results_2022!$A:$A,"DNF")</f>
        <v>39</v>
      </c>
      <c r="AZ21" s="12">
        <f t="shared" si="1"/>
        <v>0.4472222222</v>
      </c>
      <c r="BA21" s="18">
        <f t="array" ref="BA21">XLOOKUP(B21,faclon_results_2022!$D:$D,faclon_results_2022!$J:$J)</f>
        <v>29.73684</v>
      </c>
    </row>
    <row r="22" ht="15.75" customHeight="1">
      <c r="A22" s="7"/>
      <c r="B22" s="47">
        <v>525.0</v>
      </c>
      <c r="C22" s="11">
        <v>115.0</v>
      </c>
      <c r="D22" s="12">
        <v>0.26944444444444443</v>
      </c>
      <c r="E22" s="13">
        <v>0.2701388888888889</v>
      </c>
      <c r="F22" s="64">
        <v>121.0</v>
      </c>
      <c r="G22" s="65">
        <v>0.33055555555555555</v>
      </c>
      <c r="H22" s="66">
        <v>0.33055555555555555</v>
      </c>
      <c r="I22" s="11">
        <v>129.0</v>
      </c>
      <c r="J22" s="12">
        <v>0.40555555555555556</v>
      </c>
      <c r="K22" s="13">
        <v>0.4083333333333333</v>
      </c>
      <c r="L22" s="67">
        <v>126.0</v>
      </c>
      <c r="M22" s="12">
        <v>0.5034722222222222</v>
      </c>
      <c r="N22" s="12">
        <v>0.50625</v>
      </c>
      <c r="O22" s="38">
        <v>136.0</v>
      </c>
      <c r="P22" s="12">
        <v>0.5833333333333334</v>
      </c>
      <c r="Q22" s="13">
        <v>0.5875</v>
      </c>
      <c r="R22" s="11">
        <v>128.0</v>
      </c>
      <c r="S22" s="12">
        <v>0.6576388888888889</v>
      </c>
      <c r="T22" s="13">
        <v>0.6611111111111111</v>
      </c>
      <c r="U22" s="11">
        <v>131.0</v>
      </c>
      <c r="V22" s="12">
        <v>0.7166666666666667</v>
      </c>
      <c r="W22" s="13">
        <v>0.7347222222222223</v>
      </c>
      <c r="X22" s="11">
        <v>124.0</v>
      </c>
      <c r="Y22" s="12"/>
      <c r="Z22" s="13">
        <v>0.84375</v>
      </c>
      <c r="AA22" s="20">
        <v>117.0</v>
      </c>
      <c r="AB22" s="21">
        <v>0.9097222222222222</v>
      </c>
      <c r="AC22" s="22">
        <v>0.9138888888888889</v>
      </c>
      <c r="AD22" s="18">
        <v>111.0</v>
      </c>
      <c r="AE22" s="12">
        <v>0.024305555555555556</v>
      </c>
      <c r="AF22" s="23">
        <v>0.03819444444444445</v>
      </c>
      <c r="AG22" s="11">
        <v>110.0</v>
      </c>
      <c r="AH22" s="12">
        <v>0.11666666666666667</v>
      </c>
      <c r="AI22" s="13">
        <v>0.12013888888888889</v>
      </c>
      <c r="AJ22" s="14">
        <v>108.0</v>
      </c>
      <c r="AK22" s="15">
        <v>0.23333333333333334</v>
      </c>
      <c r="AL22" s="16">
        <v>0.23680555555555555</v>
      </c>
      <c r="AM22" s="11">
        <v>102.0</v>
      </c>
      <c r="AN22" s="12">
        <v>0.29583333333333334</v>
      </c>
      <c r="AO22" s="13">
        <v>0.3013888888888889</v>
      </c>
      <c r="AP22" s="11">
        <v>102.0</v>
      </c>
      <c r="AQ22" s="12">
        <v>0.37430555555555556</v>
      </c>
      <c r="AR22" s="13">
        <v>0.38125</v>
      </c>
      <c r="AS22" s="11">
        <v>102.0</v>
      </c>
      <c r="AT22" s="12">
        <v>0.4875</v>
      </c>
      <c r="AU22" s="13">
        <v>0.4930555555555556</v>
      </c>
      <c r="AV22" s="11">
        <v>103.0</v>
      </c>
      <c r="AW22" s="12">
        <v>0.08125</v>
      </c>
      <c r="AX22" s="13">
        <v>0.08611111111111111</v>
      </c>
      <c r="AY22" s="34">
        <f t="array" ref="AY22">XLOOKUP(B22,faclon_results_2022!$D:$D,faclon_results_2022!$A:$A,"DNF")</f>
        <v>105</v>
      </c>
      <c r="AZ22" s="12">
        <f t="shared" si="1"/>
        <v>0.6534722222</v>
      </c>
      <c r="BA22" s="18">
        <f t="array" ref="BA22">XLOOKUP(B22,faclon_results_2022!$D:$D,faclon_results_2022!$J:$J)</f>
        <v>34.69207</v>
      </c>
    </row>
    <row r="23" ht="15.75" customHeight="1">
      <c r="A23" s="7"/>
      <c r="B23" s="47">
        <v>527.0</v>
      </c>
      <c r="C23" s="11">
        <v>23.0</v>
      </c>
      <c r="D23" s="12">
        <v>0.25763888888888886</v>
      </c>
      <c r="E23" s="13">
        <v>0.25833333333333336</v>
      </c>
      <c r="F23" s="64">
        <v>20.0</v>
      </c>
      <c r="G23" s="65">
        <v>0.30625</v>
      </c>
      <c r="H23" s="66">
        <v>0.30625</v>
      </c>
      <c r="I23" s="11">
        <v>18.0</v>
      </c>
      <c r="J23" s="12">
        <v>0.3625</v>
      </c>
      <c r="K23" s="13">
        <v>0.3638888888888889</v>
      </c>
      <c r="L23" s="67">
        <v>18.0</v>
      </c>
      <c r="M23" s="12">
        <v>0.43472222222222223</v>
      </c>
      <c r="N23" s="12">
        <v>0.4361111111111111</v>
      </c>
      <c r="O23" s="38">
        <v>19.0</v>
      </c>
      <c r="P23" s="12">
        <v>0.49444444444444446</v>
      </c>
      <c r="Q23" s="13">
        <v>0.49583333333333335</v>
      </c>
      <c r="R23" s="11">
        <v>21.0</v>
      </c>
      <c r="S23" s="12">
        <v>0.5541666666666667</v>
      </c>
      <c r="T23" s="13">
        <v>0.5576388888888889</v>
      </c>
      <c r="U23" s="11">
        <v>22.0</v>
      </c>
      <c r="V23" s="12">
        <v>0.5993055555555555</v>
      </c>
      <c r="W23" s="13">
        <v>0.6111111111111112</v>
      </c>
      <c r="X23" s="11">
        <v>30.0</v>
      </c>
      <c r="Y23" s="12"/>
      <c r="Z23" s="13">
        <v>0.7041666666666667</v>
      </c>
      <c r="AA23" s="20">
        <v>31.0</v>
      </c>
      <c r="AB23" s="21">
        <v>0.7680555555555556</v>
      </c>
      <c r="AC23" s="22">
        <v>0.7715277777777778</v>
      </c>
      <c r="AD23" s="18">
        <v>32.0</v>
      </c>
      <c r="AE23" s="12">
        <v>0.8597222222222223</v>
      </c>
      <c r="AF23" s="23">
        <v>0.8770833333333333</v>
      </c>
      <c r="AG23" s="11">
        <v>35.0</v>
      </c>
      <c r="AH23" s="12">
        <v>0.9451388888888889</v>
      </c>
      <c r="AI23" s="13">
        <v>0.9486111111111111</v>
      </c>
      <c r="AJ23" s="14">
        <v>35.0</v>
      </c>
      <c r="AK23" s="15">
        <v>0.041666666666666664</v>
      </c>
      <c r="AL23" s="16">
        <v>0.04652777777777778</v>
      </c>
      <c r="AM23" s="11">
        <v>33.0</v>
      </c>
      <c r="AN23" s="12">
        <v>0.1111111111111111</v>
      </c>
      <c r="AO23" s="13">
        <v>0.12152777777777778</v>
      </c>
      <c r="AP23" s="11">
        <v>32.0</v>
      </c>
      <c r="AQ23" s="12">
        <v>0.1951388888888889</v>
      </c>
      <c r="AR23" s="13">
        <v>0.20069444444444445</v>
      </c>
      <c r="AS23" s="11">
        <v>35.0</v>
      </c>
      <c r="AT23" s="12">
        <v>0.31180555555555556</v>
      </c>
      <c r="AU23" s="13">
        <v>0.31527777777777777</v>
      </c>
      <c r="AV23" s="11">
        <v>33.0</v>
      </c>
      <c r="AW23" s="12">
        <v>0.38263888888888886</v>
      </c>
      <c r="AX23" s="13">
        <v>0.38263888888888886</v>
      </c>
      <c r="AY23" s="34">
        <f t="array" ref="AY23">XLOOKUP(B23,faclon_results_2022!$D:$D,faclon_results_2022!$A:$A,"DNF")</f>
        <v>30</v>
      </c>
      <c r="AZ23" s="12">
        <f t="shared" si="1"/>
        <v>0.41875</v>
      </c>
      <c r="BA23" s="18">
        <f t="array" ref="BA23">XLOOKUP(B23,faclon_results_2022!$D:$D,faclon_results_2022!$J:$J)</f>
        <v>29.06125</v>
      </c>
    </row>
    <row r="24" ht="15.75" customHeight="1">
      <c r="A24" s="7"/>
      <c r="B24" s="47">
        <v>528.0</v>
      </c>
      <c r="C24" s="11">
        <v>84.0</v>
      </c>
      <c r="D24" s="12">
        <v>0.2659722222222222</v>
      </c>
      <c r="E24" s="13">
        <v>0.26666666666666666</v>
      </c>
      <c r="F24" s="64">
        <v>78.0</v>
      </c>
      <c r="G24" s="65">
        <v>0.32083333333333336</v>
      </c>
      <c r="H24" s="66">
        <v>0.32083333333333336</v>
      </c>
      <c r="I24" s="11"/>
      <c r="J24" s="12"/>
      <c r="K24" s="38"/>
      <c r="L24" s="67">
        <v>90.0</v>
      </c>
      <c r="M24" s="12">
        <v>0.4840277777777778</v>
      </c>
      <c r="N24" s="12">
        <v>0.48680555555555555</v>
      </c>
      <c r="O24" s="38">
        <v>95.0</v>
      </c>
      <c r="P24" s="12">
        <v>0.5569444444444445</v>
      </c>
      <c r="Q24" s="13">
        <v>0.5590277777777778</v>
      </c>
      <c r="R24" s="11">
        <v>94.0</v>
      </c>
      <c r="S24" s="12">
        <v>0.6284722222222222</v>
      </c>
      <c r="T24" s="13">
        <v>0.63125</v>
      </c>
      <c r="U24" s="11">
        <v>93.0</v>
      </c>
      <c r="V24" s="12">
        <v>0.6805555555555556</v>
      </c>
      <c r="W24" s="13">
        <v>0.6930555555555555</v>
      </c>
      <c r="X24" s="11">
        <v>94.0</v>
      </c>
      <c r="Y24" s="12"/>
      <c r="Z24" s="13">
        <v>0.8013888888888889</v>
      </c>
      <c r="AA24" s="20">
        <v>95.0</v>
      </c>
      <c r="AB24" s="21">
        <v>0.8708333333333333</v>
      </c>
      <c r="AC24" s="22">
        <v>0.8736111111111111</v>
      </c>
      <c r="AD24" s="18">
        <v>91.0</v>
      </c>
      <c r="AE24" s="12">
        <v>0.9833333333333333</v>
      </c>
      <c r="AF24" s="23">
        <v>0.004166666666666667</v>
      </c>
      <c r="AG24" s="11">
        <v>92.0</v>
      </c>
      <c r="AH24" s="12">
        <v>0.08333333333333333</v>
      </c>
      <c r="AI24" s="13">
        <v>0.08819444444444445</v>
      </c>
      <c r="AJ24" s="14">
        <v>95.0</v>
      </c>
      <c r="AK24" s="15">
        <v>0.20208333333333334</v>
      </c>
      <c r="AL24" s="16">
        <v>0.20902777777777778</v>
      </c>
      <c r="AM24" s="11">
        <v>98.0</v>
      </c>
      <c r="AN24" s="12">
        <v>0.28125</v>
      </c>
      <c r="AO24" s="13">
        <v>0.2847222222222222</v>
      </c>
      <c r="AP24" s="11">
        <v>94.0</v>
      </c>
      <c r="AQ24" s="12">
        <v>0.3625</v>
      </c>
      <c r="AR24" s="13">
        <v>0.36666666666666664</v>
      </c>
      <c r="AS24" s="11">
        <v>97.0</v>
      </c>
      <c r="AT24" s="12">
        <v>0.48333333333333334</v>
      </c>
      <c r="AU24" s="13">
        <v>0.4875</v>
      </c>
      <c r="AV24" s="11">
        <v>98.0</v>
      </c>
      <c r="AW24" s="12">
        <v>0.07708333333333334</v>
      </c>
      <c r="AX24" s="13">
        <v>0.07847222222222222</v>
      </c>
      <c r="AY24" s="34">
        <f t="array" ref="AY24">XLOOKUP(B24,faclon_results_2022!$D:$D,faclon_results_2022!$A:$A,"DNF")</f>
        <v>98</v>
      </c>
      <c r="AZ24" s="12">
        <f t="shared" si="1"/>
        <v>0.6361111111</v>
      </c>
      <c r="BA24" s="18">
        <f t="array" ref="BA24">XLOOKUP(B24,faclon_results_2022!$D:$D,faclon_results_2022!$J:$J)</f>
        <v>34.2829</v>
      </c>
    </row>
    <row r="25" ht="15.75" customHeight="1">
      <c r="A25" s="7"/>
      <c r="B25" s="47">
        <v>529.0</v>
      </c>
      <c r="C25" s="11">
        <v>71.0</v>
      </c>
      <c r="D25" s="12">
        <v>0.2638888888888889</v>
      </c>
      <c r="E25" s="13">
        <v>0.26458333333333334</v>
      </c>
      <c r="F25" s="64">
        <v>65.0</v>
      </c>
      <c r="G25" s="65">
        <v>0.31875</v>
      </c>
      <c r="H25" s="66">
        <v>0.31875</v>
      </c>
      <c r="I25" s="11">
        <v>58.0</v>
      </c>
      <c r="J25" s="12">
        <v>0.37916666666666665</v>
      </c>
      <c r="K25" s="13">
        <v>0.38125</v>
      </c>
      <c r="L25" s="67">
        <v>39.0</v>
      </c>
      <c r="M25" s="12">
        <v>0.45</v>
      </c>
      <c r="N25" s="12">
        <v>0.45069444444444445</v>
      </c>
      <c r="O25" s="38">
        <v>38.0</v>
      </c>
      <c r="P25" s="12">
        <v>0.5097222222222222</v>
      </c>
      <c r="Q25" s="13">
        <v>0.5111111111111111</v>
      </c>
      <c r="R25" s="11">
        <v>31.0</v>
      </c>
      <c r="S25" s="12">
        <v>0.5652777777777778</v>
      </c>
      <c r="T25" s="13">
        <v>0.5666666666666667</v>
      </c>
      <c r="U25" s="11">
        <v>29.0</v>
      </c>
      <c r="V25" s="12">
        <v>0.6027777777777777</v>
      </c>
      <c r="W25" s="13">
        <v>0.60625</v>
      </c>
      <c r="X25" s="11">
        <v>20.0</v>
      </c>
      <c r="Y25" s="12"/>
      <c r="Z25" s="13">
        <v>0.6951388888888889</v>
      </c>
      <c r="AA25" s="20">
        <v>18.0</v>
      </c>
      <c r="AB25" s="21">
        <v>0.7444444444444445</v>
      </c>
      <c r="AC25" s="22">
        <v>0.7458333333333333</v>
      </c>
      <c r="AD25" s="18">
        <v>15.0</v>
      </c>
      <c r="AE25" s="12">
        <v>0.8229166666666666</v>
      </c>
      <c r="AF25" s="23">
        <v>0.8263888888888888</v>
      </c>
      <c r="AG25" s="11">
        <v>14.0</v>
      </c>
      <c r="AH25" s="12">
        <v>0.8854166666666666</v>
      </c>
      <c r="AI25" s="13">
        <v>0.8868055555555555</v>
      </c>
      <c r="AJ25" s="14">
        <v>15.0</v>
      </c>
      <c r="AK25" s="15">
        <v>0.96875</v>
      </c>
      <c r="AL25" s="16">
        <v>0.9722222222222222</v>
      </c>
      <c r="AM25" s="11">
        <v>14.0</v>
      </c>
      <c r="AN25" s="12">
        <v>0.024305555555555556</v>
      </c>
      <c r="AO25" s="13">
        <v>0.027083333333333334</v>
      </c>
      <c r="AP25" s="11">
        <v>14.0</v>
      </c>
      <c r="AQ25" s="12">
        <v>0.09513888888888888</v>
      </c>
      <c r="AR25" s="13">
        <v>0.09791666666666667</v>
      </c>
      <c r="AS25" s="11">
        <v>16.0</v>
      </c>
      <c r="AT25" s="12">
        <v>0.19930555555555557</v>
      </c>
      <c r="AU25" s="13">
        <v>0.2013888888888889</v>
      </c>
      <c r="AV25" s="11">
        <v>16.0</v>
      </c>
      <c r="AW25" s="12">
        <v>0.2777777777777778</v>
      </c>
      <c r="AX25" s="13">
        <v>0.27847222222222223</v>
      </c>
      <c r="AY25" s="34">
        <f t="array" ref="AY25">XLOOKUP(B25,faclon_results_2022!$D:$D,faclon_results_2022!$A:$A,"DNF")</f>
        <v>16</v>
      </c>
      <c r="AZ25" s="12">
        <f t="shared" si="1"/>
        <v>0.3236111111</v>
      </c>
      <c r="BA25" s="18">
        <f t="array" ref="BA25">XLOOKUP(B25,faclon_results_2022!$D:$D,faclon_results_2022!$J:$J)</f>
        <v>26.77177</v>
      </c>
    </row>
    <row r="26" ht="15.75" customHeight="1">
      <c r="A26" s="7"/>
      <c r="B26" s="47">
        <v>530.0</v>
      </c>
      <c r="C26" s="11">
        <v>46.0</v>
      </c>
      <c r="D26" s="12">
        <v>0.2611111111111111</v>
      </c>
      <c r="E26" s="13">
        <v>0.26180555555555557</v>
      </c>
      <c r="F26" s="64">
        <v>40.0</v>
      </c>
      <c r="G26" s="65">
        <v>0.31319444444444444</v>
      </c>
      <c r="H26" s="66">
        <v>0.31319444444444444</v>
      </c>
      <c r="I26" s="11">
        <v>57.0</v>
      </c>
      <c r="J26" s="12">
        <v>0.3784722222222222</v>
      </c>
      <c r="K26" s="13">
        <v>0.38055555555555554</v>
      </c>
      <c r="L26" s="67">
        <v>49.0</v>
      </c>
      <c r="M26" s="12">
        <v>0.45694444444444443</v>
      </c>
      <c r="N26" s="12">
        <v>0.45902777777777776</v>
      </c>
      <c r="O26" s="38">
        <v>49.0</v>
      </c>
      <c r="P26" s="12">
        <v>0.5208333333333334</v>
      </c>
      <c r="Q26" s="13">
        <v>0.5229166666666667</v>
      </c>
      <c r="R26" s="11">
        <v>51.0</v>
      </c>
      <c r="S26" s="12">
        <v>0.5875</v>
      </c>
      <c r="T26" s="13">
        <v>0.5888888888888889</v>
      </c>
      <c r="U26" s="11">
        <v>49.0</v>
      </c>
      <c r="V26" s="12">
        <v>0.6305555555555555</v>
      </c>
      <c r="W26" s="13">
        <v>0.6340277777777777</v>
      </c>
      <c r="X26" s="11">
        <v>48.0</v>
      </c>
      <c r="Y26" s="12"/>
      <c r="Z26" s="13">
        <v>0.7388888888888889</v>
      </c>
      <c r="AA26" s="20">
        <v>49.0</v>
      </c>
      <c r="AB26" s="21">
        <v>0.8</v>
      </c>
      <c r="AC26" s="22">
        <v>0.8020833333333334</v>
      </c>
      <c r="AD26" s="18">
        <v>50.0</v>
      </c>
      <c r="AE26" s="12">
        <v>0.9013888888888889</v>
      </c>
      <c r="AF26" s="23">
        <v>0.9180555555555555</v>
      </c>
      <c r="AG26" s="11">
        <v>47.0</v>
      </c>
      <c r="AH26" s="12">
        <v>0.9909722222222223</v>
      </c>
      <c r="AI26" s="13">
        <v>0.9930555555555556</v>
      </c>
      <c r="AJ26" s="14">
        <v>41.0</v>
      </c>
      <c r="AK26" s="15">
        <v>0.07430555555555556</v>
      </c>
      <c r="AL26" s="16">
        <v>0.07569444444444444</v>
      </c>
      <c r="AM26" s="11">
        <v>38.0</v>
      </c>
      <c r="AN26" s="12">
        <v>0.13472222222222222</v>
      </c>
      <c r="AO26" s="13">
        <v>0.14305555555555555</v>
      </c>
      <c r="AP26" s="11">
        <v>37.0</v>
      </c>
      <c r="AQ26" s="12">
        <v>0.2125</v>
      </c>
      <c r="AR26" s="13">
        <v>0.21736111111111112</v>
      </c>
      <c r="AS26" s="11">
        <v>34.0</v>
      </c>
      <c r="AT26" s="12">
        <v>0.3104166666666667</v>
      </c>
      <c r="AU26" s="13">
        <v>0.31180555555555556</v>
      </c>
      <c r="AV26" s="11">
        <v>34.0</v>
      </c>
      <c r="AW26" s="12">
        <v>0.38263888888888886</v>
      </c>
      <c r="AX26" s="13">
        <v>0.38333333333333336</v>
      </c>
      <c r="AY26" s="34">
        <f t="array" ref="AY26">XLOOKUP(B26,faclon_results_2022!$D:$D,faclon_results_2022!$A:$A,"DNF")</f>
        <v>33</v>
      </c>
      <c r="AZ26" s="12">
        <f t="shared" si="1"/>
        <v>0.4305555556</v>
      </c>
      <c r="BA26" s="18">
        <f t="array" ref="BA26">XLOOKUP(B26,faclon_results_2022!$D:$D,faclon_results_2022!$J:$J)</f>
        <v>29.34933</v>
      </c>
    </row>
    <row r="27" ht="15.75" customHeight="1">
      <c r="A27" s="7"/>
      <c r="B27" s="47">
        <v>531.0</v>
      </c>
      <c r="C27" s="11">
        <v>174.0</v>
      </c>
      <c r="D27" s="12">
        <v>0.275</v>
      </c>
      <c r="E27" s="13">
        <v>0.27569444444444446</v>
      </c>
      <c r="F27" s="64">
        <v>160.0</v>
      </c>
      <c r="G27" s="65">
        <v>0.3388888888888889</v>
      </c>
      <c r="H27" s="66">
        <v>0.3388888888888889</v>
      </c>
      <c r="I27" s="11">
        <v>153.0</v>
      </c>
      <c r="J27" s="12">
        <v>0.41388888888888886</v>
      </c>
      <c r="K27" s="13">
        <v>0.4222222222222222</v>
      </c>
      <c r="L27" s="67">
        <v>154.0</v>
      </c>
      <c r="M27" s="12">
        <v>0.5166666666666667</v>
      </c>
      <c r="N27" s="13">
        <v>0.5180555555555556</v>
      </c>
      <c r="O27" s="38">
        <v>155.0</v>
      </c>
      <c r="P27" s="12">
        <v>0.5986111111111111</v>
      </c>
      <c r="Q27" s="13">
        <v>0.6076388888888888</v>
      </c>
      <c r="R27" s="11">
        <v>161.0</v>
      </c>
      <c r="S27" s="12">
        <v>0.6861111111111111</v>
      </c>
      <c r="T27" s="13">
        <v>0.6895833333333333</v>
      </c>
      <c r="U27" s="11">
        <v>162.0</v>
      </c>
      <c r="V27" s="12">
        <v>0.7486111111111111</v>
      </c>
      <c r="W27" s="13">
        <v>0.7715277777777778</v>
      </c>
      <c r="X27" s="11">
        <v>164.0</v>
      </c>
      <c r="Y27" s="12"/>
      <c r="Z27" s="13">
        <v>0.90625</v>
      </c>
      <c r="AA27" s="20">
        <v>167.0</v>
      </c>
      <c r="AB27" s="21">
        <v>0.003472222222222222</v>
      </c>
      <c r="AC27" s="70" t="s">
        <v>178</v>
      </c>
      <c r="AD27" s="18"/>
      <c r="AE27" s="18"/>
      <c r="AF27" s="47"/>
      <c r="AG27" s="11"/>
      <c r="AH27" s="12"/>
      <c r="AI27" s="13"/>
      <c r="AJ27" s="68"/>
      <c r="AK27" s="68"/>
      <c r="AL27" s="69"/>
      <c r="AM27" s="11"/>
      <c r="AN27" s="12"/>
      <c r="AO27" s="13"/>
      <c r="AP27" s="11"/>
      <c r="AQ27" s="12"/>
      <c r="AR27" s="13"/>
      <c r="AS27" s="11"/>
      <c r="AT27" s="12"/>
      <c r="AU27" s="13"/>
      <c r="AV27" s="11"/>
      <c r="AW27" s="12"/>
      <c r="AX27" s="13"/>
      <c r="AY27" s="34" t="str">
        <f t="array" ref="AY27">XLOOKUP(B27,faclon_results_2022!$D:$D,faclon_results_2022!$A:$A,"DNF")</f>
        <v>DNF</v>
      </c>
      <c r="AZ27" s="12" t="str">
        <f t="shared" si="1"/>
        <v>#N/A</v>
      </c>
      <c r="BA27" s="18" t="str">
        <f t="array" ref="BA27">XLOOKUP(B27,faclon_results_2022!$D:$D,faclon_results_2022!$J:$J)</f>
        <v>#N/A</v>
      </c>
    </row>
    <row r="28" ht="15.75" customHeight="1">
      <c r="A28" s="7"/>
      <c r="B28" s="47">
        <v>532.0</v>
      </c>
      <c r="C28" s="11">
        <v>163.0</v>
      </c>
      <c r="D28" s="12">
        <v>0.2743055555555556</v>
      </c>
      <c r="E28" s="13">
        <v>0.275</v>
      </c>
      <c r="F28" s="64">
        <v>165.0</v>
      </c>
      <c r="G28" s="65">
        <v>0.3388888888888889</v>
      </c>
      <c r="H28" s="66">
        <v>0.3388888888888889</v>
      </c>
      <c r="I28" s="11">
        <v>154.0</v>
      </c>
      <c r="J28" s="12">
        <v>0.41388888888888886</v>
      </c>
      <c r="K28" s="13">
        <v>0.4222222222222222</v>
      </c>
      <c r="L28" s="67">
        <v>151.0</v>
      </c>
      <c r="M28" s="12">
        <v>0.5145833333333333</v>
      </c>
      <c r="N28" s="13">
        <v>0.5180555555555556</v>
      </c>
      <c r="O28" s="38">
        <v>154.0</v>
      </c>
      <c r="P28" s="12">
        <v>0.5986111111111111</v>
      </c>
      <c r="Q28" s="13">
        <v>0.6076388888888888</v>
      </c>
      <c r="R28" s="11">
        <v>159.0</v>
      </c>
      <c r="S28" s="12">
        <v>0.6861111111111111</v>
      </c>
      <c r="T28" s="13">
        <v>0.6888888888888889</v>
      </c>
      <c r="U28" s="11">
        <v>161.0</v>
      </c>
      <c r="V28" s="12">
        <v>0.7486111111111111</v>
      </c>
      <c r="W28" s="13">
        <v>0.7715277777777778</v>
      </c>
      <c r="X28" s="11"/>
      <c r="Y28" s="12"/>
      <c r="Z28" s="13"/>
      <c r="AA28" s="20"/>
      <c r="AB28" s="71"/>
      <c r="AC28" s="70"/>
      <c r="AD28" s="18"/>
      <c r="AE28" s="18"/>
      <c r="AF28" s="47"/>
      <c r="AG28" s="11"/>
      <c r="AH28" s="12"/>
      <c r="AI28" s="13"/>
      <c r="AJ28" s="68"/>
      <c r="AK28" s="68"/>
      <c r="AL28" s="69"/>
      <c r="AM28" s="11"/>
      <c r="AN28" s="12"/>
      <c r="AO28" s="13"/>
      <c r="AP28" s="11"/>
      <c r="AQ28" s="12"/>
      <c r="AR28" s="13"/>
      <c r="AS28" s="11"/>
      <c r="AT28" s="12"/>
      <c r="AU28" s="13"/>
      <c r="AV28" s="11"/>
      <c r="AW28" s="12"/>
      <c r="AX28" s="13"/>
      <c r="AY28" s="34" t="str">
        <f t="array" ref="AY28">XLOOKUP(B28,faclon_results_2022!$D:$D,faclon_results_2022!$A:$A,"DNF")</f>
        <v>DNF</v>
      </c>
      <c r="AZ28" s="12" t="str">
        <f t="shared" si="1"/>
        <v>#N/A</v>
      </c>
      <c r="BA28" s="18" t="str">
        <f t="array" ref="BA28">XLOOKUP(B28,faclon_results_2022!$D:$D,faclon_results_2022!$J:$J)</f>
        <v>#N/A</v>
      </c>
    </row>
    <row r="29" ht="15.75" customHeight="1">
      <c r="A29" s="7"/>
      <c r="B29" s="47">
        <v>534.0</v>
      </c>
      <c r="C29" s="11">
        <v>167.0</v>
      </c>
      <c r="D29" s="12">
        <v>0.2743055555555556</v>
      </c>
      <c r="E29" s="13">
        <v>0.275</v>
      </c>
      <c r="F29" s="64">
        <v>164.0</v>
      </c>
      <c r="G29" s="65">
        <v>0.3388888888888889</v>
      </c>
      <c r="H29" s="66">
        <v>0.3388888888888889</v>
      </c>
      <c r="I29" s="11">
        <v>152.0</v>
      </c>
      <c r="J29" s="12">
        <v>0.4131944444444444</v>
      </c>
      <c r="K29" s="13">
        <v>0.41944444444444445</v>
      </c>
      <c r="L29" s="67">
        <v>148.0</v>
      </c>
      <c r="M29" s="12">
        <v>0.5138888888888888</v>
      </c>
      <c r="N29" s="12">
        <v>0.5180555555555556</v>
      </c>
      <c r="O29" s="38">
        <v>144.0</v>
      </c>
      <c r="P29" s="12">
        <v>0.5916666666666667</v>
      </c>
      <c r="Q29" s="13">
        <v>0.5951388888888889</v>
      </c>
      <c r="R29" s="11">
        <v>144.0</v>
      </c>
      <c r="S29" s="12">
        <v>0.6673611111111111</v>
      </c>
      <c r="T29" s="13">
        <v>0.6701388888888888</v>
      </c>
      <c r="U29" s="11">
        <v>134.0</v>
      </c>
      <c r="V29" s="12">
        <v>0.71875</v>
      </c>
      <c r="W29" s="13">
        <v>0.7305555555555555</v>
      </c>
      <c r="X29" s="11">
        <v>122.0</v>
      </c>
      <c r="Y29" s="12"/>
      <c r="Z29" s="13">
        <v>0.8423611111111111</v>
      </c>
      <c r="AA29" s="20">
        <v>118.0</v>
      </c>
      <c r="AB29" s="21">
        <v>0.9097222222222222</v>
      </c>
      <c r="AC29" s="22">
        <v>0.9166666666666666</v>
      </c>
      <c r="AD29" s="18">
        <v>115.0</v>
      </c>
      <c r="AE29" s="12">
        <v>0.027777777777777776</v>
      </c>
      <c r="AF29" s="23">
        <v>0.04513888888888889</v>
      </c>
      <c r="AG29" s="11">
        <v>114.0</v>
      </c>
      <c r="AH29" s="12">
        <v>0.11736111111111111</v>
      </c>
      <c r="AI29" s="13">
        <v>0.12222222222222222</v>
      </c>
      <c r="AJ29" s="14">
        <v>113.0</v>
      </c>
      <c r="AK29" s="15">
        <v>0.2361111111111111</v>
      </c>
      <c r="AL29" s="16">
        <v>0.24513888888888888</v>
      </c>
      <c r="AM29" s="11">
        <v>105.0</v>
      </c>
      <c r="AN29" s="12">
        <v>0.3034722222222222</v>
      </c>
      <c r="AO29" s="13">
        <v>0.3173611111111111</v>
      </c>
      <c r="AP29" s="11">
        <v>105.0</v>
      </c>
      <c r="AQ29" s="12">
        <v>0.3819444444444444</v>
      </c>
      <c r="AR29" s="13">
        <v>0.3888888888888889</v>
      </c>
      <c r="AS29" s="11">
        <v>100.0</v>
      </c>
      <c r="AT29" s="12">
        <v>0.4847222222222222</v>
      </c>
      <c r="AU29" s="13">
        <v>0.4965277777777778</v>
      </c>
      <c r="AV29" s="11">
        <v>95.0</v>
      </c>
      <c r="AW29" s="12">
        <v>0.06527777777777778</v>
      </c>
      <c r="AX29" s="13">
        <v>0.06805555555555555</v>
      </c>
      <c r="AY29" s="34">
        <f t="array" ref="AY29">XLOOKUP(B29,faclon_results_2022!$D:$D,faclon_results_2022!$A:$A,"DNF")</f>
        <v>92</v>
      </c>
      <c r="AZ29" s="12">
        <f t="shared" si="1"/>
        <v>0.6243055556</v>
      </c>
      <c r="BA29" s="18">
        <f t="array" ref="BA29">XLOOKUP(B29,faclon_results_2022!$D:$D,faclon_results_2022!$J:$J)</f>
        <v>33.98821</v>
      </c>
    </row>
    <row r="30" ht="15.75" customHeight="1">
      <c r="A30" s="7"/>
      <c r="B30" s="47">
        <v>535.0</v>
      </c>
      <c r="C30" s="11">
        <v>52.0</v>
      </c>
      <c r="D30" s="12">
        <v>0.26319444444444445</v>
      </c>
      <c r="E30" s="13">
        <v>0.2638888888888889</v>
      </c>
      <c r="F30" s="64">
        <v>62.0</v>
      </c>
      <c r="G30" s="65">
        <v>0.3173611111111111</v>
      </c>
      <c r="H30" s="66">
        <v>0.3173611111111111</v>
      </c>
      <c r="I30" s="11">
        <v>79.0</v>
      </c>
      <c r="J30" s="12">
        <v>0.38819444444444445</v>
      </c>
      <c r="K30" s="13">
        <v>0.4</v>
      </c>
      <c r="L30" s="67">
        <v>101.0</v>
      </c>
      <c r="M30" s="12">
        <v>0.4888888888888889</v>
      </c>
      <c r="N30" s="13">
        <v>0.49583333333333335</v>
      </c>
      <c r="O30" s="38">
        <v>111.0</v>
      </c>
      <c r="P30" s="12">
        <v>0.5729166666666666</v>
      </c>
      <c r="Q30" s="13">
        <v>0.58125</v>
      </c>
      <c r="R30" s="11">
        <v>123.0</v>
      </c>
      <c r="S30" s="12">
        <v>0.65625</v>
      </c>
      <c r="T30" s="13">
        <v>0.6638888888888889</v>
      </c>
      <c r="U30" s="11">
        <v>132.0</v>
      </c>
      <c r="V30" s="12">
        <v>0.71875</v>
      </c>
      <c r="W30" s="13">
        <v>0.7305555555555555</v>
      </c>
      <c r="X30" s="11">
        <v>136.0</v>
      </c>
      <c r="Y30" s="12"/>
      <c r="Z30" s="13">
        <v>0.85625</v>
      </c>
      <c r="AA30" s="20">
        <v>134.0</v>
      </c>
      <c r="AB30" s="21">
        <v>0.9298611111111111</v>
      </c>
      <c r="AC30" s="22">
        <v>0.9388888888888889</v>
      </c>
      <c r="AD30" s="18">
        <v>129.0</v>
      </c>
      <c r="AE30" s="12">
        <v>0.05555555555555555</v>
      </c>
      <c r="AF30" s="23">
        <v>0.07916666666666666</v>
      </c>
      <c r="AG30" s="11">
        <v>148.0</v>
      </c>
      <c r="AH30" s="12">
        <v>0.20277777777777778</v>
      </c>
      <c r="AI30" s="38" t="s">
        <v>178</v>
      </c>
      <c r="AJ30" s="68"/>
      <c r="AK30" s="68"/>
      <c r="AL30" s="69"/>
      <c r="AM30" s="11"/>
      <c r="AN30" s="12"/>
      <c r="AO30" s="38"/>
      <c r="AP30" s="11"/>
      <c r="AQ30" s="12"/>
      <c r="AR30" s="38"/>
      <c r="AS30" s="11"/>
      <c r="AT30" s="12"/>
      <c r="AU30" s="38"/>
      <c r="AV30" s="11"/>
      <c r="AW30" s="12"/>
      <c r="AX30" s="38"/>
      <c r="AY30" s="34" t="str">
        <f t="array" ref="AY30">XLOOKUP(B30,faclon_results_2022!$D:$D,faclon_results_2022!$A:$A,"DNF")</f>
        <v>DNF</v>
      </c>
      <c r="AZ30" s="12" t="str">
        <f t="shared" si="1"/>
        <v>#N/A</v>
      </c>
      <c r="BA30" s="18" t="str">
        <f t="array" ref="BA30">XLOOKUP(B30,faclon_results_2022!$D:$D,faclon_results_2022!$J:$J)</f>
        <v>#N/A</v>
      </c>
    </row>
    <row r="31" ht="15.75" customHeight="1">
      <c r="A31" s="7"/>
      <c r="B31" s="47">
        <v>536.0</v>
      </c>
      <c r="C31" s="11">
        <v>63.0</v>
      </c>
      <c r="D31" s="12">
        <v>0.26319444444444445</v>
      </c>
      <c r="E31" s="13">
        <v>0.2638888888888889</v>
      </c>
      <c r="F31" s="64">
        <v>52.0</v>
      </c>
      <c r="G31" s="65">
        <v>0.3145833333333333</v>
      </c>
      <c r="H31" s="66">
        <v>0.3145833333333333</v>
      </c>
      <c r="I31" s="11">
        <v>36.0</v>
      </c>
      <c r="J31" s="12">
        <v>0.37083333333333335</v>
      </c>
      <c r="K31" s="13">
        <v>0.3763888888888889</v>
      </c>
      <c r="L31" s="67">
        <v>35.0</v>
      </c>
      <c r="M31" s="12">
        <v>0.44583333333333336</v>
      </c>
      <c r="N31" s="12">
        <v>0.4479166666666667</v>
      </c>
      <c r="O31" s="38">
        <v>30.0</v>
      </c>
      <c r="P31" s="12">
        <v>0.5034722222222222</v>
      </c>
      <c r="Q31" s="13">
        <v>0.50625</v>
      </c>
      <c r="R31" s="11">
        <v>26.0</v>
      </c>
      <c r="S31" s="12">
        <v>0.5604166666666667</v>
      </c>
      <c r="T31" s="13">
        <v>0.5625</v>
      </c>
      <c r="U31" s="11">
        <v>24.0</v>
      </c>
      <c r="V31" s="12">
        <v>0.6</v>
      </c>
      <c r="W31" s="13">
        <v>0.6145833333333334</v>
      </c>
      <c r="X31" s="11">
        <v>32.0</v>
      </c>
      <c r="Y31" s="12"/>
      <c r="Z31" s="13">
        <v>0.7125</v>
      </c>
      <c r="AA31" s="20">
        <v>32.0</v>
      </c>
      <c r="AB31" s="21">
        <v>0.7694444444444445</v>
      </c>
      <c r="AC31" s="22">
        <v>0.7736111111111111</v>
      </c>
      <c r="AD31" s="18">
        <v>44.0</v>
      </c>
      <c r="AE31" s="12">
        <v>0.8868055555555555</v>
      </c>
      <c r="AF31" s="23">
        <v>0.9138888888888889</v>
      </c>
      <c r="AG31" s="11">
        <v>45.0</v>
      </c>
      <c r="AH31" s="12">
        <v>0.9854166666666667</v>
      </c>
      <c r="AI31" s="13">
        <v>0.9881944444444445</v>
      </c>
      <c r="AJ31" s="14">
        <v>49.0</v>
      </c>
      <c r="AK31" s="15">
        <v>0.09861111111111111</v>
      </c>
      <c r="AL31" s="16">
        <v>0.10694444444444444</v>
      </c>
      <c r="AM31" s="11">
        <v>45.0</v>
      </c>
      <c r="AN31" s="12">
        <v>0.15694444444444444</v>
      </c>
      <c r="AO31" s="13">
        <v>0.17916666666666667</v>
      </c>
      <c r="AP31" s="11">
        <v>53.0</v>
      </c>
      <c r="AQ31" s="12">
        <v>0.2652777777777778</v>
      </c>
      <c r="AR31" s="13">
        <v>0.27708333333333335</v>
      </c>
      <c r="AS31" s="11">
        <v>57.0</v>
      </c>
      <c r="AT31" s="12">
        <v>0.40069444444444446</v>
      </c>
      <c r="AU31" s="13">
        <v>0.41805555555555557</v>
      </c>
      <c r="AV31" s="11">
        <v>60.0</v>
      </c>
      <c r="AW31" s="12">
        <v>0.4930555555555556</v>
      </c>
      <c r="AX31" s="13">
        <v>0.4951388888888889</v>
      </c>
      <c r="AY31" s="34">
        <f t="array" ref="AY31">XLOOKUP(B31,faclon_results_2022!$D:$D,faclon_results_2022!$A:$A,"DNF")</f>
        <v>59</v>
      </c>
      <c r="AZ31" s="12">
        <f t="shared" si="1"/>
        <v>0.5430555556</v>
      </c>
      <c r="BA31" s="18">
        <f t="array" ref="BA31">XLOOKUP(B31,faclon_results_2022!$D:$D,faclon_results_2022!$J:$J)</f>
        <v>32.03422</v>
      </c>
    </row>
    <row r="32" ht="15.75" customHeight="1">
      <c r="A32" s="7"/>
      <c r="B32" s="47">
        <v>537.0</v>
      </c>
      <c r="C32" s="11">
        <v>1.0</v>
      </c>
      <c r="D32" s="12">
        <v>0.2513888888888889</v>
      </c>
      <c r="E32" s="13">
        <v>0.2520833333333333</v>
      </c>
      <c r="F32" s="64">
        <v>9.0</v>
      </c>
      <c r="G32" s="65">
        <v>0.29444444444444445</v>
      </c>
      <c r="H32" s="66">
        <v>0.29444444444444445</v>
      </c>
      <c r="I32" s="11">
        <v>3.0</v>
      </c>
      <c r="J32" s="12">
        <v>0.34097222222222223</v>
      </c>
      <c r="K32" s="13">
        <v>0.3423611111111111</v>
      </c>
      <c r="L32" s="67">
        <v>1.0</v>
      </c>
      <c r="M32" s="12">
        <v>0.3951388888888889</v>
      </c>
      <c r="N32" s="12">
        <v>0.3958333333333333</v>
      </c>
      <c r="O32" s="38">
        <v>1.0</v>
      </c>
      <c r="P32" s="12">
        <v>0.43680555555555556</v>
      </c>
      <c r="Q32" s="13">
        <v>0.43680555555555556</v>
      </c>
      <c r="R32" s="11">
        <v>1.0</v>
      </c>
      <c r="S32" s="12">
        <v>0.47708333333333336</v>
      </c>
      <c r="T32" s="13">
        <v>0.47847222222222224</v>
      </c>
      <c r="U32" s="11">
        <v>1.0</v>
      </c>
      <c r="V32" s="12">
        <v>0.5097222222222222</v>
      </c>
      <c r="W32" s="13">
        <v>0.5111111111111111</v>
      </c>
      <c r="X32" s="11">
        <v>1.0</v>
      </c>
      <c r="Y32" s="12"/>
      <c r="Z32" s="13">
        <v>0.5743055555555555</v>
      </c>
      <c r="AA32" s="20">
        <v>1.0</v>
      </c>
      <c r="AB32" s="21">
        <v>0.6152777777777778</v>
      </c>
      <c r="AC32" s="22">
        <v>0.6166666666666667</v>
      </c>
      <c r="AD32" s="18">
        <v>1.0</v>
      </c>
      <c r="AE32" s="12">
        <v>0.6791666666666667</v>
      </c>
      <c r="AF32" s="23">
        <v>0.6833333333333333</v>
      </c>
      <c r="AG32" s="11">
        <v>1.0</v>
      </c>
      <c r="AH32" s="12">
        <v>0.7277777777777777</v>
      </c>
      <c r="AI32" s="13">
        <v>0.7284722222222222</v>
      </c>
      <c r="AJ32" s="14">
        <v>1.0</v>
      </c>
      <c r="AK32" s="15">
        <v>0.7868055555555555</v>
      </c>
      <c r="AL32" s="16">
        <v>0.7895833333333333</v>
      </c>
      <c r="AM32" s="11">
        <v>1.0</v>
      </c>
      <c r="AN32" s="12">
        <v>0.8229166666666666</v>
      </c>
      <c r="AO32" s="13">
        <v>0.8270833333333333</v>
      </c>
      <c r="AP32" s="11">
        <v>1.0</v>
      </c>
      <c r="AQ32" s="12">
        <v>0.8736111111111111</v>
      </c>
      <c r="AR32" s="13">
        <v>0.875</v>
      </c>
      <c r="AS32" s="11">
        <v>1.0</v>
      </c>
      <c r="AT32" s="12">
        <v>0.9458333333333333</v>
      </c>
      <c r="AU32" s="13">
        <v>0.95</v>
      </c>
      <c r="AV32" s="11">
        <v>1.0</v>
      </c>
      <c r="AW32" s="12">
        <v>0.004861111111111111</v>
      </c>
      <c r="AX32" s="13">
        <v>0.007638888888888889</v>
      </c>
      <c r="AY32" s="34">
        <f t="array" ref="AY32">XLOOKUP(B32,faclon_results_2022!$D:$D,faclon_results_2022!$A:$A,"DNF")</f>
        <v>1</v>
      </c>
      <c r="AZ32" s="12">
        <f t="shared" si="1"/>
        <v>1.050694444</v>
      </c>
      <c r="BA32" s="18">
        <f t="array" ref="BA32">XLOOKUP(B32,faclon_results_2022!$D:$D,faclon_results_2022!$J:$J)</f>
        <v>20.22406</v>
      </c>
    </row>
    <row r="33" ht="15.75" customHeight="1">
      <c r="A33" s="7"/>
      <c r="B33" s="47">
        <v>538.0</v>
      </c>
      <c r="C33" s="11">
        <v>122.0</v>
      </c>
      <c r="D33" s="12">
        <v>0.2701388888888889</v>
      </c>
      <c r="E33" s="13">
        <v>0.2708333333333333</v>
      </c>
      <c r="F33" s="64">
        <v>127.0</v>
      </c>
      <c r="G33" s="65">
        <v>0.3326388888888889</v>
      </c>
      <c r="H33" s="66">
        <v>0.3326388888888889</v>
      </c>
      <c r="I33" s="11">
        <v>136.0</v>
      </c>
      <c r="J33" s="12">
        <v>0.4083333333333333</v>
      </c>
      <c r="K33" s="13">
        <v>0.41597222222222224</v>
      </c>
      <c r="L33" s="67">
        <v>131.0</v>
      </c>
      <c r="M33" s="12">
        <v>0.5048611111111111</v>
      </c>
      <c r="N33" s="13">
        <v>0.5097222222222222</v>
      </c>
      <c r="O33" s="38">
        <v>123.0</v>
      </c>
      <c r="P33" s="12">
        <v>0.5798611111111112</v>
      </c>
      <c r="Q33" s="13">
        <v>0.5833333333333334</v>
      </c>
      <c r="R33" s="11">
        <v>119.0</v>
      </c>
      <c r="S33" s="12">
        <v>0.6534722222222222</v>
      </c>
      <c r="T33" s="13">
        <v>0.6604166666666667</v>
      </c>
      <c r="U33" s="11">
        <v>117.0</v>
      </c>
      <c r="V33" s="12">
        <v>0.70625</v>
      </c>
      <c r="W33" s="13">
        <v>0.71875</v>
      </c>
      <c r="X33" s="11">
        <v>109.0</v>
      </c>
      <c r="Y33" s="12"/>
      <c r="Z33" s="13">
        <v>0.8277777777777777</v>
      </c>
      <c r="AA33" s="20">
        <v>107.0</v>
      </c>
      <c r="AB33" s="21">
        <v>0.8923611111111112</v>
      </c>
      <c r="AC33" s="22">
        <v>0.8965277777777778</v>
      </c>
      <c r="AD33" s="18">
        <v>104.0</v>
      </c>
      <c r="AE33" s="12">
        <v>0.003472222222222222</v>
      </c>
      <c r="AF33" s="23">
        <v>0.02638888888888889</v>
      </c>
      <c r="AG33" s="11">
        <v>103.0</v>
      </c>
      <c r="AH33" s="12">
        <v>0.09861111111111111</v>
      </c>
      <c r="AI33" s="13">
        <v>0.10486111111111111</v>
      </c>
      <c r="AJ33" s="14">
        <v>93.0</v>
      </c>
      <c r="AK33" s="15">
        <v>0.20069444444444445</v>
      </c>
      <c r="AL33" s="16">
        <v>0.20555555555555555</v>
      </c>
      <c r="AM33" s="11">
        <v>87.0</v>
      </c>
      <c r="AN33" s="12">
        <v>0.26805555555555555</v>
      </c>
      <c r="AO33" s="13">
        <v>0.28402777777777777</v>
      </c>
      <c r="AP33" s="11">
        <v>84.0</v>
      </c>
      <c r="AQ33" s="12">
        <v>0.34930555555555554</v>
      </c>
      <c r="AR33" s="13">
        <v>0.3527777777777778</v>
      </c>
      <c r="AS33" s="11">
        <v>79.0</v>
      </c>
      <c r="AT33" s="12">
        <v>0.4534722222222222</v>
      </c>
      <c r="AU33" s="13">
        <v>0.4583333333333333</v>
      </c>
      <c r="AV33" s="11">
        <v>75.0</v>
      </c>
      <c r="AW33" s="12">
        <v>0.5347222222222222</v>
      </c>
      <c r="AX33" s="13">
        <v>0.5361111111111111</v>
      </c>
      <c r="AY33" s="34">
        <f t="array" ref="AY33">XLOOKUP(B33,faclon_results_2022!$D:$D,faclon_results_2022!$A:$A,"DNF")</f>
        <v>74</v>
      </c>
      <c r="AZ33" s="12">
        <f t="shared" si="1"/>
        <v>0.5881944444</v>
      </c>
      <c r="BA33" s="18">
        <f t="array" ref="BA33">XLOOKUP(B33,faclon_results_2022!$D:$D,faclon_results_2022!$J:$J)</f>
        <v>33.12458</v>
      </c>
    </row>
    <row r="34" ht="15.75" customHeight="1">
      <c r="A34" s="7"/>
      <c r="B34" s="47">
        <v>539.0</v>
      </c>
      <c r="C34" s="11">
        <v>182.0</v>
      </c>
      <c r="D34" s="12">
        <v>0.2777777777777778</v>
      </c>
      <c r="E34" s="13">
        <v>0.27847222222222223</v>
      </c>
      <c r="F34" s="64">
        <v>184.0</v>
      </c>
      <c r="G34" s="65">
        <v>0.3458333333333333</v>
      </c>
      <c r="H34" s="66">
        <v>0.3458333333333333</v>
      </c>
      <c r="I34" s="11">
        <v>177.0</v>
      </c>
      <c r="J34" s="12">
        <v>0.42430555555555555</v>
      </c>
      <c r="K34" s="13">
        <v>0.42986111111111114</v>
      </c>
      <c r="L34" s="67">
        <v>163.0</v>
      </c>
      <c r="M34" s="12">
        <v>0.5270833333333333</v>
      </c>
      <c r="N34" s="13">
        <v>0.5298611111111111</v>
      </c>
      <c r="O34" s="38">
        <v>169.0</v>
      </c>
      <c r="P34" s="12">
        <v>0.6131944444444445</v>
      </c>
      <c r="Q34" s="13">
        <v>0.625</v>
      </c>
      <c r="R34" s="11">
        <v>181.0</v>
      </c>
      <c r="S34" s="12">
        <v>0.7166666666666667</v>
      </c>
      <c r="T34" s="13">
        <v>0.7208333333333333</v>
      </c>
      <c r="U34" s="11">
        <v>189.0</v>
      </c>
      <c r="V34" s="12">
        <v>0.80625</v>
      </c>
      <c r="W34" s="13">
        <v>0.8277777777777777</v>
      </c>
      <c r="X34" s="11"/>
      <c r="Y34" s="12"/>
      <c r="Z34" s="13"/>
      <c r="AA34" s="20"/>
      <c r="AB34" s="20"/>
      <c r="AC34" s="70"/>
      <c r="AD34" s="18"/>
      <c r="AE34" s="18"/>
      <c r="AF34" s="47"/>
      <c r="AG34" s="11"/>
      <c r="AH34" s="18"/>
      <c r="AI34" s="38"/>
      <c r="AJ34" s="68"/>
      <c r="AK34" s="68"/>
      <c r="AL34" s="69"/>
      <c r="AM34" s="11"/>
      <c r="AN34" s="12"/>
      <c r="AO34" s="13"/>
      <c r="AP34" s="11"/>
      <c r="AQ34" s="12"/>
      <c r="AR34" s="13"/>
      <c r="AS34" s="11"/>
      <c r="AT34" s="12"/>
      <c r="AU34" s="13"/>
      <c r="AV34" s="11"/>
      <c r="AW34" s="12"/>
      <c r="AX34" s="13"/>
      <c r="AY34" s="34" t="str">
        <f t="array" ref="AY34">XLOOKUP(B34,faclon_results_2022!$D:$D,faclon_results_2022!$A:$A,"DNF")</f>
        <v>DNF</v>
      </c>
      <c r="AZ34" s="12" t="str">
        <f t="shared" si="1"/>
        <v>#N/A</v>
      </c>
      <c r="BA34" s="18" t="str">
        <f t="array" ref="BA34">XLOOKUP(B34,faclon_results_2022!$D:$D,faclon_results_2022!$J:$J)</f>
        <v>#N/A</v>
      </c>
    </row>
    <row r="35" ht="15.75" customHeight="1">
      <c r="A35" s="7"/>
      <c r="B35" s="47">
        <v>540.0</v>
      </c>
      <c r="C35" s="11">
        <v>193.0</v>
      </c>
      <c r="D35" s="12">
        <v>0.28125</v>
      </c>
      <c r="E35" s="13">
        <v>0.28194444444444444</v>
      </c>
      <c r="F35" s="64">
        <v>189.0</v>
      </c>
      <c r="G35" s="65">
        <v>0.35347222222222224</v>
      </c>
      <c r="H35" s="66">
        <v>0.35347222222222224</v>
      </c>
      <c r="I35" s="11">
        <v>194.0</v>
      </c>
      <c r="J35" s="12">
        <v>0.44305555555555554</v>
      </c>
      <c r="K35" s="13">
        <v>0.45208333333333334</v>
      </c>
      <c r="L35" s="67">
        <v>188.0</v>
      </c>
      <c r="M35" s="12">
        <v>0.5576388888888889</v>
      </c>
      <c r="N35" s="12">
        <v>0.5597222222222222</v>
      </c>
      <c r="O35" s="38">
        <v>188.0</v>
      </c>
      <c r="P35" s="12">
        <v>0.6486111111111111</v>
      </c>
      <c r="Q35" s="13">
        <v>0.65</v>
      </c>
      <c r="R35" s="11">
        <v>185.0</v>
      </c>
      <c r="S35" s="12">
        <v>0.7305555555555555</v>
      </c>
      <c r="T35" s="13">
        <v>0.7326388888888888</v>
      </c>
      <c r="U35" s="11">
        <v>182.0</v>
      </c>
      <c r="V35" s="12">
        <v>0.7951388888888888</v>
      </c>
      <c r="W35" s="13">
        <v>0.8104166666666667</v>
      </c>
      <c r="X35" s="11">
        <v>174.0</v>
      </c>
      <c r="Y35" s="12"/>
      <c r="Z35" s="13">
        <v>0.9527777777777777</v>
      </c>
      <c r="AA35" s="20" t="s">
        <v>178</v>
      </c>
      <c r="AB35" s="71"/>
      <c r="AC35" s="70"/>
      <c r="AD35" s="18"/>
      <c r="AE35" s="18"/>
      <c r="AF35" s="47"/>
      <c r="AG35" s="11"/>
      <c r="AH35" s="18"/>
      <c r="AI35" s="38"/>
      <c r="AJ35" s="68"/>
      <c r="AK35" s="68"/>
      <c r="AL35" s="69"/>
      <c r="AM35" s="11"/>
      <c r="AN35" s="12"/>
      <c r="AO35" s="13"/>
      <c r="AP35" s="11"/>
      <c r="AQ35" s="12"/>
      <c r="AR35" s="13"/>
      <c r="AS35" s="11"/>
      <c r="AT35" s="12"/>
      <c r="AU35" s="13"/>
      <c r="AV35" s="11"/>
      <c r="AW35" s="12"/>
      <c r="AX35" s="13"/>
      <c r="AY35" s="34" t="str">
        <f t="array" ref="AY35">XLOOKUP(B35,faclon_results_2022!$D:$D,faclon_results_2022!$A:$A,"DNF")</f>
        <v>DNF</v>
      </c>
      <c r="AZ35" s="12" t="str">
        <f t="shared" si="1"/>
        <v>#N/A</v>
      </c>
      <c r="BA35" s="18" t="str">
        <f t="array" ref="BA35">XLOOKUP(B35,faclon_results_2022!$D:$D,faclon_results_2022!$J:$J)</f>
        <v>#N/A</v>
      </c>
    </row>
    <row r="36" ht="15.75" customHeight="1">
      <c r="A36" s="7"/>
      <c r="B36" s="47">
        <v>541.0</v>
      </c>
      <c r="C36" s="11">
        <v>155.0</v>
      </c>
      <c r="D36" s="12">
        <v>0.2743055555555556</v>
      </c>
      <c r="E36" s="13">
        <v>0.275</v>
      </c>
      <c r="F36" s="64">
        <v>103.0</v>
      </c>
      <c r="G36" s="65">
        <v>0.32569444444444445</v>
      </c>
      <c r="H36" s="66">
        <v>0.32569444444444445</v>
      </c>
      <c r="I36" s="11">
        <v>183.0</v>
      </c>
      <c r="J36" s="12">
        <v>0.42777777777777776</v>
      </c>
      <c r="K36" s="13">
        <v>0.4326388888888889</v>
      </c>
      <c r="L36" s="67">
        <v>187.0</v>
      </c>
      <c r="M36" s="12">
        <v>0.5493055555555556</v>
      </c>
      <c r="N36" s="13">
        <v>0.5527777777777778</v>
      </c>
      <c r="O36" s="38">
        <v>186.0</v>
      </c>
      <c r="P36" s="12">
        <v>0.6375</v>
      </c>
      <c r="Q36" s="13">
        <v>0.6416666666666667</v>
      </c>
      <c r="R36" s="11">
        <v>184.0</v>
      </c>
      <c r="S36" s="12">
        <v>0.7277777777777777</v>
      </c>
      <c r="T36" s="13">
        <v>0.7305555555555555</v>
      </c>
      <c r="U36" s="11">
        <v>185.0</v>
      </c>
      <c r="V36" s="12">
        <v>0.7972222222222223</v>
      </c>
      <c r="W36" s="38" t="s">
        <v>178</v>
      </c>
      <c r="X36" s="11"/>
      <c r="Y36" s="12"/>
      <c r="Z36" s="13"/>
      <c r="AA36" s="20"/>
      <c r="AB36" s="71"/>
      <c r="AC36" s="56"/>
      <c r="AD36" s="18"/>
      <c r="AE36" s="18"/>
      <c r="AF36" s="47"/>
      <c r="AG36" s="11"/>
      <c r="AH36" s="18"/>
      <c r="AI36" s="38"/>
      <c r="AJ36" s="68"/>
      <c r="AK36" s="68"/>
      <c r="AL36" s="69"/>
      <c r="AM36" s="11"/>
      <c r="AN36" s="12"/>
      <c r="AO36" s="13"/>
      <c r="AP36" s="11"/>
      <c r="AQ36" s="12"/>
      <c r="AR36" s="13"/>
      <c r="AS36" s="11"/>
      <c r="AT36" s="12"/>
      <c r="AU36" s="13"/>
      <c r="AV36" s="11"/>
      <c r="AW36" s="12"/>
      <c r="AX36" s="13"/>
      <c r="AY36" s="34" t="str">
        <f t="array" ref="AY36">XLOOKUP(B36,faclon_results_2022!$D:$D,faclon_results_2022!$A:$A,"DNF")</f>
        <v>DNF</v>
      </c>
      <c r="AZ36" s="12" t="str">
        <f t="shared" si="1"/>
        <v>#N/A</v>
      </c>
      <c r="BA36" s="18" t="str">
        <f t="array" ref="BA36">XLOOKUP(B36,faclon_results_2022!$D:$D,faclon_results_2022!$J:$J)</f>
        <v>#N/A</v>
      </c>
    </row>
    <row r="37" ht="15.75" customHeight="1">
      <c r="A37" s="7"/>
      <c r="B37" s="47">
        <v>542.0</v>
      </c>
      <c r="C37" s="11">
        <v>145.0</v>
      </c>
      <c r="D37" s="12">
        <v>0.27152777777777776</v>
      </c>
      <c r="E37" s="13">
        <v>0.2722222222222222</v>
      </c>
      <c r="F37" s="64">
        <v>156.0</v>
      </c>
      <c r="G37" s="65">
        <v>0.33819444444444446</v>
      </c>
      <c r="H37" s="66">
        <v>0.33819444444444446</v>
      </c>
      <c r="I37" s="11">
        <v>114.0</v>
      </c>
      <c r="J37" s="12">
        <v>0.40069444444444446</v>
      </c>
      <c r="K37" s="13">
        <v>0.4097222222222222</v>
      </c>
      <c r="L37" s="67">
        <v>138.0</v>
      </c>
      <c r="M37" s="12">
        <v>0.5055555555555555</v>
      </c>
      <c r="N37" s="13">
        <v>0.5118055555555555</v>
      </c>
      <c r="O37" s="38">
        <v>150.0</v>
      </c>
      <c r="P37" s="12">
        <v>0.5944444444444444</v>
      </c>
      <c r="Q37" s="13">
        <v>0.5993055555555555</v>
      </c>
      <c r="R37" s="11">
        <v>148.0</v>
      </c>
      <c r="S37" s="12">
        <v>0.6770833333333334</v>
      </c>
      <c r="T37" s="13">
        <v>0.6868055555555556</v>
      </c>
      <c r="U37" s="11">
        <v>158.0</v>
      </c>
      <c r="V37" s="12">
        <v>0.74375</v>
      </c>
      <c r="W37" s="13">
        <v>0.7631944444444444</v>
      </c>
      <c r="X37" s="11"/>
      <c r="Y37" s="12"/>
      <c r="Z37" s="13"/>
      <c r="AA37" s="20"/>
      <c r="AB37" s="71"/>
      <c r="AC37" s="70"/>
      <c r="AD37" s="18"/>
      <c r="AE37" s="18"/>
      <c r="AF37" s="47"/>
      <c r="AG37" s="11"/>
      <c r="AH37" s="12"/>
      <c r="AI37" s="13"/>
      <c r="AJ37" s="68"/>
      <c r="AK37" s="68"/>
      <c r="AL37" s="69"/>
      <c r="AM37" s="11"/>
      <c r="AN37" s="12"/>
      <c r="AO37" s="13"/>
      <c r="AP37" s="11"/>
      <c r="AQ37" s="12"/>
      <c r="AR37" s="13"/>
      <c r="AS37" s="11"/>
      <c r="AT37" s="12"/>
      <c r="AU37" s="13"/>
      <c r="AV37" s="11"/>
      <c r="AW37" s="12"/>
      <c r="AX37" s="13"/>
      <c r="AY37" s="34" t="str">
        <f t="array" ref="AY37">XLOOKUP(B37,faclon_results_2022!$D:$D,faclon_results_2022!$A:$A,"DNF")</f>
        <v>DNF</v>
      </c>
      <c r="AZ37" s="12" t="str">
        <f t="shared" si="1"/>
        <v>#N/A</v>
      </c>
      <c r="BA37" s="18" t="str">
        <f t="array" ref="BA37">XLOOKUP(B37,faclon_results_2022!$D:$D,faclon_results_2022!$J:$J)</f>
        <v>#N/A</v>
      </c>
    </row>
    <row r="38" ht="15.75" customHeight="1">
      <c r="A38" s="7"/>
      <c r="B38" s="47">
        <v>543.0</v>
      </c>
      <c r="C38" s="11">
        <v>26.0</v>
      </c>
      <c r="D38" s="12">
        <v>0.25972222222222224</v>
      </c>
      <c r="E38" s="13">
        <v>0.2604166666666667</v>
      </c>
      <c r="F38" s="64"/>
      <c r="G38" s="65"/>
      <c r="H38" s="66"/>
      <c r="I38" s="11">
        <v>24.0</v>
      </c>
      <c r="J38" s="12">
        <v>0.3638888888888889</v>
      </c>
      <c r="K38" s="13">
        <v>0.36736111111111114</v>
      </c>
      <c r="L38" s="67">
        <v>19.0</v>
      </c>
      <c r="M38" s="12">
        <v>0.4354166666666667</v>
      </c>
      <c r="N38" s="13">
        <v>0.4375</v>
      </c>
      <c r="O38" s="38">
        <v>16.0</v>
      </c>
      <c r="P38" s="12">
        <v>0.49236111111111114</v>
      </c>
      <c r="Q38" s="13">
        <v>0.4951388888888889</v>
      </c>
      <c r="R38" s="11">
        <v>16.0</v>
      </c>
      <c r="S38" s="12">
        <v>0.5486111111111112</v>
      </c>
      <c r="T38" s="13">
        <v>0.5513888888888889</v>
      </c>
      <c r="U38" s="11">
        <v>16.0</v>
      </c>
      <c r="V38" s="12">
        <v>0.5909722222222222</v>
      </c>
      <c r="W38" s="13">
        <v>0.6020833333333333</v>
      </c>
      <c r="X38" s="11">
        <v>17.0</v>
      </c>
      <c r="Y38" s="12"/>
      <c r="Z38" s="13">
        <v>0.6909722222222222</v>
      </c>
      <c r="AA38" s="20">
        <v>14.0</v>
      </c>
      <c r="AB38" s="21">
        <v>0.7402777777777778</v>
      </c>
      <c r="AC38" s="22">
        <v>0.7430555555555556</v>
      </c>
      <c r="AD38" s="18">
        <v>12.0</v>
      </c>
      <c r="AE38" s="12">
        <v>0.8159722222222222</v>
      </c>
      <c r="AF38" s="23">
        <v>0.8243055555555555</v>
      </c>
      <c r="AG38" s="11">
        <v>12.0</v>
      </c>
      <c r="AH38" s="12">
        <v>0.875</v>
      </c>
      <c r="AI38" s="13">
        <v>0.8805555555555555</v>
      </c>
      <c r="AJ38" s="14">
        <v>10.0</v>
      </c>
      <c r="AK38" s="15">
        <v>0.9465277777777777</v>
      </c>
      <c r="AL38" s="16">
        <v>0.9520833333333333</v>
      </c>
      <c r="AM38" s="11">
        <v>9.0</v>
      </c>
      <c r="AN38" s="12">
        <v>0.9909722222222223</v>
      </c>
      <c r="AO38" s="13">
        <v>0.9958333333333333</v>
      </c>
      <c r="AP38" s="11">
        <v>8.0</v>
      </c>
      <c r="AQ38" s="12">
        <v>0.049305555555555554</v>
      </c>
      <c r="AR38" s="13">
        <v>0.052083333333333336</v>
      </c>
      <c r="AS38" s="11">
        <v>7.0</v>
      </c>
      <c r="AT38" s="12">
        <v>0.1388888888888889</v>
      </c>
      <c r="AU38" s="13">
        <v>0.1423611111111111</v>
      </c>
      <c r="AV38" s="11">
        <v>7.0</v>
      </c>
      <c r="AW38" s="12">
        <v>0.25833333333333336</v>
      </c>
      <c r="AX38" s="13">
        <v>0.21875</v>
      </c>
      <c r="AY38" s="34">
        <f t="array" ref="AY38">XLOOKUP(B38,faclon_results_2022!$D:$D,faclon_results_2022!$A:$A,"DNF")</f>
        <v>7</v>
      </c>
      <c r="AZ38" s="12">
        <f t="shared" si="1"/>
        <v>0.2666666667</v>
      </c>
      <c r="BA38" s="18">
        <f t="array" ref="BA38">XLOOKUP(B38,faclon_results_2022!$D:$D,faclon_results_2022!$J:$J)</f>
        <v>25.40303</v>
      </c>
    </row>
    <row r="39" ht="15.75" customHeight="1">
      <c r="A39" s="7"/>
      <c r="B39" s="47">
        <v>545.0</v>
      </c>
      <c r="C39" s="11">
        <v>143.0</v>
      </c>
      <c r="D39" s="12">
        <v>0.27152777777777776</v>
      </c>
      <c r="E39" s="13">
        <v>0.2722222222222222</v>
      </c>
      <c r="F39" s="64"/>
      <c r="G39" s="65"/>
      <c r="H39" s="66"/>
      <c r="I39" s="11"/>
      <c r="J39" s="12"/>
      <c r="K39" s="38"/>
      <c r="L39" s="67">
        <v>147.0</v>
      </c>
      <c r="M39" s="12">
        <v>0.5138888888888888</v>
      </c>
      <c r="N39" s="13">
        <v>0.5173611111111112</v>
      </c>
      <c r="O39" s="38">
        <v>143.0</v>
      </c>
      <c r="P39" s="12">
        <v>0.5916666666666667</v>
      </c>
      <c r="Q39" s="13">
        <v>0.5951388888888889</v>
      </c>
      <c r="R39" s="11">
        <v>143.0</v>
      </c>
      <c r="S39" s="12">
        <v>0.6673611111111111</v>
      </c>
      <c r="T39" s="13">
        <v>0.6694444444444444</v>
      </c>
      <c r="U39" s="11">
        <v>135.0</v>
      </c>
      <c r="V39" s="12">
        <v>0.71875</v>
      </c>
      <c r="W39" s="13">
        <v>0.7298611111111111</v>
      </c>
      <c r="X39" s="11">
        <v>121.0</v>
      </c>
      <c r="Y39" s="12"/>
      <c r="Z39" s="13">
        <v>0.8423611111111111</v>
      </c>
      <c r="AA39" s="20">
        <v>119.0</v>
      </c>
      <c r="AB39" s="21">
        <v>0.9097222222222222</v>
      </c>
      <c r="AC39" s="22">
        <v>0.9166666666666666</v>
      </c>
      <c r="AD39" s="18">
        <v>117.0</v>
      </c>
      <c r="AE39" s="12">
        <v>0.027777777777777776</v>
      </c>
      <c r="AF39" s="23">
        <v>0.03819444444444445</v>
      </c>
      <c r="AG39" s="11">
        <v>111.0</v>
      </c>
      <c r="AH39" s="12">
        <v>0.11666666666666667</v>
      </c>
      <c r="AI39" s="13">
        <v>0.12013888888888889</v>
      </c>
      <c r="AJ39" s="14">
        <v>111.0</v>
      </c>
      <c r="AK39" s="15">
        <v>0.2361111111111111</v>
      </c>
      <c r="AL39" s="16">
        <v>0.24027777777777778</v>
      </c>
      <c r="AM39" s="11">
        <v>104.0</v>
      </c>
      <c r="AN39" s="12">
        <v>0.2972222222222222</v>
      </c>
      <c r="AO39" s="13">
        <v>0.3055555555555556</v>
      </c>
      <c r="AP39" s="11">
        <v>100.0</v>
      </c>
      <c r="AQ39" s="12">
        <v>0.3715277777777778</v>
      </c>
      <c r="AR39" s="13">
        <v>0.3763888888888889</v>
      </c>
      <c r="AS39" s="11">
        <v>95.0</v>
      </c>
      <c r="AT39" s="12">
        <v>0.48125</v>
      </c>
      <c r="AU39" s="13">
        <v>0.4861111111111111</v>
      </c>
      <c r="AV39" s="11">
        <v>93.0</v>
      </c>
      <c r="AW39" s="12">
        <v>0.06388888888888888</v>
      </c>
      <c r="AX39" s="13">
        <v>0.06597222222222222</v>
      </c>
      <c r="AY39" s="34">
        <f t="array" ref="AY39">XLOOKUP(B39,faclon_results_2022!$D:$D,faclon_results_2022!$A:$A,"DNF")</f>
        <v>88</v>
      </c>
      <c r="AZ39" s="12">
        <f t="shared" si="1"/>
        <v>0.61875</v>
      </c>
      <c r="BA39" s="18">
        <f t="array" ref="BA39">XLOOKUP(B39,faclon_results_2022!$D:$D,faclon_results_2022!$J:$J)</f>
        <v>33.86131</v>
      </c>
    </row>
    <row r="40" ht="15.75" customHeight="1">
      <c r="A40" s="7"/>
      <c r="B40" s="47">
        <v>546.0</v>
      </c>
      <c r="C40" s="11">
        <v>100.0</v>
      </c>
      <c r="D40" s="12">
        <v>0.26805555555555555</v>
      </c>
      <c r="E40" s="13">
        <v>0.26875</v>
      </c>
      <c r="F40" s="64"/>
      <c r="G40" s="65"/>
      <c r="H40" s="66"/>
      <c r="I40" s="11">
        <v>84.0</v>
      </c>
      <c r="J40" s="12">
        <v>0.38819444444444445</v>
      </c>
      <c r="K40" s="13">
        <v>0.39166666666666666</v>
      </c>
      <c r="L40" s="67">
        <v>69.0</v>
      </c>
      <c r="M40" s="12">
        <v>0.4722222222222222</v>
      </c>
      <c r="N40" s="13">
        <v>0.4756944444444444</v>
      </c>
      <c r="O40" s="38">
        <v>65.0</v>
      </c>
      <c r="P40" s="12">
        <v>0.5388888888888889</v>
      </c>
      <c r="Q40" s="13">
        <v>0.5409722222222222</v>
      </c>
      <c r="R40" s="11">
        <v>66.0</v>
      </c>
      <c r="S40" s="12">
        <v>0.60625</v>
      </c>
      <c r="T40" s="13">
        <v>0.6083333333333333</v>
      </c>
      <c r="U40" s="11">
        <v>71.0</v>
      </c>
      <c r="V40" s="12">
        <v>0.6631944444444444</v>
      </c>
      <c r="W40" s="13">
        <v>0.6708333333333333</v>
      </c>
      <c r="X40" s="11">
        <v>72.0</v>
      </c>
      <c r="Y40" s="12"/>
      <c r="Z40" s="13">
        <v>0.7791666666666667</v>
      </c>
      <c r="AA40" s="20">
        <v>70.0</v>
      </c>
      <c r="AB40" s="21">
        <v>0.8388888888888889</v>
      </c>
      <c r="AC40" s="22">
        <v>0.8430555555555556</v>
      </c>
      <c r="AD40" s="18">
        <v>63.0</v>
      </c>
      <c r="AE40" s="12">
        <v>0.93125</v>
      </c>
      <c r="AF40" s="23">
        <v>0.9402777777777778</v>
      </c>
      <c r="AG40" s="11">
        <v>56.0</v>
      </c>
      <c r="AH40" s="12">
        <v>0.011805555555555555</v>
      </c>
      <c r="AI40" s="13">
        <v>0.01875</v>
      </c>
      <c r="AJ40" s="14">
        <v>54.0</v>
      </c>
      <c r="AK40" s="15">
        <v>0.11041666666666666</v>
      </c>
      <c r="AL40" s="16">
        <v>0.11597222222222223</v>
      </c>
      <c r="AM40" s="11">
        <v>51.0</v>
      </c>
      <c r="AN40" s="12">
        <v>0.17222222222222222</v>
      </c>
      <c r="AO40" s="13">
        <v>0.18125</v>
      </c>
      <c r="AP40" s="11">
        <v>50.0</v>
      </c>
      <c r="AQ40" s="12">
        <v>0.2548611111111111</v>
      </c>
      <c r="AR40" s="13">
        <v>0.2590277777777778</v>
      </c>
      <c r="AS40" s="11">
        <v>50.0</v>
      </c>
      <c r="AT40" s="12">
        <v>0.35347222222222224</v>
      </c>
      <c r="AU40" s="13">
        <v>0.35833333333333334</v>
      </c>
      <c r="AV40" s="11">
        <v>49.0</v>
      </c>
      <c r="AW40" s="12">
        <v>0.4305555555555556</v>
      </c>
      <c r="AX40" s="13">
        <v>0.4340277777777778</v>
      </c>
      <c r="AY40" s="34">
        <f t="array" ref="AY40">XLOOKUP(B40,faclon_results_2022!$D:$D,faclon_results_2022!$A:$A,"DNF")</f>
        <v>48</v>
      </c>
      <c r="AZ40" s="12">
        <f t="shared" si="1"/>
        <v>0.4819444444</v>
      </c>
      <c r="BA40" s="18">
        <f t="array" ref="BA40">XLOOKUP(B40,faclon_results_2022!$D:$D,faclon_results_2022!$J:$J)</f>
        <v>30.58263</v>
      </c>
    </row>
    <row r="41" ht="15.75" customHeight="1">
      <c r="A41" s="7"/>
      <c r="B41" s="47">
        <v>547.0</v>
      </c>
      <c r="C41" s="11">
        <v>107.0</v>
      </c>
      <c r="D41" s="12">
        <v>0.26944444444444443</v>
      </c>
      <c r="E41" s="13">
        <v>0.2701388888888889</v>
      </c>
      <c r="F41" s="64">
        <v>87.0</v>
      </c>
      <c r="G41" s="65">
        <v>0.32430555555555557</v>
      </c>
      <c r="H41" s="66">
        <v>0.32430555555555557</v>
      </c>
      <c r="I41" s="11">
        <v>102.0</v>
      </c>
      <c r="J41" s="12">
        <v>0.39652777777777776</v>
      </c>
      <c r="K41" s="13">
        <v>0.40208333333333335</v>
      </c>
      <c r="L41" s="67">
        <v>97.0</v>
      </c>
      <c r="M41" s="12">
        <v>0.48541666666666666</v>
      </c>
      <c r="N41" s="13">
        <v>0.4888888888888889</v>
      </c>
      <c r="O41" s="38">
        <v>86.0</v>
      </c>
      <c r="P41" s="12">
        <v>0.5548611111111111</v>
      </c>
      <c r="Q41" s="13">
        <v>0.5569444444444445</v>
      </c>
      <c r="R41" s="11">
        <v>85.0</v>
      </c>
      <c r="S41" s="12">
        <v>0.625</v>
      </c>
      <c r="T41" s="13">
        <v>0.6270833333333333</v>
      </c>
      <c r="U41" s="11">
        <v>91.0</v>
      </c>
      <c r="V41" s="12">
        <v>0.6798611111111111</v>
      </c>
      <c r="W41" s="13">
        <v>0.6868055555555556</v>
      </c>
      <c r="X41" s="11">
        <v>78.0</v>
      </c>
      <c r="Y41" s="12"/>
      <c r="Z41" s="13">
        <v>0.7819444444444444</v>
      </c>
      <c r="AA41" s="20">
        <v>76.0</v>
      </c>
      <c r="AB41" s="21">
        <v>0.8402777777777778</v>
      </c>
      <c r="AC41" s="22">
        <v>0.8451388888888889</v>
      </c>
      <c r="AD41" s="18">
        <v>72.0</v>
      </c>
      <c r="AE41" s="12">
        <v>0.9458333333333333</v>
      </c>
      <c r="AF41" s="23">
        <v>0.9527777777777777</v>
      </c>
      <c r="AG41" s="11">
        <v>67.0</v>
      </c>
      <c r="AH41" s="12">
        <v>0.024305555555555556</v>
      </c>
      <c r="AI41" s="13">
        <v>0.027083333333333334</v>
      </c>
      <c r="AJ41" s="14">
        <v>61.0</v>
      </c>
      <c r="AK41" s="15">
        <v>0.13194444444444445</v>
      </c>
      <c r="AL41" s="16">
        <v>0.13541666666666666</v>
      </c>
      <c r="AM41" s="11">
        <v>60.0</v>
      </c>
      <c r="AN41" s="12">
        <v>0.20208333333333334</v>
      </c>
      <c r="AO41" s="13">
        <v>0.20833333333333334</v>
      </c>
      <c r="AP41" s="11">
        <v>57.0</v>
      </c>
      <c r="AQ41" s="12">
        <v>0.2791666666666667</v>
      </c>
      <c r="AR41" s="13">
        <v>0.28194444444444444</v>
      </c>
      <c r="AS41" s="11">
        <v>54.0</v>
      </c>
      <c r="AT41" s="12">
        <v>0.39652777777777776</v>
      </c>
      <c r="AU41" s="13">
        <v>0.4</v>
      </c>
      <c r="AV41" s="11">
        <v>57.0</v>
      </c>
      <c r="AW41" s="12">
        <v>0.4909722222222222</v>
      </c>
      <c r="AX41" s="13">
        <v>0.49236111111111114</v>
      </c>
      <c r="AY41" s="34">
        <f t="array" ref="AY41">XLOOKUP(B41,faclon_results_2022!$D:$D,faclon_results_2022!$A:$A,"DNF")</f>
        <v>58</v>
      </c>
      <c r="AZ41" s="12">
        <f t="shared" si="1"/>
        <v>0.5402777778</v>
      </c>
      <c r="BA41" s="18">
        <f t="array" ref="BA41">XLOOKUP(B41,faclon_results_2022!$D:$D,faclon_results_2022!$J:$J)</f>
        <v>31.97675</v>
      </c>
    </row>
    <row r="42" ht="15.75" customHeight="1">
      <c r="A42" s="7"/>
      <c r="B42" s="47">
        <v>548.0</v>
      </c>
      <c r="C42" s="11"/>
      <c r="D42" s="12"/>
      <c r="E42" s="13"/>
      <c r="F42" s="64">
        <v>104.0</v>
      </c>
      <c r="G42" s="65">
        <v>0.32569444444444445</v>
      </c>
      <c r="H42" s="66">
        <v>0.32569444444444445</v>
      </c>
      <c r="I42" s="11">
        <v>130.0</v>
      </c>
      <c r="J42" s="12">
        <v>0.40555555555555556</v>
      </c>
      <c r="K42" s="13">
        <v>0.4097222222222222</v>
      </c>
      <c r="L42" s="67">
        <v>123.0</v>
      </c>
      <c r="M42" s="30">
        <v>0.5013888888888889</v>
      </c>
      <c r="N42" s="35">
        <v>0.5055555555555555</v>
      </c>
      <c r="O42" s="38">
        <v>117.0</v>
      </c>
      <c r="P42" s="12">
        <v>0.5784722222222223</v>
      </c>
      <c r="Q42" s="13">
        <v>0.5819444444444445</v>
      </c>
      <c r="R42" s="11">
        <v>122.0</v>
      </c>
      <c r="S42" s="12">
        <v>0.65625</v>
      </c>
      <c r="T42" s="13">
        <v>0.6597222222222222</v>
      </c>
      <c r="U42" s="11">
        <v>126.0</v>
      </c>
      <c r="V42" s="12">
        <v>0.7111111111111111</v>
      </c>
      <c r="W42" s="13">
        <v>0.7180555555555556</v>
      </c>
      <c r="X42" s="11">
        <v>114.0</v>
      </c>
      <c r="Y42" s="12"/>
      <c r="Z42" s="13">
        <v>0.8319444444444445</v>
      </c>
      <c r="AA42" s="20">
        <v>112.0</v>
      </c>
      <c r="AB42" s="21">
        <v>0.9027777777777778</v>
      </c>
      <c r="AC42" s="22">
        <v>0.9083333333333333</v>
      </c>
      <c r="AD42" s="18">
        <v>107.0</v>
      </c>
      <c r="AE42" s="12">
        <v>0.01597222222222222</v>
      </c>
      <c r="AF42" s="23">
        <v>0.024305555555555556</v>
      </c>
      <c r="AG42" s="11">
        <v>104.0</v>
      </c>
      <c r="AH42" s="12">
        <v>0.09930555555555555</v>
      </c>
      <c r="AI42" s="13">
        <v>0.10416666666666667</v>
      </c>
      <c r="AJ42" s="14">
        <v>100.0</v>
      </c>
      <c r="AK42" s="15">
        <v>0.20347222222222222</v>
      </c>
      <c r="AL42" s="16">
        <v>0.20625</v>
      </c>
      <c r="AM42" s="11">
        <v>83.0</v>
      </c>
      <c r="AN42" s="12">
        <v>0.2673611111111111</v>
      </c>
      <c r="AO42" s="13">
        <v>0.2743055555555556</v>
      </c>
      <c r="AP42" s="11">
        <v>81.0</v>
      </c>
      <c r="AQ42" s="12">
        <v>0.34791666666666665</v>
      </c>
      <c r="AR42" s="13">
        <v>0.35347222222222224</v>
      </c>
      <c r="AS42" s="11">
        <v>85.0</v>
      </c>
      <c r="AT42" s="12">
        <v>0.4618055555555556</v>
      </c>
      <c r="AU42" s="13">
        <v>0.46458333333333335</v>
      </c>
      <c r="AV42" s="11">
        <v>82.0</v>
      </c>
      <c r="AW42" s="12">
        <v>0.04652777777777778</v>
      </c>
      <c r="AX42" s="13">
        <v>0.04791666666666667</v>
      </c>
      <c r="AY42" s="34">
        <f t="array" ref="AY42">XLOOKUP(B42,faclon_results_2022!$D:$D,faclon_results_2022!$A:$A,"DNF")</f>
        <v>81</v>
      </c>
      <c r="AZ42" s="12">
        <f t="shared" si="1"/>
        <v>0.60625</v>
      </c>
      <c r="BA42" s="18">
        <f t="array" ref="BA42">XLOOKUP(B42,faclon_results_2022!$D:$D,faclon_results_2022!$J:$J)</f>
        <v>33.55615</v>
      </c>
    </row>
    <row r="43" ht="15.75" customHeight="1">
      <c r="A43" s="7"/>
      <c r="B43" s="47">
        <v>549.0</v>
      </c>
      <c r="C43" s="11">
        <v>106.0</v>
      </c>
      <c r="D43" s="12">
        <v>0.26944444444444443</v>
      </c>
      <c r="E43" s="13">
        <v>0.2701388888888889</v>
      </c>
      <c r="F43" s="64"/>
      <c r="G43" s="65"/>
      <c r="H43" s="66"/>
      <c r="I43" s="11">
        <v>104.0</v>
      </c>
      <c r="J43" s="12">
        <v>0.3972222222222222</v>
      </c>
      <c r="K43" s="13">
        <v>0.40208333333333335</v>
      </c>
      <c r="L43" s="67">
        <v>96.0</v>
      </c>
      <c r="M43" s="12">
        <v>0.48541666666666666</v>
      </c>
      <c r="N43" s="13">
        <v>0.4888888888888889</v>
      </c>
      <c r="O43" s="38">
        <v>87.0</v>
      </c>
      <c r="P43" s="12">
        <v>0.5548611111111111</v>
      </c>
      <c r="Q43" s="12">
        <v>0.5569444444444445</v>
      </c>
      <c r="R43" s="11">
        <v>84.0</v>
      </c>
      <c r="S43" s="12">
        <v>0.6243055555555556</v>
      </c>
      <c r="T43" s="13">
        <v>0.6270833333333333</v>
      </c>
      <c r="U43" s="11">
        <v>90.0</v>
      </c>
      <c r="V43" s="12">
        <v>0.6798611111111111</v>
      </c>
      <c r="W43" s="13">
        <v>0.6868055555555556</v>
      </c>
      <c r="X43" s="11">
        <v>77.0</v>
      </c>
      <c r="Y43" s="12"/>
      <c r="Z43" s="13">
        <v>0.7819444444444444</v>
      </c>
      <c r="AA43" s="20">
        <v>77.0</v>
      </c>
      <c r="AB43" s="21">
        <v>0.8513888888888889</v>
      </c>
      <c r="AC43" s="22">
        <v>0.8451388888888889</v>
      </c>
      <c r="AD43" s="18">
        <v>70.0</v>
      </c>
      <c r="AE43" s="12">
        <v>0.9416666666666667</v>
      </c>
      <c r="AF43" s="23">
        <v>0.9548611111111112</v>
      </c>
      <c r="AG43" s="11">
        <v>65.0</v>
      </c>
      <c r="AH43" s="12">
        <v>0.021527777777777778</v>
      </c>
      <c r="AI43" s="13">
        <v>0.024305555555555556</v>
      </c>
      <c r="AJ43" s="14">
        <v>59.0</v>
      </c>
      <c r="AK43" s="15">
        <v>0.12152777777777778</v>
      </c>
      <c r="AL43" s="16">
        <v>0.12569444444444444</v>
      </c>
      <c r="AM43" s="11">
        <v>56.0</v>
      </c>
      <c r="AN43" s="12">
        <v>0.19166666666666668</v>
      </c>
      <c r="AO43" s="13">
        <v>0.20208333333333334</v>
      </c>
      <c r="AP43" s="11">
        <v>54.0</v>
      </c>
      <c r="AQ43" s="12">
        <v>0.2708333333333333</v>
      </c>
      <c r="AR43" s="13">
        <v>0.2763888888888889</v>
      </c>
      <c r="AS43" s="11">
        <v>53.0</v>
      </c>
      <c r="AT43" s="12">
        <v>0.3951388888888889</v>
      </c>
      <c r="AU43" s="13">
        <v>0.4</v>
      </c>
      <c r="AV43" s="11">
        <v>55.0</v>
      </c>
      <c r="AW43" s="12">
        <v>0.48055555555555557</v>
      </c>
      <c r="AX43" s="13">
        <v>0.48194444444444445</v>
      </c>
      <c r="AY43" s="34">
        <f t="array" ref="AY43">XLOOKUP(B43,faclon_results_2022!$D:$D,faclon_results_2022!$A:$A,"DNF")</f>
        <v>56</v>
      </c>
      <c r="AZ43" s="12">
        <f t="shared" si="1"/>
        <v>0.5388888889</v>
      </c>
      <c r="BA43" s="18">
        <f t="array" ref="BA43">XLOOKUP(B43,faclon_results_2022!$D:$D,faclon_results_2022!$J:$J)</f>
        <v>31.93381</v>
      </c>
    </row>
    <row r="44" ht="15.75" customHeight="1">
      <c r="A44" s="7"/>
      <c r="B44" s="47">
        <v>550.0</v>
      </c>
      <c r="C44" s="11">
        <v>76.0</v>
      </c>
      <c r="D44" s="12">
        <v>0.2659722222222222</v>
      </c>
      <c r="E44" s="13">
        <v>0.26666666666666666</v>
      </c>
      <c r="F44" s="64"/>
      <c r="G44" s="65"/>
      <c r="H44" s="66"/>
      <c r="I44" s="11">
        <v>82.0</v>
      </c>
      <c r="J44" s="12">
        <v>0.38819444444444445</v>
      </c>
      <c r="K44" s="13">
        <v>0.39652777777777776</v>
      </c>
      <c r="L44" s="67">
        <v>81.0</v>
      </c>
      <c r="M44" s="12">
        <v>0.47847222222222224</v>
      </c>
      <c r="N44" s="13">
        <v>0.48055555555555557</v>
      </c>
      <c r="O44" s="38">
        <v>76.0</v>
      </c>
      <c r="P44" s="12">
        <v>0.5451388888888888</v>
      </c>
      <c r="Q44" s="13">
        <v>0.5541666666666667</v>
      </c>
      <c r="R44" s="11">
        <v>78.0</v>
      </c>
      <c r="S44" s="12">
        <v>0.6166666666666667</v>
      </c>
      <c r="T44" s="13">
        <v>0.6194444444444445</v>
      </c>
      <c r="U44" s="11">
        <v>70.0</v>
      </c>
      <c r="V44" s="12">
        <v>0.6625</v>
      </c>
      <c r="W44" s="13">
        <v>0.6708333333333333</v>
      </c>
      <c r="X44" s="11">
        <v>65.0</v>
      </c>
      <c r="Y44" s="12"/>
      <c r="Z44" s="13">
        <v>0.7701388888888889</v>
      </c>
      <c r="AA44" s="20">
        <v>62.0</v>
      </c>
      <c r="AB44" s="21">
        <v>0.8222222222222222</v>
      </c>
      <c r="AC44" s="22">
        <v>0.8236111111111111</v>
      </c>
      <c r="AD44" s="18">
        <v>56.0</v>
      </c>
      <c r="AE44" s="12">
        <v>0.9138888888888889</v>
      </c>
      <c r="AF44" s="23">
        <v>0.925</v>
      </c>
      <c r="AG44" s="11">
        <v>51.0</v>
      </c>
      <c r="AH44" s="12">
        <v>0.9979166666666667</v>
      </c>
      <c r="AI44" s="13">
        <v>0.003472222222222222</v>
      </c>
      <c r="AJ44" s="14">
        <v>53.0</v>
      </c>
      <c r="AK44" s="15">
        <v>0.10555555555555556</v>
      </c>
      <c r="AL44" s="16">
        <v>0.1076388888888889</v>
      </c>
      <c r="AM44" s="11">
        <v>42.0</v>
      </c>
      <c r="AN44" s="12">
        <v>0.15416666666666667</v>
      </c>
      <c r="AO44" s="13">
        <v>0.16041666666666668</v>
      </c>
      <c r="AP44" s="11">
        <v>45.0</v>
      </c>
      <c r="AQ44" s="12">
        <v>0.23958333333333334</v>
      </c>
      <c r="AR44" s="13">
        <v>0.24583333333333332</v>
      </c>
      <c r="AS44" s="11">
        <v>41.0</v>
      </c>
      <c r="AT44" s="12">
        <v>0.3277777777777778</v>
      </c>
      <c r="AU44" s="13">
        <v>0.3277777777777778</v>
      </c>
      <c r="AV44" s="11">
        <v>32.0</v>
      </c>
      <c r="AW44" s="12">
        <v>0.38263888888888886</v>
      </c>
      <c r="AX44" s="13">
        <v>0.38263888888888886</v>
      </c>
      <c r="AY44" s="34">
        <f t="array" ref="AY44">XLOOKUP(B44,faclon_results_2022!$D:$D,faclon_results_2022!$A:$A,"DNF")</f>
        <v>31</v>
      </c>
      <c r="AZ44" s="12">
        <f t="shared" si="1"/>
        <v>0.4229166667</v>
      </c>
      <c r="BA44" s="18">
        <f t="array" ref="BA44">XLOOKUP(B44,faclon_results_2022!$D:$D,faclon_results_2022!$J:$J)</f>
        <v>29.16156</v>
      </c>
    </row>
    <row r="45" ht="15.75" customHeight="1">
      <c r="A45" s="7"/>
      <c r="B45" s="47">
        <v>552.0</v>
      </c>
      <c r="C45" s="11">
        <v>81.0</v>
      </c>
      <c r="D45" s="12">
        <v>0.2659722222222222</v>
      </c>
      <c r="E45" s="13">
        <v>0.26666666666666666</v>
      </c>
      <c r="F45" s="64">
        <v>75.0</v>
      </c>
      <c r="G45" s="65">
        <v>0.32083333333333336</v>
      </c>
      <c r="H45" s="66">
        <v>0.32083333333333336</v>
      </c>
      <c r="I45" s="11">
        <v>124.0</v>
      </c>
      <c r="J45" s="12">
        <v>0.4041666666666667</v>
      </c>
      <c r="K45" s="38" t="s">
        <v>178</v>
      </c>
      <c r="M45" s="12"/>
      <c r="N45" s="13"/>
      <c r="O45" s="38"/>
      <c r="Q45" s="72"/>
      <c r="R45" s="11"/>
      <c r="S45" s="18"/>
      <c r="T45" s="38"/>
      <c r="U45" s="11"/>
      <c r="V45" s="18"/>
      <c r="W45" s="38"/>
      <c r="X45" s="11"/>
      <c r="Y45" s="12"/>
      <c r="Z45" s="13"/>
      <c r="AA45" s="20"/>
      <c r="AB45" s="20"/>
      <c r="AC45" s="56"/>
      <c r="AD45" s="18"/>
      <c r="AE45" s="18"/>
      <c r="AF45" s="47"/>
      <c r="AG45" s="11"/>
      <c r="AH45" s="18"/>
      <c r="AI45" s="38"/>
      <c r="AJ45" s="68"/>
      <c r="AK45" s="68"/>
      <c r="AL45" s="69"/>
      <c r="AM45" s="11"/>
      <c r="AN45" s="18"/>
      <c r="AO45" s="38"/>
      <c r="AP45" s="11"/>
      <c r="AQ45" s="18"/>
      <c r="AR45" s="38"/>
      <c r="AS45" s="11"/>
      <c r="AT45" s="18"/>
      <c r="AU45" s="38"/>
      <c r="AV45" s="11"/>
      <c r="AW45" s="18"/>
      <c r="AX45" s="38"/>
      <c r="AY45" s="34" t="str">
        <f t="array" ref="AY45">XLOOKUP(B45,faclon_results_2022!$D:$D,faclon_results_2022!$A:$A,"DNF")</f>
        <v>DNF</v>
      </c>
      <c r="AZ45" s="12" t="str">
        <f t="shared" si="1"/>
        <v>#N/A</v>
      </c>
      <c r="BA45" s="18" t="str">
        <f t="array" ref="BA45">XLOOKUP(B45,faclon_results_2022!$D:$D,faclon_results_2022!$J:$J)</f>
        <v>#N/A</v>
      </c>
    </row>
    <row r="46" ht="15.75" customHeight="1">
      <c r="A46" s="7"/>
      <c r="B46" s="47">
        <v>553.0</v>
      </c>
      <c r="C46" s="11">
        <v>93.0</v>
      </c>
      <c r="D46" s="12">
        <v>0.2673611111111111</v>
      </c>
      <c r="E46" s="13">
        <v>0.26805555555555555</v>
      </c>
      <c r="F46" s="64"/>
      <c r="G46" s="65"/>
      <c r="H46" s="66"/>
      <c r="I46" s="11">
        <v>98.0</v>
      </c>
      <c r="J46" s="12">
        <v>0.3958333333333333</v>
      </c>
      <c r="K46" s="12">
        <v>0.4</v>
      </c>
      <c r="L46" s="67">
        <v>93.0</v>
      </c>
      <c r="M46" s="12">
        <v>0.4847222222222222</v>
      </c>
      <c r="N46" s="13">
        <v>0.4888888888888889</v>
      </c>
      <c r="O46" s="38">
        <v>91.0</v>
      </c>
      <c r="P46" s="12">
        <v>0.5555555555555556</v>
      </c>
      <c r="Q46" s="13">
        <v>0.5604166666666667</v>
      </c>
      <c r="R46" s="11">
        <v>88.0</v>
      </c>
      <c r="S46" s="12">
        <v>0.625</v>
      </c>
      <c r="T46" s="13">
        <v>0.6298611111111111</v>
      </c>
      <c r="U46" s="11">
        <v>84.0</v>
      </c>
      <c r="V46" s="12">
        <v>0.6743055555555556</v>
      </c>
      <c r="W46" s="13">
        <v>0.6861111111111111</v>
      </c>
      <c r="X46" s="11">
        <v>74.0</v>
      </c>
      <c r="Y46" s="12"/>
      <c r="Z46" s="13">
        <v>0.7798611111111111</v>
      </c>
      <c r="AA46" s="20">
        <v>72.0</v>
      </c>
      <c r="AB46" s="21">
        <v>0.8388888888888889</v>
      </c>
      <c r="AC46" s="22">
        <v>0.8444444444444444</v>
      </c>
      <c r="AD46" s="18">
        <v>76.0</v>
      </c>
      <c r="AE46" s="12">
        <v>0.9486111111111111</v>
      </c>
      <c r="AF46" s="23">
        <v>0.9659722222222222</v>
      </c>
      <c r="AG46" s="11">
        <v>79.0</v>
      </c>
      <c r="AH46" s="12">
        <v>0.043055555555555555</v>
      </c>
      <c r="AI46" s="13">
        <v>0.04722222222222222</v>
      </c>
      <c r="AJ46" s="14">
        <v>79.0</v>
      </c>
      <c r="AK46" s="15">
        <v>0.15486111111111112</v>
      </c>
      <c r="AL46" s="16">
        <v>0.16319444444444445</v>
      </c>
      <c r="AM46" s="11">
        <v>76.0</v>
      </c>
      <c r="AN46" s="12">
        <v>0.2388888888888889</v>
      </c>
      <c r="AO46" s="13">
        <v>0.2520833333333333</v>
      </c>
      <c r="AP46" s="11">
        <v>75.0</v>
      </c>
      <c r="AQ46" s="12">
        <v>0.33055555555555555</v>
      </c>
      <c r="AR46" s="13">
        <v>0.3375</v>
      </c>
      <c r="AS46" s="11">
        <v>89.0</v>
      </c>
      <c r="AT46" s="12">
        <v>0.4638888888888889</v>
      </c>
      <c r="AU46" s="13">
        <v>0.46805555555555556</v>
      </c>
      <c r="AV46" s="11">
        <v>85.0</v>
      </c>
      <c r="AW46" s="12">
        <v>0.04861111111111111</v>
      </c>
      <c r="AX46" s="13">
        <v>0.050694444444444445</v>
      </c>
      <c r="AY46" s="34">
        <f t="array" ref="AY46">XLOOKUP(B46,faclon_results_2022!$D:$D,faclon_results_2022!$A:$A,"DNF")</f>
        <v>91</v>
      </c>
      <c r="AZ46" s="12">
        <f t="shared" si="1"/>
        <v>0.6222222222</v>
      </c>
      <c r="BA46" s="18">
        <f t="array" ref="BA46">XLOOKUP(B46,faclon_results_2022!$D:$D,faclon_results_2022!$J:$J)</f>
        <v>33.93589</v>
      </c>
    </row>
    <row r="47" ht="15.75" customHeight="1">
      <c r="A47" s="7"/>
      <c r="B47" s="47">
        <v>554.0</v>
      </c>
      <c r="C47" s="11">
        <v>164.0</v>
      </c>
      <c r="D47" s="12">
        <v>0.2743055555555556</v>
      </c>
      <c r="E47" s="13">
        <v>0.275</v>
      </c>
      <c r="F47" s="64"/>
      <c r="G47" s="65"/>
      <c r="H47" s="66"/>
      <c r="I47" s="11">
        <v>171.0</v>
      </c>
      <c r="J47" s="12">
        <v>0.4222222222222222</v>
      </c>
      <c r="K47" s="13">
        <v>0.4284722222222222</v>
      </c>
      <c r="L47" s="67">
        <v>157.0</v>
      </c>
      <c r="M47" s="12">
        <v>0.5194444444444445</v>
      </c>
      <c r="N47" s="13">
        <v>0.5236111111111111</v>
      </c>
      <c r="O47" s="38">
        <v>149.0</v>
      </c>
      <c r="P47" s="12">
        <v>0.5944444444444444</v>
      </c>
      <c r="Q47" s="13">
        <v>0.6</v>
      </c>
      <c r="R47" s="11">
        <v>141.0</v>
      </c>
      <c r="S47" s="12">
        <v>0.6673611111111111</v>
      </c>
      <c r="T47" s="13">
        <v>0.6708333333333333</v>
      </c>
      <c r="U47" s="11">
        <v>139.0</v>
      </c>
      <c r="V47" s="12">
        <v>0.7208333333333333</v>
      </c>
      <c r="W47" s="13">
        <v>0.7305555555555555</v>
      </c>
      <c r="X47" s="11">
        <v>126.0</v>
      </c>
      <c r="Y47" s="12"/>
      <c r="Z47" s="13">
        <v>0.8444444444444444</v>
      </c>
      <c r="AA47" s="20">
        <v>127.0</v>
      </c>
      <c r="AB47" s="21">
        <v>0.9194444444444444</v>
      </c>
      <c r="AC47" s="22">
        <v>0.925</v>
      </c>
      <c r="AD47" s="18">
        <v>121.0</v>
      </c>
      <c r="AE47" s="12">
        <v>0.0375</v>
      </c>
      <c r="AF47" s="23">
        <v>0.05347222222222222</v>
      </c>
      <c r="AG47" s="11">
        <v>123.0</v>
      </c>
      <c r="AH47" s="12">
        <v>0.13819444444444445</v>
      </c>
      <c r="AI47" s="13">
        <v>0.14722222222222223</v>
      </c>
      <c r="AJ47" s="14">
        <v>120.0</v>
      </c>
      <c r="AK47" s="15">
        <v>0.2534722222222222</v>
      </c>
      <c r="AL47" s="16">
        <v>0.25625</v>
      </c>
      <c r="AM47" s="11">
        <v>114.0</v>
      </c>
      <c r="AN47" s="12">
        <v>0.3159722222222222</v>
      </c>
      <c r="AO47" s="13">
        <v>0.32430555555555557</v>
      </c>
      <c r="AP47" s="11">
        <v>109.0</v>
      </c>
      <c r="AQ47" s="12">
        <v>0.4</v>
      </c>
      <c r="AR47" s="13">
        <v>0.425</v>
      </c>
      <c r="AS47" s="11">
        <v>119.0</v>
      </c>
      <c r="AT47" s="12">
        <v>0.5395833333333333</v>
      </c>
      <c r="AU47" s="13">
        <v>0.5451388888888888</v>
      </c>
      <c r="AV47" s="11">
        <v>117.0</v>
      </c>
      <c r="AW47" s="12">
        <v>0.12013888888888889</v>
      </c>
      <c r="AX47" s="13">
        <v>0.12291666666666666</v>
      </c>
      <c r="AY47" s="34">
        <f t="array" ref="AY47">XLOOKUP(B47,faclon_results_2022!$D:$D,faclon_results_2022!$A:$A,"DNF")</f>
        <v>116</v>
      </c>
      <c r="AZ47" s="12">
        <f t="shared" si="1"/>
        <v>0.6854166667</v>
      </c>
      <c r="BA47" s="18">
        <f t="array" ref="BA47">XLOOKUP(B47,faclon_results_2022!$D:$D,faclon_results_2022!$J:$J)</f>
        <v>35.45225</v>
      </c>
    </row>
    <row r="48" ht="15.75" customHeight="1">
      <c r="A48" s="7"/>
      <c r="B48" s="47">
        <v>556.0</v>
      </c>
      <c r="C48" s="11">
        <v>40.0</v>
      </c>
      <c r="D48" s="12">
        <v>0.2604166666666667</v>
      </c>
      <c r="E48" s="13">
        <v>0.26180555555555557</v>
      </c>
      <c r="F48" s="64"/>
      <c r="G48" s="65"/>
      <c r="H48" s="66"/>
      <c r="I48" s="11">
        <v>56.0</v>
      </c>
      <c r="J48" s="12">
        <v>0.3770833333333333</v>
      </c>
      <c r="K48" s="13">
        <v>0.38263888888888886</v>
      </c>
      <c r="L48" s="67">
        <v>76.0</v>
      </c>
      <c r="M48" s="12">
        <v>0.47430555555555554</v>
      </c>
      <c r="N48" s="13">
        <v>0.47638888888888886</v>
      </c>
      <c r="O48" s="38">
        <v>80.0</v>
      </c>
      <c r="P48" s="12">
        <v>0.55</v>
      </c>
      <c r="Q48" s="13">
        <v>0.5520833333333334</v>
      </c>
      <c r="R48" s="11">
        <v>92.0</v>
      </c>
      <c r="S48" s="12">
        <v>0.6284722222222222</v>
      </c>
      <c r="T48" s="13">
        <v>0.6305555555555555</v>
      </c>
      <c r="U48" s="11">
        <v>101.0</v>
      </c>
      <c r="V48" s="12">
        <v>0.6930555555555555</v>
      </c>
      <c r="W48" s="13">
        <v>0.7055555555555556</v>
      </c>
      <c r="X48" s="11">
        <v>115.0</v>
      </c>
      <c r="Y48" s="18"/>
      <c r="Z48" s="13">
        <v>0.8326388888888889</v>
      </c>
      <c r="AA48" s="20">
        <v>122.0</v>
      </c>
      <c r="AB48" s="21">
        <v>0.9152777777777777</v>
      </c>
      <c r="AC48" s="22">
        <v>0.9180555555555555</v>
      </c>
      <c r="AD48" s="18">
        <v>131.0</v>
      </c>
      <c r="AE48" s="12">
        <v>0.059027777777777776</v>
      </c>
      <c r="AF48" s="23">
        <v>0.06597222222222222</v>
      </c>
      <c r="AG48" s="11">
        <v>131.0</v>
      </c>
      <c r="AH48" s="12">
        <v>0.16458333333333333</v>
      </c>
      <c r="AI48" s="13">
        <v>0.16875</v>
      </c>
      <c r="AJ48" s="14">
        <v>138.0</v>
      </c>
      <c r="AK48" s="15">
        <v>0.31180555555555556</v>
      </c>
      <c r="AL48" s="16">
        <v>0.3138888888888889</v>
      </c>
      <c r="AM48" s="11">
        <v>130.0</v>
      </c>
      <c r="AN48" s="12">
        <v>0.3819444444444444</v>
      </c>
      <c r="AO48" s="13">
        <v>0.38333333333333336</v>
      </c>
      <c r="AP48" s="11">
        <v>125.0</v>
      </c>
      <c r="AQ48" s="12">
        <v>0.4722222222222222</v>
      </c>
      <c r="AR48" s="38" t="s">
        <v>178</v>
      </c>
      <c r="AS48" s="11"/>
      <c r="AT48" s="18"/>
      <c r="AU48" s="38"/>
      <c r="AV48" s="11"/>
      <c r="AW48" s="18"/>
      <c r="AX48" s="38"/>
      <c r="AY48" s="34" t="str">
        <f t="array" ref="AY48">XLOOKUP(B48,faclon_results_2022!$D:$D,faclon_results_2022!$A:$A,"DNF")</f>
        <v>DNF</v>
      </c>
      <c r="AZ48" s="12" t="str">
        <f t="shared" si="1"/>
        <v>#N/A</v>
      </c>
      <c r="BA48" s="18" t="str">
        <f t="array" ref="BA48">XLOOKUP(B48,faclon_results_2022!$D:$D,faclon_results_2022!$J:$J)</f>
        <v>#N/A</v>
      </c>
    </row>
    <row r="49" ht="15.75" customHeight="1">
      <c r="A49" s="7"/>
      <c r="B49" s="47">
        <v>557.0</v>
      </c>
      <c r="C49" s="11">
        <v>142.0</v>
      </c>
      <c r="D49" s="12">
        <v>0.27152777777777776</v>
      </c>
      <c r="E49" s="13">
        <v>0.2722222222222222</v>
      </c>
      <c r="F49" s="64"/>
      <c r="G49" s="65"/>
      <c r="H49" s="66"/>
      <c r="I49" s="11">
        <v>166.0</v>
      </c>
      <c r="J49" s="12">
        <v>0.42083333333333334</v>
      </c>
      <c r="K49" s="38" t="s">
        <v>178</v>
      </c>
      <c r="M49" s="12"/>
      <c r="N49" s="13"/>
      <c r="O49" s="38"/>
      <c r="R49" s="11"/>
      <c r="S49" s="18"/>
      <c r="T49" s="13"/>
      <c r="U49" s="11"/>
      <c r="V49" s="12"/>
      <c r="W49" s="13"/>
      <c r="X49" s="11"/>
      <c r="Y49" s="12"/>
      <c r="Z49" s="13"/>
      <c r="AA49" s="20"/>
      <c r="AB49" s="20"/>
      <c r="AC49" s="56"/>
      <c r="AD49" s="18"/>
      <c r="AE49" s="18"/>
      <c r="AF49" s="47"/>
      <c r="AG49" s="11"/>
      <c r="AH49" s="12"/>
      <c r="AI49" s="13"/>
      <c r="AJ49" s="68"/>
      <c r="AK49" s="68"/>
      <c r="AL49" s="69"/>
      <c r="AM49" s="11"/>
      <c r="AN49" s="12"/>
      <c r="AO49" s="13"/>
      <c r="AP49" s="11"/>
      <c r="AQ49" s="12"/>
      <c r="AR49" s="13"/>
      <c r="AS49" s="11"/>
      <c r="AT49" s="12"/>
      <c r="AU49" s="13"/>
      <c r="AV49" s="11"/>
      <c r="AW49" s="12"/>
      <c r="AX49" s="13"/>
      <c r="AY49" s="34" t="str">
        <f t="array" ref="AY49">XLOOKUP(B49,faclon_results_2022!$D:$D,faclon_results_2022!$A:$A,"DNF")</f>
        <v>DNF</v>
      </c>
      <c r="AZ49" s="12" t="str">
        <f t="shared" si="1"/>
        <v>#N/A</v>
      </c>
      <c r="BA49" s="18" t="str">
        <f t="array" ref="BA49">XLOOKUP(B49,faclon_results_2022!$D:$D,faclon_results_2022!$J:$J)</f>
        <v>#N/A</v>
      </c>
    </row>
    <row r="50" ht="15.75" customHeight="1">
      <c r="A50" s="7"/>
      <c r="B50" s="47">
        <v>558.0</v>
      </c>
      <c r="C50" s="11">
        <v>156.0</v>
      </c>
      <c r="D50" s="12">
        <v>0.2743055555555556</v>
      </c>
      <c r="E50" s="13">
        <v>0.275</v>
      </c>
      <c r="F50" s="64">
        <v>157.0</v>
      </c>
      <c r="G50" s="65">
        <v>0.3388888888888889</v>
      </c>
      <c r="H50" s="66">
        <v>0.3388888888888889</v>
      </c>
      <c r="I50" s="11">
        <v>184.0</v>
      </c>
      <c r="J50" s="12">
        <v>0.42777777777777776</v>
      </c>
      <c r="K50" s="13">
        <v>0.43333333333333335</v>
      </c>
      <c r="L50" s="67">
        <v>177.0</v>
      </c>
      <c r="M50" s="12">
        <v>0.5368055555555555</v>
      </c>
      <c r="N50" s="13">
        <v>0.5423611111111111</v>
      </c>
      <c r="O50" s="38">
        <v>178.0</v>
      </c>
      <c r="P50" s="12">
        <v>0.6215277777777778</v>
      </c>
      <c r="Q50" s="13">
        <v>0.6236111111111111</v>
      </c>
      <c r="R50" s="11">
        <v>180.0</v>
      </c>
      <c r="S50" s="12">
        <v>0.7111111111111111</v>
      </c>
      <c r="T50" s="13">
        <v>0.7131944444444445</v>
      </c>
      <c r="U50" s="11">
        <v>174.0</v>
      </c>
      <c r="V50" s="12">
        <v>0.7673611111111112</v>
      </c>
      <c r="W50" s="38" t="s">
        <v>178</v>
      </c>
      <c r="X50" s="11"/>
      <c r="Y50" s="12"/>
      <c r="Z50" s="13"/>
      <c r="AA50" s="20"/>
      <c r="AB50" s="71"/>
      <c r="AC50" s="56"/>
      <c r="AD50" s="18"/>
      <c r="AE50" s="18"/>
      <c r="AF50" s="47"/>
      <c r="AG50" s="11"/>
      <c r="AH50" s="12"/>
      <c r="AI50" s="13"/>
      <c r="AJ50" s="68"/>
      <c r="AK50" s="68"/>
      <c r="AL50" s="69"/>
      <c r="AM50" s="11"/>
      <c r="AN50" s="12"/>
      <c r="AO50" s="13"/>
      <c r="AP50" s="11"/>
      <c r="AQ50" s="12"/>
      <c r="AR50" s="13"/>
      <c r="AS50" s="11"/>
      <c r="AT50" s="12"/>
      <c r="AU50" s="13"/>
      <c r="AV50" s="11"/>
      <c r="AW50" s="12"/>
      <c r="AX50" s="13"/>
      <c r="AY50" s="34" t="str">
        <f t="array" ref="AY50">XLOOKUP(B50,faclon_results_2022!$D:$D,faclon_results_2022!$A:$A,"DNF")</f>
        <v>DNF</v>
      </c>
      <c r="AZ50" s="12" t="str">
        <f t="shared" si="1"/>
        <v>#N/A</v>
      </c>
      <c r="BA50" s="18" t="str">
        <f t="array" ref="BA50">XLOOKUP(B50,faclon_results_2022!$D:$D,faclon_results_2022!$J:$J)</f>
        <v>#N/A</v>
      </c>
    </row>
    <row r="51" ht="15.75" customHeight="1">
      <c r="A51" s="7"/>
      <c r="B51" s="47">
        <v>559.0</v>
      </c>
      <c r="C51" s="11">
        <v>176.0</v>
      </c>
      <c r="D51" s="12">
        <v>0.275</v>
      </c>
      <c r="E51" s="13">
        <v>0.27569444444444446</v>
      </c>
      <c r="F51" s="64">
        <v>170.0</v>
      </c>
      <c r="G51" s="65">
        <v>0.3388888888888889</v>
      </c>
      <c r="H51" s="66">
        <v>0.3388888888888889</v>
      </c>
      <c r="I51" s="11">
        <v>112.0</v>
      </c>
      <c r="J51" s="12">
        <v>0.40069444444444446</v>
      </c>
      <c r="K51" s="13">
        <v>0.41180555555555554</v>
      </c>
      <c r="L51" s="67">
        <v>108.0</v>
      </c>
      <c r="M51" s="12">
        <v>0.49444444444444446</v>
      </c>
      <c r="N51" s="13">
        <v>0.4986111111111111</v>
      </c>
      <c r="O51" s="38">
        <v>108.0</v>
      </c>
      <c r="P51" s="12">
        <v>0.5694444444444444</v>
      </c>
      <c r="Q51" s="13">
        <v>0.5736111111111111</v>
      </c>
      <c r="R51" s="11">
        <v>102.0</v>
      </c>
      <c r="S51" s="12">
        <v>0.6375</v>
      </c>
      <c r="T51" s="13">
        <v>0.6416666666666667</v>
      </c>
      <c r="U51" s="11">
        <v>98.0</v>
      </c>
      <c r="V51" s="12">
        <v>0.6861111111111111</v>
      </c>
      <c r="W51" s="13">
        <v>0.6965277777777777</v>
      </c>
      <c r="X51" s="11">
        <v>95.0</v>
      </c>
      <c r="Y51" s="18"/>
      <c r="Z51" s="13">
        <v>0.8041666666666667</v>
      </c>
      <c r="AA51" s="20">
        <v>96.0</v>
      </c>
      <c r="AB51" s="21">
        <v>0.8777777777777778</v>
      </c>
      <c r="AC51" s="22">
        <v>0.8763888888888889</v>
      </c>
      <c r="AD51" s="18">
        <v>93.0</v>
      </c>
      <c r="AE51" s="12">
        <v>0.9840277777777777</v>
      </c>
      <c r="AF51" s="23">
        <v>0.001388888888888889</v>
      </c>
      <c r="AG51" s="11">
        <v>96.0</v>
      </c>
      <c r="AH51" s="12">
        <v>0.08611111111111111</v>
      </c>
      <c r="AI51" s="13">
        <v>0.09652777777777778</v>
      </c>
      <c r="AJ51" s="14">
        <v>91.0</v>
      </c>
      <c r="AK51" s="15">
        <v>0.19722222222222222</v>
      </c>
      <c r="AL51" s="16">
        <v>0.20277777777777778</v>
      </c>
      <c r="AM51" s="11">
        <v>92.0</v>
      </c>
      <c r="AN51" s="12">
        <v>0.27152777777777776</v>
      </c>
      <c r="AO51" s="13">
        <v>0.2875</v>
      </c>
      <c r="AP51" s="11">
        <v>99.0</v>
      </c>
      <c r="AQ51" s="12">
        <v>0.3680555555555556</v>
      </c>
      <c r="AR51" s="13">
        <v>0.3729166666666667</v>
      </c>
      <c r="AS51" s="11">
        <v>105.0</v>
      </c>
      <c r="AT51" s="12">
        <v>0.4909722222222222</v>
      </c>
      <c r="AU51" s="13">
        <v>0.5013888888888889</v>
      </c>
      <c r="AV51" s="11">
        <v>108.0</v>
      </c>
      <c r="AW51" s="12">
        <v>0.09652777777777778</v>
      </c>
      <c r="AX51" s="13">
        <v>0.09861111111111111</v>
      </c>
      <c r="AY51" s="34">
        <f t="array" ref="AY51">XLOOKUP(B51,faclon_results_2022!$D:$D,faclon_results_2022!$A:$A,"DNF")</f>
        <v>109</v>
      </c>
      <c r="AZ51" s="12">
        <f t="shared" si="1"/>
        <v>0.6666666667</v>
      </c>
      <c r="BA51" s="18">
        <f t="array" ref="BA51">XLOOKUP(B51,faclon_results_2022!$D:$D,faclon_results_2022!$J:$J)</f>
        <v>35.00128</v>
      </c>
    </row>
    <row r="52" ht="15.75" customHeight="1">
      <c r="A52" s="7"/>
      <c r="B52" s="47">
        <v>561.0</v>
      </c>
      <c r="C52" s="11">
        <v>36.0</v>
      </c>
      <c r="D52" s="12">
        <v>0.2604166666666667</v>
      </c>
      <c r="E52" s="13">
        <v>0.26180555555555557</v>
      </c>
      <c r="F52" s="64"/>
      <c r="G52" s="65"/>
      <c r="H52" s="66"/>
      <c r="I52" s="11">
        <v>38.0</v>
      </c>
      <c r="J52" s="12">
        <v>0.3715277777777778</v>
      </c>
      <c r="K52" s="13">
        <v>0.3770833333333333</v>
      </c>
      <c r="L52" s="67">
        <v>32.0</v>
      </c>
      <c r="M52" s="12">
        <v>0.44583333333333336</v>
      </c>
      <c r="N52" s="13">
        <v>0.44722222222222224</v>
      </c>
      <c r="O52" s="38">
        <v>31.0</v>
      </c>
      <c r="P52" s="12">
        <v>0.5034722222222222</v>
      </c>
      <c r="Q52" s="13">
        <v>0.5048611111111111</v>
      </c>
      <c r="R52" s="11">
        <v>29.0</v>
      </c>
      <c r="S52" s="12">
        <v>0.5638888888888889</v>
      </c>
      <c r="T52" s="13">
        <v>0.5659722222222222</v>
      </c>
      <c r="U52" s="11">
        <v>31.0</v>
      </c>
      <c r="V52" s="12">
        <v>0.60625</v>
      </c>
      <c r="W52" s="13">
        <v>0.6104166666666667</v>
      </c>
      <c r="X52" s="11">
        <v>21.0</v>
      </c>
      <c r="Y52" s="12"/>
      <c r="Z52" s="13">
        <v>0.6958333333333333</v>
      </c>
      <c r="AA52" s="20">
        <v>23.0</v>
      </c>
      <c r="AB52" s="21">
        <v>0.7493055555555556</v>
      </c>
      <c r="AC52" s="22">
        <v>0.7520833333333333</v>
      </c>
      <c r="AD52" s="18">
        <v>18.0</v>
      </c>
      <c r="AE52" s="12">
        <v>0.8291666666666667</v>
      </c>
      <c r="AF52" s="23">
        <v>0.8388888888888889</v>
      </c>
      <c r="AG52" s="11">
        <v>19.0</v>
      </c>
      <c r="AH52" s="12">
        <v>0.8986111111111111</v>
      </c>
      <c r="AI52" s="13">
        <v>0.9006944444444445</v>
      </c>
      <c r="AJ52" s="14">
        <v>17.0</v>
      </c>
      <c r="AK52" s="15">
        <v>0.9770833333333333</v>
      </c>
      <c r="AL52" s="16">
        <v>0.9805555555555555</v>
      </c>
      <c r="AM52" s="11">
        <v>15.0</v>
      </c>
      <c r="AN52" s="12">
        <v>0.027777777777777776</v>
      </c>
      <c r="AO52" s="13">
        <v>0.03194444444444444</v>
      </c>
      <c r="AP52" s="11">
        <v>16.0</v>
      </c>
      <c r="AQ52" s="12">
        <v>0.09791666666666667</v>
      </c>
      <c r="AR52" s="13">
        <v>0.10625</v>
      </c>
      <c r="AS52" s="11">
        <v>15.0</v>
      </c>
      <c r="AT52" s="12">
        <v>0.19444444444444445</v>
      </c>
      <c r="AU52" s="13">
        <v>0.19583333333333333</v>
      </c>
      <c r="AV52" s="11">
        <v>15.0</v>
      </c>
      <c r="AW52" s="12">
        <v>0.2652777777777778</v>
      </c>
      <c r="AX52" s="13">
        <v>0.26666666666666666</v>
      </c>
      <c r="AY52" s="34">
        <f t="array" ref="AY52">XLOOKUP(B52,faclon_results_2022!$D:$D,faclon_results_2022!$A:$A,"DNF")</f>
        <v>15</v>
      </c>
      <c r="AZ52" s="12">
        <f t="shared" si="1"/>
        <v>0.3194444444</v>
      </c>
      <c r="BA52" s="18">
        <f t="array" ref="BA52">XLOOKUP(B52,faclon_results_2022!$D:$D,faclon_results_2022!$J:$J)</f>
        <v>26.66988</v>
      </c>
    </row>
    <row r="53" ht="15.75" customHeight="1">
      <c r="A53" s="7"/>
      <c r="B53" s="47">
        <v>562.0</v>
      </c>
      <c r="C53" s="11">
        <v>42.0</v>
      </c>
      <c r="D53" s="12">
        <v>0.2604166666666667</v>
      </c>
      <c r="E53" s="13">
        <v>0.26180555555555557</v>
      </c>
      <c r="F53" s="64">
        <v>38.0</v>
      </c>
      <c r="G53" s="65">
        <v>0.31180555555555556</v>
      </c>
      <c r="H53" s="66">
        <v>0.31180555555555556</v>
      </c>
      <c r="I53" s="11">
        <v>49.0</v>
      </c>
      <c r="J53" s="12">
        <v>0.375</v>
      </c>
      <c r="K53" s="13">
        <v>0.3819444444444444</v>
      </c>
      <c r="L53" s="67">
        <v>46.0</v>
      </c>
      <c r="M53" s="12">
        <v>0.45416666666666666</v>
      </c>
      <c r="N53" s="13">
        <v>0.45555555555555555</v>
      </c>
      <c r="O53" s="38">
        <v>46.0</v>
      </c>
      <c r="P53" s="12">
        <v>0.5131944444444444</v>
      </c>
      <c r="Q53" s="12">
        <v>0.5201388888888889</v>
      </c>
      <c r="R53" s="11">
        <v>45.0</v>
      </c>
      <c r="S53" s="12">
        <v>0.5784722222222223</v>
      </c>
      <c r="T53" s="13">
        <v>0.5805555555555556</v>
      </c>
      <c r="U53" s="11">
        <v>44.0</v>
      </c>
      <c r="V53" s="12">
        <v>0.6208333333333333</v>
      </c>
      <c r="W53" s="13">
        <v>0.6277777777777778</v>
      </c>
      <c r="X53" s="11">
        <v>40.0</v>
      </c>
      <c r="Y53" s="12"/>
      <c r="Z53" s="13">
        <v>0.725</v>
      </c>
      <c r="AA53" s="20">
        <v>41.0</v>
      </c>
      <c r="AB53" s="21">
        <v>0.7840277777777778</v>
      </c>
      <c r="AC53" s="22">
        <v>0.7861111111111111</v>
      </c>
      <c r="AD53" s="18">
        <v>36.0</v>
      </c>
      <c r="AE53" s="12">
        <v>0.8694444444444445</v>
      </c>
      <c r="AF53" s="23">
        <v>0.8756944444444444</v>
      </c>
      <c r="AG53" s="11">
        <v>30.0</v>
      </c>
      <c r="AH53" s="12">
        <v>0.9388888888888889</v>
      </c>
      <c r="AI53" s="13">
        <v>0.9416666666666667</v>
      </c>
      <c r="AJ53" s="14">
        <v>33.0</v>
      </c>
      <c r="AK53" s="15">
        <v>0.035416666666666666</v>
      </c>
      <c r="AL53" s="16">
        <v>0.03819444444444445</v>
      </c>
      <c r="AM53" s="11">
        <v>30.0</v>
      </c>
      <c r="AN53" s="12">
        <v>0.10555555555555556</v>
      </c>
      <c r="AO53" s="13">
        <v>0.12083333333333333</v>
      </c>
      <c r="AP53" s="11">
        <v>31.0</v>
      </c>
      <c r="AQ53" s="12">
        <v>0.1951388888888889</v>
      </c>
      <c r="AR53" s="13">
        <v>0.19791666666666666</v>
      </c>
      <c r="AS53" s="11">
        <v>38.0</v>
      </c>
      <c r="AT53" s="12">
        <v>0.3104166666666667</v>
      </c>
      <c r="AU53" s="13">
        <v>0.3277777777777778</v>
      </c>
      <c r="AV53" s="11">
        <v>42.0</v>
      </c>
      <c r="AW53" s="12">
        <v>0.4083333333333333</v>
      </c>
      <c r="AX53" s="13">
        <v>0.4097222222222222</v>
      </c>
      <c r="AY53" s="34">
        <f t="array" ref="AY53">XLOOKUP(B53,faclon_results_2022!$D:$D,faclon_results_2022!$A:$A,"DNF")</f>
        <v>46</v>
      </c>
      <c r="AZ53" s="12">
        <f t="shared" si="1"/>
        <v>0.4777777778</v>
      </c>
      <c r="BA53" s="18">
        <f t="array" ref="BA53">XLOOKUP(B53,faclon_results_2022!$D:$D,faclon_results_2022!$J:$J)</f>
        <v>30.48305</v>
      </c>
    </row>
    <row r="54" ht="15.75" customHeight="1">
      <c r="A54" s="7"/>
      <c r="B54" s="47">
        <v>563.0</v>
      </c>
      <c r="C54" s="11">
        <v>7.0</v>
      </c>
      <c r="D54" s="12">
        <v>0.2520833333333333</v>
      </c>
      <c r="E54" s="13">
        <v>0.25277777777777777</v>
      </c>
      <c r="F54" s="64"/>
      <c r="G54" s="65"/>
      <c r="H54" s="66"/>
      <c r="I54" s="11">
        <v>7.0</v>
      </c>
      <c r="J54" s="12">
        <v>0.3458333333333333</v>
      </c>
      <c r="K54" s="13">
        <v>0.34791666666666665</v>
      </c>
      <c r="L54" s="67">
        <v>6.0</v>
      </c>
      <c r="M54" s="12">
        <v>0.41597222222222224</v>
      </c>
      <c r="N54" s="13">
        <v>0.4166666666666667</v>
      </c>
      <c r="O54" s="38">
        <v>6.0</v>
      </c>
      <c r="P54" s="12">
        <v>0.4708333333333333</v>
      </c>
      <c r="Q54" s="13">
        <v>0.4722222222222222</v>
      </c>
      <c r="R54" s="11">
        <v>5.0</v>
      </c>
      <c r="S54" s="12">
        <v>0.5180555555555556</v>
      </c>
      <c r="T54" s="13">
        <v>0.5194444444444445</v>
      </c>
      <c r="U54" s="11">
        <v>6.0</v>
      </c>
      <c r="V54" s="12">
        <v>0.5527777777777778</v>
      </c>
      <c r="W54" s="13">
        <v>0.5555555555555556</v>
      </c>
      <c r="X54" s="11">
        <v>5.0</v>
      </c>
      <c r="Y54" s="12"/>
      <c r="Z54" s="13">
        <v>0.6416666666666667</v>
      </c>
      <c r="AA54" s="20">
        <v>6.0</v>
      </c>
      <c r="AB54" s="21">
        <v>0.6916666666666667</v>
      </c>
      <c r="AC54" s="22">
        <v>0.69375</v>
      </c>
      <c r="AD54" s="18">
        <v>6.0</v>
      </c>
      <c r="AE54" s="12">
        <v>0.7715277777777778</v>
      </c>
      <c r="AF54" s="23">
        <v>0.775</v>
      </c>
      <c r="AG54" s="11">
        <v>6.0</v>
      </c>
      <c r="AH54" s="12">
        <v>0.8395833333333333</v>
      </c>
      <c r="AI54" s="13">
        <v>0.8416666666666667</v>
      </c>
      <c r="AJ54" s="14">
        <v>8.0</v>
      </c>
      <c r="AK54" s="15">
        <v>0.9298611111111111</v>
      </c>
      <c r="AL54" s="16">
        <v>0.9326388888888889</v>
      </c>
      <c r="AM54" s="11">
        <v>8.0</v>
      </c>
      <c r="AN54" s="12">
        <v>0.9868055555555556</v>
      </c>
      <c r="AO54" s="13">
        <v>0.9895833333333334</v>
      </c>
      <c r="AP54" s="11">
        <v>9.0</v>
      </c>
      <c r="AQ54" s="12">
        <v>0.050694444444444445</v>
      </c>
      <c r="AR54" s="13">
        <v>0.052083333333333336</v>
      </c>
      <c r="AS54" s="11">
        <v>8.0</v>
      </c>
      <c r="AT54" s="12">
        <v>0.1527777777777778</v>
      </c>
      <c r="AU54" s="13">
        <v>0.15694444444444444</v>
      </c>
      <c r="AV54" s="11">
        <v>9.0</v>
      </c>
      <c r="AW54" s="12">
        <v>0.2375</v>
      </c>
      <c r="AX54" s="13">
        <v>0.23819444444444443</v>
      </c>
      <c r="AY54" s="34">
        <f t="array" ref="AY54">XLOOKUP(B54,faclon_results_2022!$D:$D,faclon_results_2022!$A:$A,"DNF")</f>
        <v>10</v>
      </c>
      <c r="AZ54" s="12">
        <f t="shared" si="1"/>
        <v>0.2847222222</v>
      </c>
      <c r="BA54" s="18">
        <f t="array" ref="BA54">XLOOKUP(B54,faclon_results_2022!$D:$D,faclon_results_2022!$J:$J)</f>
        <v>25.84106</v>
      </c>
    </row>
    <row r="55" ht="15.75" customHeight="1">
      <c r="A55" s="7"/>
      <c r="B55" s="47">
        <v>564.0</v>
      </c>
      <c r="C55" s="11">
        <v>61.0</v>
      </c>
      <c r="D55" s="12">
        <v>0.26319444444444445</v>
      </c>
      <c r="E55" s="13">
        <v>0.2638888888888889</v>
      </c>
      <c r="F55" s="64"/>
      <c r="G55" s="65"/>
      <c r="H55" s="66"/>
      <c r="I55" s="11">
        <v>51.0</v>
      </c>
      <c r="J55" s="12">
        <v>0.3763888888888889</v>
      </c>
      <c r="K55" s="13">
        <v>0.38055555555555554</v>
      </c>
      <c r="L55" s="67">
        <v>48.0</v>
      </c>
      <c r="M55" s="12">
        <v>0.45555555555555555</v>
      </c>
      <c r="N55" s="13">
        <v>0.4576388888888889</v>
      </c>
      <c r="O55" s="38">
        <v>48.0</v>
      </c>
      <c r="P55" s="12">
        <v>0.5194444444444445</v>
      </c>
      <c r="Q55" s="13">
        <v>0.5243055555555556</v>
      </c>
      <c r="R55" s="11">
        <v>48.0</v>
      </c>
      <c r="S55" s="12">
        <v>0.5847222222222223</v>
      </c>
      <c r="T55" s="13">
        <v>0.5875</v>
      </c>
      <c r="U55" s="11">
        <v>59.0</v>
      </c>
      <c r="V55" s="12">
        <v>0.6423611111111112</v>
      </c>
      <c r="W55" s="13">
        <v>0.6513888888888889</v>
      </c>
      <c r="X55" s="11">
        <v>61.0</v>
      </c>
      <c r="Y55" s="12"/>
      <c r="Z55" s="13">
        <v>0.7604166666666666</v>
      </c>
      <c r="AA55" s="20">
        <v>61.0</v>
      </c>
      <c r="AB55" s="21">
        <v>0.8194444444444444</v>
      </c>
      <c r="AC55" s="22">
        <v>0.8215277777777777</v>
      </c>
      <c r="AD55" s="18">
        <v>61.0</v>
      </c>
      <c r="AE55" s="12">
        <v>0.93125</v>
      </c>
      <c r="AF55" s="23">
        <v>0.9513888888888888</v>
      </c>
      <c r="AG55" s="11">
        <v>68.0</v>
      </c>
      <c r="AH55" s="12">
        <v>0.024305555555555556</v>
      </c>
      <c r="AI55" s="12">
        <v>0.027083333333333334</v>
      </c>
      <c r="AJ55" s="14">
        <v>62.0</v>
      </c>
      <c r="AK55" s="15">
        <v>0.13194444444444445</v>
      </c>
      <c r="AL55" s="16">
        <v>0.1361111111111111</v>
      </c>
      <c r="AM55" s="11">
        <v>61.0</v>
      </c>
      <c r="AN55" s="12">
        <v>0.20208333333333334</v>
      </c>
      <c r="AO55" s="13">
        <v>0.2111111111111111</v>
      </c>
      <c r="AP55" s="11">
        <v>59.0</v>
      </c>
      <c r="AQ55" s="12">
        <v>0.2923611111111111</v>
      </c>
      <c r="AR55" s="13">
        <v>0.3020833333333333</v>
      </c>
      <c r="AS55" s="11">
        <v>63.0</v>
      </c>
      <c r="AT55" s="12">
        <v>0.41805555555555557</v>
      </c>
      <c r="AU55" s="13">
        <v>0.4284722222222222</v>
      </c>
      <c r="AV55" s="11">
        <v>69.0</v>
      </c>
      <c r="AW55" s="12">
        <v>0.5194444444444445</v>
      </c>
      <c r="AX55" s="13">
        <v>0.5222222222222223</v>
      </c>
      <c r="AY55" s="34">
        <f t="array" ref="AY55">XLOOKUP(B55,faclon_results_2022!$D:$D,faclon_results_2022!$A:$A,"DNF")</f>
        <v>73</v>
      </c>
      <c r="AZ55" s="12">
        <f t="shared" si="1"/>
        <v>0.5868055556</v>
      </c>
      <c r="BA55" s="18">
        <f t="array" ref="BA55">XLOOKUP(B55,faclon_results_2022!$D:$D,faclon_results_2022!$J:$J)</f>
        <v>33.08826</v>
      </c>
    </row>
    <row r="56" ht="15.75" customHeight="1">
      <c r="A56" s="7"/>
      <c r="B56" s="47">
        <v>565.0</v>
      </c>
      <c r="C56" s="11"/>
      <c r="D56" s="12"/>
      <c r="E56" s="13"/>
      <c r="F56" s="64">
        <v>46.0</v>
      </c>
      <c r="G56" s="65">
        <v>0.3138888888888889</v>
      </c>
      <c r="H56" s="66">
        <v>0.3138888888888889</v>
      </c>
      <c r="I56" s="11">
        <v>12.0</v>
      </c>
      <c r="J56" s="18" t="s">
        <v>105</v>
      </c>
      <c r="K56" s="13">
        <v>0.3541666666666667</v>
      </c>
      <c r="L56" s="67">
        <v>11.0</v>
      </c>
      <c r="M56" s="12">
        <v>0.42083333333333334</v>
      </c>
      <c r="N56" s="13">
        <v>0.42291666666666666</v>
      </c>
      <c r="O56" s="38">
        <v>10.0</v>
      </c>
      <c r="P56" s="12">
        <v>0.475</v>
      </c>
      <c r="Q56" s="13">
        <v>0.4777777777777778</v>
      </c>
      <c r="R56" s="11">
        <v>9.0</v>
      </c>
      <c r="S56" s="12">
        <v>0.5305555555555556</v>
      </c>
      <c r="T56" s="13">
        <v>0.5333333333333333</v>
      </c>
      <c r="U56" s="11">
        <v>11.0</v>
      </c>
      <c r="V56" s="12">
        <v>0.5743055555555555</v>
      </c>
      <c r="W56" s="13">
        <v>0.5868055555555556</v>
      </c>
      <c r="X56" s="11">
        <v>23.0</v>
      </c>
      <c r="Y56" s="12"/>
      <c r="Z56" s="13">
        <v>0.6965277777777777</v>
      </c>
      <c r="AA56" s="20">
        <v>25.0</v>
      </c>
      <c r="AB56" s="21">
        <v>0.75</v>
      </c>
      <c r="AC56" s="22">
        <v>0.7541666666666667</v>
      </c>
      <c r="AD56" s="18">
        <v>25.0</v>
      </c>
      <c r="AE56" s="12">
        <v>0.83125</v>
      </c>
      <c r="AF56" s="23">
        <v>0.9333333333333333</v>
      </c>
      <c r="AG56" s="11">
        <v>54.0</v>
      </c>
      <c r="AH56" s="12">
        <v>0.003472222222222222</v>
      </c>
      <c r="AI56" s="35">
        <v>0.007638888888888889</v>
      </c>
      <c r="AJ56" s="14">
        <v>52.0</v>
      </c>
      <c r="AK56" s="15">
        <v>0.10416666666666667</v>
      </c>
      <c r="AL56" s="16">
        <v>0.10833333333333334</v>
      </c>
      <c r="AM56" s="11">
        <v>48.0</v>
      </c>
      <c r="AN56" s="12">
        <v>0.16527777777777777</v>
      </c>
      <c r="AO56" s="13">
        <v>0.18333333333333332</v>
      </c>
      <c r="AP56" s="11">
        <v>49.0</v>
      </c>
      <c r="AQ56" s="12">
        <v>0.2534722222222222</v>
      </c>
      <c r="AR56" s="13">
        <v>0.26319444444444445</v>
      </c>
      <c r="AS56" s="11">
        <v>51.0</v>
      </c>
      <c r="AT56" s="12">
        <v>0.35625</v>
      </c>
      <c r="AU56" s="13">
        <v>0.36736111111111114</v>
      </c>
      <c r="AV56" s="11">
        <v>52.0</v>
      </c>
      <c r="AW56" s="12">
        <v>0.44722222222222224</v>
      </c>
      <c r="AX56" s="13">
        <v>0.4486111111111111</v>
      </c>
      <c r="AY56" s="34">
        <f t="array" ref="AY56">XLOOKUP(B56,faclon_results_2022!$D:$D,faclon_results_2022!$A:$A,"DNF")</f>
        <v>50</v>
      </c>
      <c r="AZ56" s="12">
        <f t="shared" si="1"/>
        <v>0.4951388889</v>
      </c>
      <c r="BA56" s="18">
        <f t="array" ref="BA56">XLOOKUP(B56,faclon_results_2022!$D:$D,faclon_results_2022!$J:$J)</f>
        <v>30.89298</v>
      </c>
    </row>
    <row r="57" ht="15.75" customHeight="1">
      <c r="A57" s="7"/>
      <c r="B57" s="47">
        <v>566.0</v>
      </c>
      <c r="C57" s="11">
        <v>58.0</v>
      </c>
      <c r="D57" s="12">
        <v>0.26319444444444445</v>
      </c>
      <c r="E57" s="13">
        <v>0.2638888888888889</v>
      </c>
      <c r="F57" s="64"/>
      <c r="G57" s="65"/>
      <c r="H57" s="66"/>
      <c r="I57" s="11"/>
      <c r="J57" s="18"/>
      <c r="K57" s="38"/>
      <c r="M57" s="12"/>
      <c r="N57" s="13"/>
      <c r="O57" s="38"/>
      <c r="Q57" s="72"/>
      <c r="R57" s="11"/>
      <c r="S57" s="18"/>
      <c r="T57" s="38"/>
      <c r="U57" s="11"/>
      <c r="V57" s="18"/>
      <c r="W57" s="38"/>
      <c r="X57" s="11"/>
      <c r="Y57" s="12"/>
      <c r="Z57" s="13"/>
      <c r="AA57" s="71"/>
      <c r="AB57" s="20"/>
      <c r="AC57" s="70"/>
      <c r="AD57" s="18"/>
      <c r="AE57" s="18"/>
      <c r="AF57" s="47"/>
      <c r="AG57" s="11"/>
      <c r="AH57" s="12"/>
      <c r="AI57" s="38"/>
      <c r="AJ57" s="68"/>
      <c r="AK57" s="68"/>
      <c r="AL57" s="69"/>
      <c r="AM57" s="11"/>
      <c r="AN57" s="12"/>
      <c r="AO57" s="38"/>
      <c r="AP57" s="11"/>
      <c r="AQ57" s="12"/>
      <c r="AR57" s="38"/>
      <c r="AS57" s="11"/>
      <c r="AT57" s="12"/>
      <c r="AU57" s="38"/>
      <c r="AV57" s="11"/>
      <c r="AW57" s="12"/>
      <c r="AX57" s="38"/>
      <c r="AY57" s="34" t="str">
        <f t="array" ref="AY57">XLOOKUP(B57,faclon_results_2022!$D:$D,faclon_results_2022!$A:$A,"DNF")</f>
        <v>DNF</v>
      </c>
      <c r="AZ57" s="12" t="str">
        <f t="shared" si="1"/>
        <v>#N/A</v>
      </c>
      <c r="BA57" s="18" t="str">
        <f t="array" ref="BA57">XLOOKUP(B57,faclon_results_2022!$D:$D,faclon_results_2022!$J:$J)</f>
        <v>#N/A</v>
      </c>
    </row>
    <row r="58" ht="15.75" customHeight="1">
      <c r="A58" s="7"/>
      <c r="B58" s="47">
        <v>566.0</v>
      </c>
      <c r="C58" s="11">
        <v>20.0</v>
      </c>
      <c r="D58" s="12">
        <v>0.25763888888888886</v>
      </c>
      <c r="E58" s="13">
        <v>0.25833333333333336</v>
      </c>
      <c r="F58" s="64"/>
      <c r="G58" s="65"/>
      <c r="H58" s="66"/>
      <c r="I58" s="11">
        <v>75.0</v>
      </c>
      <c r="J58" s="12">
        <v>0.38819444444444445</v>
      </c>
      <c r="K58" s="13">
        <v>0.39305555555555555</v>
      </c>
      <c r="L58" s="67">
        <v>99.0</v>
      </c>
      <c r="M58" s="12">
        <v>0.48819444444444443</v>
      </c>
      <c r="N58" s="13">
        <v>0.4909722222222222</v>
      </c>
      <c r="O58" s="38">
        <v>104.0</v>
      </c>
      <c r="P58" s="12">
        <v>0.5680555555555555</v>
      </c>
      <c r="Q58" s="13">
        <v>0.5743055555555555</v>
      </c>
      <c r="R58" s="11">
        <v>115.0</v>
      </c>
      <c r="S58" s="12">
        <v>0.65</v>
      </c>
      <c r="T58" s="13">
        <v>0.6520833333333333</v>
      </c>
      <c r="U58" s="11">
        <v>115.0</v>
      </c>
      <c r="V58" s="12">
        <v>0.70625</v>
      </c>
      <c r="W58" s="13">
        <v>0.7131944444444445</v>
      </c>
      <c r="X58" s="11">
        <v>143.0</v>
      </c>
      <c r="Y58" s="12"/>
      <c r="Z58" s="13">
        <v>0.8694444444444445</v>
      </c>
      <c r="AA58" s="20">
        <v>148.0</v>
      </c>
      <c r="AB58" s="21">
        <v>0.9472222222222222</v>
      </c>
      <c r="AC58" s="22">
        <v>0.9506944444444444</v>
      </c>
      <c r="AD58" s="18" t="s">
        <v>178</v>
      </c>
      <c r="AE58" s="18"/>
      <c r="AF58" s="47"/>
      <c r="AG58" s="11"/>
      <c r="AH58" s="12"/>
      <c r="AI58" s="13"/>
      <c r="AJ58" s="68"/>
      <c r="AK58" s="68"/>
      <c r="AL58" s="69"/>
      <c r="AM58" s="11"/>
      <c r="AN58" s="12"/>
      <c r="AO58" s="13"/>
      <c r="AP58" s="11"/>
      <c r="AQ58" s="12"/>
      <c r="AR58" s="13"/>
      <c r="AS58" s="11"/>
      <c r="AT58" s="12"/>
      <c r="AU58" s="13"/>
      <c r="AV58" s="11"/>
      <c r="AW58" s="12"/>
      <c r="AX58" s="13"/>
      <c r="AY58" s="34" t="str">
        <f t="array" ref="AY58">XLOOKUP(B58,faclon_results_2022!$D:$D,faclon_results_2022!$A:$A,"DNF")</f>
        <v>DNF</v>
      </c>
      <c r="AZ58" s="12" t="str">
        <f t="shared" si="1"/>
        <v>#N/A</v>
      </c>
      <c r="BA58" s="18" t="str">
        <f t="array" ref="BA58">XLOOKUP(B58,faclon_results_2022!$D:$D,faclon_results_2022!$J:$J)</f>
        <v>#N/A</v>
      </c>
    </row>
    <row r="59" ht="15.75" customHeight="1">
      <c r="A59" s="7"/>
      <c r="B59" s="47">
        <v>567.0</v>
      </c>
      <c r="C59" s="11">
        <v>4.0</v>
      </c>
      <c r="D59" s="12">
        <v>0.2513888888888889</v>
      </c>
      <c r="E59" s="13">
        <v>0.2520833333333333</v>
      </c>
      <c r="F59" s="64"/>
      <c r="G59" s="65"/>
      <c r="H59" s="66"/>
      <c r="I59" s="11">
        <v>5.0</v>
      </c>
      <c r="J59" s="12">
        <v>0.34375</v>
      </c>
      <c r="K59" s="13">
        <v>0.3451388888888889</v>
      </c>
      <c r="L59" s="67">
        <v>12.0</v>
      </c>
      <c r="M59" s="12">
        <v>0.42430555555555555</v>
      </c>
      <c r="N59" s="13">
        <v>0.42569444444444443</v>
      </c>
      <c r="O59" s="38">
        <v>18.0</v>
      </c>
      <c r="P59" s="12">
        <v>0.49444444444444446</v>
      </c>
      <c r="Q59" s="13">
        <v>0.49722222222222223</v>
      </c>
      <c r="R59" s="11">
        <v>17.0</v>
      </c>
      <c r="S59" s="12">
        <v>0.55</v>
      </c>
      <c r="T59" s="13">
        <v>0.5520833333333334</v>
      </c>
      <c r="U59" s="11">
        <v>21.0</v>
      </c>
      <c r="V59" s="12">
        <v>0.5965277777777778</v>
      </c>
      <c r="W59" s="13">
        <v>0.6027777777777777</v>
      </c>
      <c r="X59" s="11">
        <v>36.0</v>
      </c>
      <c r="Y59" s="12"/>
      <c r="Z59" s="13">
        <v>0.7159722222222222</v>
      </c>
      <c r="AA59" s="20">
        <v>38.0</v>
      </c>
      <c r="AB59" s="21">
        <v>0.78125</v>
      </c>
      <c r="AC59" s="22">
        <v>0.7833333333333333</v>
      </c>
      <c r="AD59" s="18">
        <v>41.0</v>
      </c>
      <c r="AE59" s="12">
        <v>0.8777777777777778</v>
      </c>
      <c r="AF59" s="23">
        <v>0.88125</v>
      </c>
      <c r="AG59" s="11">
        <v>33.0</v>
      </c>
      <c r="AH59" s="12">
        <v>0.9409722222222222</v>
      </c>
      <c r="AI59" s="13">
        <v>0.9430555555555555</v>
      </c>
      <c r="AJ59" s="14">
        <v>29.0</v>
      </c>
      <c r="AK59" s="15">
        <v>0.03125</v>
      </c>
      <c r="AL59" s="16">
        <v>0.034722222222222224</v>
      </c>
      <c r="AM59" s="11">
        <v>25.0</v>
      </c>
      <c r="AN59" s="12">
        <v>0.08611111111111111</v>
      </c>
      <c r="AO59" s="13">
        <v>0.09097222222222222</v>
      </c>
      <c r="AP59" s="11">
        <v>24.0</v>
      </c>
      <c r="AQ59" s="12">
        <v>0.15138888888888888</v>
      </c>
      <c r="AR59" s="13">
        <v>0.15416666666666667</v>
      </c>
      <c r="AS59" s="11">
        <v>21.0</v>
      </c>
      <c r="AT59" s="12">
        <v>0.24444444444444444</v>
      </c>
      <c r="AU59" s="13">
        <v>0.24722222222222223</v>
      </c>
      <c r="AV59" s="11">
        <v>19.0</v>
      </c>
      <c r="AW59" s="12">
        <v>0.31319444444444444</v>
      </c>
      <c r="AX59" s="13">
        <v>0.3138888888888889</v>
      </c>
      <c r="AY59" s="34">
        <f t="array" ref="AY59">XLOOKUP(B59,faclon_results_2022!$D:$D,faclon_results_2022!$A:$A,"DNF")</f>
        <v>19</v>
      </c>
      <c r="AZ59" s="12">
        <f t="shared" si="1"/>
        <v>0.3576388889</v>
      </c>
      <c r="BA59" s="18">
        <f t="array" ref="BA59">XLOOKUP(B59,faclon_results_2022!$D:$D,faclon_results_2022!$J:$J)</f>
        <v>27.58867</v>
      </c>
    </row>
    <row r="60" ht="15.75" customHeight="1">
      <c r="A60" s="7"/>
      <c r="B60" s="47">
        <v>568.0</v>
      </c>
      <c r="C60" s="11">
        <v>30.0</v>
      </c>
      <c r="D60" s="12">
        <v>0.25972222222222224</v>
      </c>
      <c r="E60" s="13">
        <v>0.2604166666666667</v>
      </c>
      <c r="F60" s="64">
        <v>57.0</v>
      </c>
      <c r="G60" s="65">
        <v>0.3145833333333333</v>
      </c>
      <c r="H60" s="66">
        <v>0.3145833333333333</v>
      </c>
      <c r="I60" s="11">
        <v>54.0</v>
      </c>
      <c r="J60" s="12">
        <v>0.3763888888888889</v>
      </c>
      <c r="K60" s="13">
        <v>0.38263888888888886</v>
      </c>
      <c r="L60" s="67">
        <v>55.0</v>
      </c>
      <c r="M60" s="12">
        <v>0.4618055555555556</v>
      </c>
      <c r="N60" s="13">
        <v>0.4638888888888889</v>
      </c>
      <c r="O60" s="38">
        <v>57.0</v>
      </c>
      <c r="P60" s="12">
        <v>0.5277777777777778</v>
      </c>
      <c r="Q60" s="13">
        <v>0.5340277777777778</v>
      </c>
      <c r="R60" s="11">
        <v>59.0</v>
      </c>
      <c r="S60" s="12">
        <v>0.5958333333333333</v>
      </c>
      <c r="T60" s="13">
        <v>0.6006944444444444</v>
      </c>
      <c r="U60" s="11">
        <v>60.0</v>
      </c>
      <c r="V60" s="12">
        <v>0.6451388888888889</v>
      </c>
      <c r="W60" s="13">
        <v>0.65625</v>
      </c>
      <c r="X60" s="11">
        <v>60.0</v>
      </c>
      <c r="Y60" s="12"/>
      <c r="Z60" s="13">
        <v>0.7569444444444444</v>
      </c>
      <c r="AA60" s="20">
        <v>60.0</v>
      </c>
      <c r="AB60" s="21">
        <v>0.8180555555555555</v>
      </c>
      <c r="AC60" s="22">
        <v>0.8263888888888888</v>
      </c>
      <c r="AD60" s="18">
        <v>60.0</v>
      </c>
      <c r="AE60" s="12">
        <v>0.9305555555555556</v>
      </c>
      <c r="AF60" s="23">
        <v>0.9402777777777778</v>
      </c>
      <c r="AG60" s="11">
        <v>59.0</v>
      </c>
      <c r="AH60" s="12">
        <v>0.013888888888888888</v>
      </c>
      <c r="AI60" s="13">
        <v>0.02013888888888889</v>
      </c>
      <c r="AJ60" s="14">
        <v>66.0</v>
      </c>
      <c r="AK60" s="15">
        <v>0.13333333333333333</v>
      </c>
      <c r="AL60" s="53" t="s">
        <v>178</v>
      </c>
      <c r="AM60" s="11"/>
      <c r="AN60" s="12"/>
      <c r="AO60" s="13"/>
      <c r="AP60" s="11"/>
      <c r="AQ60" s="12"/>
      <c r="AR60" s="13"/>
      <c r="AS60" s="11"/>
      <c r="AT60" s="12"/>
      <c r="AU60" s="13"/>
      <c r="AV60" s="11"/>
      <c r="AW60" s="12"/>
      <c r="AX60" s="13"/>
      <c r="AY60" s="34" t="str">
        <f t="array" ref="AY60">XLOOKUP(B60,faclon_results_2022!$D:$D,faclon_results_2022!$A:$A,"DNF")</f>
        <v>DNF</v>
      </c>
      <c r="AZ60" s="12" t="str">
        <f t="shared" si="1"/>
        <v>#N/A</v>
      </c>
      <c r="BA60" s="18" t="str">
        <f t="array" ref="BA60">XLOOKUP(B60,faclon_results_2022!$D:$D,faclon_results_2022!$J:$J)</f>
        <v>#N/A</v>
      </c>
    </row>
    <row r="61" ht="15.75" customHeight="1">
      <c r="A61" s="7"/>
      <c r="B61" s="47">
        <v>569.0</v>
      </c>
      <c r="C61" s="11">
        <v>85.0</v>
      </c>
      <c r="D61" s="12">
        <v>0.2659722222222222</v>
      </c>
      <c r="E61" s="13">
        <v>0.26666666666666666</v>
      </c>
      <c r="F61" s="64">
        <v>79.0</v>
      </c>
      <c r="G61" s="65">
        <v>0.32083333333333336</v>
      </c>
      <c r="H61" s="66">
        <v>0.32083333333333336</v>
      </c>
      <c r="I61" s="11">
        <v>74.0</v>
      </c>
      <c r="J61" s="12">
        <v>0.3875</v>
      </c>
      <c r="K61" s="13">
        <v>0.3909722222222222</v>
      </c>
      <c r="L61" s="67">
        <v>71.0</v>
      </c>
      <c r="M61" s="12">
        <v>0.47291666666666665</v>
      </c>
      <c r="N61" s="13">
        <v>0.475</v>
      </c>
      <c r="O61" s="38">
        <v>67.0</v>
      </c>
      <c r="P61" s="12">
        <v>0.5402777777777777</v>
      </c>
      <c r="Q61" s="13">
        <v>0.5451388888888888</v>
      </c>
      <c r="R61" s="11">
        <v>72.0</v>
      </c>
      <c r="S61" s="12">
        <v>0.6097222222222223</v>
      </c>
      <c r="T61" s="13">
        <v>0.6118055555555556</v>
      </c>
      <c r="U61" s="11">
        <v>74.0</v>
      </c>
      <c r="V61" s="12">
        <v>0.6645833333333333</v>
      </c>
      <c r="W61" s="13">
        <v>0.6736111111111112</v>
      </c>
      <c r="X61" s="11">
        <v>69.0</v>
      </c>
      <c r="Y61" s="12"/>
      <c r="Z61" s="13">
        <v>0.7777777777777778</v>
      </c>
      <c r="AA61" s="20">
        <v>75.0</v>
      </c>
      <c r="AB61" s="21">
        <v>0.8402777777777778</v>
      </c>
      <c r="AC61" s="22">
        <v>0.8444444444444444</v>
      </c>
      <c r="AD61" s="18">
        <v>79.0</v>
      </c>
      <c r="AE61" s="12">
        <v>0.9493055555555555</v>
      </c>
      <c r="AF61" s="23">
        <v>0.9638888888888889</v>
      </c>
      <c r="AG61" s="11">
        <v>78.0</v>
      </c>
      <c r="AH61" s="12">
        <v>0.03958333333333333</v>
      </c>
      <c r="AI61" s="13">
        <v>0.04236111111111111</v>
      </c>
      <c r="AJ61" s="14">
        <v>76.0</v>
      </c>
      <c r="AK61" s="15">
        <v>0.15416666666666667</v>
      </c>
      <c r="AL61" s="16">
        <v>0.15833333333333333</v>
      </c>
      <c r="AM61" s="11">
        <v>72.0</v>
      </c>
      <c r="AN61" s="12">
        <v>0.23402777777777778</v>
      </c>
      <c r="AO61" s="13">
        <v>0.2465277777777778</v>
      </c>
      <c r="AP61" s="11">
        <v>69.0</v>
      </c>
      <c r="AQ61" s="12">
        <v>0.32013888888888886</v>
      </c>
      <c r="AR61" s="13">
        <v>0.3236111111111111</v>
      </c>
      <c r="AS61" s="11">
        <v>71.0</v>
      </c>
      <c r="AT61" s="12">
        <v>0.4395833333333333</v>
      </c>
      <c r="AU61" s="13">
        <v>0.44305555555555554</v>
      </c>
      <c r="AV61" s="11">
        <v>74.0</v>
      </c>
      <c r="AW61" s="12">
        <v>0.5333333333333333</v>
      </c>
      <c r="AX61" s="13">
        <v>0.5340277777777778</v>
      </c>
      <c r="AY61" s="34">
        <f t="array" ref="AY61">XLOOKUP(B61,faclon_results_2022!$D:$D,faclon_results_2022!$A:$A,"DNF")</f>
        <v>82</v>
      </c>
      <c r="AZ61" s="12">
        <f t="shared" si="1"/>
        <v>0.6069444444</v>
      </c>
      <c r="BA61" s="18">
        <f t="array" ref="BA61">XLOOKUP(B61,faclon_results_2022!$D:$D,faclon_results_2022!$J:$J)</f>
        <v>33.58051</v>
      </c>
    </row>
    <row r="62" ht="15.75" customHeight="1">
      <c r="A62" s="7"/>
      <c r="B62" s="47">
        <v>570.0</v>
      </c>
      <c r="C62" s="11">
        <v>147.0</v>
      </c>
      <c r="D62" s="12">
        <v>0.27152777777777776</v>
      </c>
      <c r="E62" s="13">
        <v>0.2722222222222222</v>
      </c>
      <c r="F62" s="64">
        <v>147.0</v>
      </c>
      <c r="G62" s="65">
        <v>0.3368055555555556</v>
      </c>
      <c r="H62" s="66">
        <v>0.3368055555555556</v>
      </c>
      <c r="I62" s="11">
        <v>144.0</v>
      </c>
      <c r="J62" s="12">
        <v>0.41180555555555554</v>
      </c>
      <c r="K62" s="13">
        <v>0.41875</v>
      </c>
      <c r="L62" s="67">
        <v>139.0</v>
      </c>
      <c r="M62" s="12">
        <v>0.50625</v>
      </c>
      <c r="N62" s="13">
        <v>0.5125</v>
      </c>
      <c r="O62" s="38">
        <v>138.0</v>
      </c>
      <c r="P62" s="12">
        <v>0.5868055555555556</v>
      </c>
      <c r="Q62" s="12">
        <v>0.5902777777777778</v>
      </c>
      <c r="R62" s="11">
        <v>129.0</v>
      </c>
      <c r="S62" s="12">
        <v>0.6576388888888889</v>
      </c>
      <c r="T62" s="13">
        <v>0.6625</v>
      </c>
      <c r="U62" s="11">
        <v>122.0</v>
      </c>
      <c r="V62" s="12">
        <v>0.7104166666666667</v>
      </c>
      <c r="W62" s="13">
        <v>0.7194444444444444</v>
      </c>
      <c r="X62" s="11">
        <v>134.0</v>
      </c>
      <c r="Y62" s="12"/>
      <c r="Z62" s="13">
        <v>0.8534722222222222</v>
      </c>
      <c r="AA62" s="20">
        <v>133.0</v>
      </c>
      <c r="AB62" s="21">
        <v>0.9291666666666667</v>
      </c>
      <c r="AC62" s="22">
        <v>0.9416666666666667</v>
      </c>
      <c r="AD62" s="18">
        <v>136.0</v>
      </c>
      <c r="AE62" s="12">
        <v>0.06041666666666667</v>
      </c>
      <c r="AF62" s="23">
        <v>0.0798611111111111</v>
      </c>
      <c r="AG62" s="11">
        <v>132.0</v>
      </c>
      <c r="AH62" s="12">
        <v>0.16805555555555557</v>
      </c>
      <c r="AI62" s="38" t="s">
        <v>178</v>
      </c>
      <c r="AJ62" s="68"/>
      <c r="AK62" s="68"/>
      <c r="AL62" s="69"/>
      <c r="AM62" s="11"/>
      <c r="AN62" s="12"/>
      <c r="AO62" s="38"/>
      <c r="AP62" s="11"/>
      <c r="AQ62" s="12"/>
      <c r="AR62" s="38"/>
      <c r="AS62" s="11"/>
      <c r="AT62" s="12"/>
      <c r="AU62" s="38"/>
      <c r="AV62" s="11"/>
      <c r="AW62" s="12"/>
      <c r="AX62" s="38"/>
      <c r="AY62" s="34" t="str">
        <f t="array" ref="AY62">XLOOKUP(B62,faclon_results_2022!$D:$D,faclon_results_2022!$A:$A,"DNF")</f>
        <v>DNF</v>
      </c>
      <c r="AZ62" s="12" t="str">
        <f t="shared" si="1"/>
        <v>#N/A</v>
      </c>
      <c r="BA62" s="18" t="str">
        <f t="array" ref="BA62">XLOOKUP(B62,faclon_results_2022!$D:$D,faclon_results_2022!$J:$J)</f>
        <v>#N/A</v>
      </c>
    </row>
    <row r="63" ht="15.75" customHeight="1">
      <c r="A63" s="7"/>
      <c r="B63" s="47">
        <v>571.0</v>
      </c>
      <c r="C63" s="11">
        <v>50.0</v>
      </c>
      <c r="D63" s="12">
        <v>0.26180555555555557</v>
      </c>
      <c r="E63" s="13">
        <v>0.2625</v>
      </c>
      <c r="F63" s="64">
        <v>54.0</v>
      </c>
      <c r="G63" s="65">
        <v>0.3145833333333333</v>
      </c>
      <c r="H63" s="66">
        <v>0.3145833333333333</v>
      </c>
      <c r="I63" s="11">
        <v>61.0</v>
      </c>
      <c r="J63" s="12">
        <v>0.38263888888888886</v>
      </c>
      <c r="K63" s="13">
        <v>0.3888888888888889</v>
      </c>
      <c r="L63" s="67">
        <v>77.0</v>
      </c>
      <c r="M63" s="12">
        <v>0.475</v>
      </c>
      <c r="N63" s="13">
        <v>0.4791666666666667</v>
      </c>
      <c r="O63" s="38">
        <v>82.0</v>
      </c>
      <c r="P63" s="12">
        <v>0.55</v>
      </c>
      <c r="Q63" s="13">
        <v>0.5534722222222223</v>
      </c>
      <c r="R63" s="11">
        <v>83.0</v>
      </c>
      <c r="S63" s="12">
        <v>0.6229166666666667</v>
      </c>
      <c r="T63" s="13">
        <v>0.6243055555555556</v>
      </c>
      <c r="U63" s="11">
        <v>80.0</v>
      </c>
      <c r="V63" s="12">
        <v>0.6694444444444444</v>
      </c>
      <c r="W63" s="13">
        <v>0.7</v>
      </c>
      <c r="X63" s="11">
        <v>99.0</v>
      </c>
      <c r="Y63" s="12"/>
      <c r="Z63" s="13">
        <v>0.8111111111111111</v>
      </c>
      <c r="AA63" s="20">
        <v>97.0</v>
      </c>
      <c r="AB63" s="21">
        <v>0.8777777777777778</v>
      </c>
      <c r="AC63" s="22">
        <v>0.8875</v>
      </c>
      <c r="AD63" s="18">
        <v>97.0</v>
      </c>
      <c r="AE63" s="12">
        <v>0.9888888888888889</v>
      </c>
      <c r="AF63" s="23">
        <v>0.010416666666666666</v>
      </c>
      <c r="AG63" s="11">
        <v>98.0</v>
      </c>
      <c r="AH63" s="12">
        <v>0.08958333333333333</v>
      </c>
      <c r="AI63" s="13">
        <v>0.10069444444444445</v>
      </c>
      <c r="AJ63" s="14">
        <v>98.0</v>
      </c>
      <c r="AK63" s="15">
        <v>0.20277777777777778</v>
      </c>
      <c r="AL63" s="16">
        <v>0.21041666666666667</v>
      </c>
      <c r="AM63" s="11">
        <v>89.0</v>
      </c>
      <c r="AN63" s="12">
        <v>0.26944444444444443</v>
      </c>
      <c r="AO63" s="13">
        <v>0.2916666666666667</v>
      </c>
      <c r="AP63" s="11">
        <v>101.0</v>
      </c>
      <c r="AQ63" s="12">
        <v>0.37222222222222223</v>
      </c>
      <c r="AR63" s="13">
        <v>0.38263888888888886</v>
      </c>
      <c r="AS63" s="11">
        <v>104.0</v>
      </c>
      <c r="AT63" s="12">
        <v>0.07361111111111111</v>
      </c>
      <c r="AU63" s="13">
        <v>0.4986111111111111</v>
      </c>
      <c r="AV63" s="11">
        <v>102.0</v>
      </c>
      <c r="AW63" s="12">
        <v>0.08055555555555556</v>
      </c>
      <c r="AX63" s="13">
        <v>0.08333333333333333</v>
      </c>
      <c r="AY63" s="34">
        <f t="array" ref="AY63">XLOOKUP(B63,faclon_results_2022!$D:$D,faclon_results_2022!$A:$A,"DNF")</f>
        <v>99</v>
      </c>
      <c r="AZ63" s="12">
        <f t="shared" si="1"/>
        <v>0.6506944444</v>
      </c>
      <c r="BA63" s="18">
        <f t="array" ref="BA63">XLOOKUP(B63,faclon_results_2022!$D:$D,faclon_results_2022!$J:$J)</f>
        <v>34.62203</v>
      </c>
    </row>
    <row r="64" ht="15.75" customHeight="1">
      <c r="A64" s="7"/>
      <c r="B64" s="47">
        <v>572.0</v>
      </c>
      <c r="C64" s="11">
        <v>80.0</v>
      </c>
      <c r="D64" s="12">
        <v>0.2659722222222222</v>
      </c>
      <c r="E64" s="13">
        <v>0.26666666666666666</v>
      </c>
      <c r="F64" s="64">
        <v>99.0</v>
      </c>
      <c r="G64" s="65">
        <v>0.32569444444444445</v>
      </c>
      <c r="H64" s="66">
        <v>0.32569444444444445</v>
      </c>
      <c r="I64" s="11">
        <v>123.0</v>
      </c>
      <c r="J64" s="12">
        <v>0.4041666666666667</v>
      </c>
      <c r="K64" s="38" t="s">
        <v>178</v>
      </c>
      <c r="M64" s="12"/>
      <c r="N64" s="13"/>
      <c r="O64" s="38"/>
      <c r="Q64" s="72"/>
      <c r="R64" s="11"/>
      <c r="S64" s="18"/>
      <c r="T64" s="38"/>
      <c r="U64" s="11"/>
      <c r="V64" s="18"/>
      <c r="W64" s="38"/>
      <c r="X64" s="11"/>
      <c r="Y64" s="18"/>
      <c r="Z64" s="38"/>
      <c r="AA64" s="20"/>
      <c r="AB64" s="71"/>
      <c r="AC64" s="56"/>
      <c r="AD64" s="18"/>
      <c r="AE64" s="18"/>
      <c r="AF64" s="47"/>
      <c r="AG64" s="11"/>
      <c r="AH64" s="18"/>
      <c r="AI64" s="38"/>
      <c r="AJ64" s="68"/>
      <c r="AK64" s="68"/>
      <c r="AL64" s="69"/>
      <c r="AM64" s="11"/>
      <c r="AN64" s="18"/>
      <c r="AO64" s="38"/>
      <c r="AP64" s="11"/>
      <c r="AQ64" s="18"/>
      <c r="AR64" s="38"/>
      <c r="AS64" s="11"/>
      <c r="AT64" s="18"/>
      <c r="AU64" s="38"/>
      <c r="AV64" s="11"/>
      <c r="AW64" s="18"/>
      <c r="AX64" s="38"/>
      <c r="AY64" s="34" t="str">
        <f t="array" ref="AY64">XLOOKUP(B64,faclon_results_2022!$D:$D,faclon_results_2022!$A:$A,"DNF")</f>
        <v>DNF</v>
      </c>
      <c r="AZ64" s="12" t="str">
        <f t="shared" si="1"/>
        <v>#N/A</v>
      </c>
      <c r="BA64" s="18" t="str">
        <f t="array" ref="BA64">XLOOKUP(B64,faclon_results_2022!$D:$D,faclon_results_2022!$J:$J)</f>
        <v>#N/A</v>
      </c>
    </row>
    <row r="65" ht="15.75" customHeight="1">
      <c r="A65" s="7"/>
      <c r="B65" s="47">
        <v>574.0</v>
      </c>
      <c r="C65" s="11">
        <v>111.0</v>
      </c>
      <c r="D65" s="12">
        <v>0.26944444444444443</v>
      </c>
      <c r="E65" s="13">
        <v>0.2701388888888889</v>
      </c>
      <c r="F65" s="64"/>
      <c r="G65" s="65"/>
      <c r="H65" s="66"/>
      <c r="I65" s="11">
        <v>159.0</v>
      </c>
      <c r="J65" s="12">
        <v>0.41458333333333336</v>
      </c>
      <c r="K65" s="13">
        <v>0.4215277777777778</v>
      </c>
      <c r="L65" s="67">
        <v>173.0</v>
      </c>
      <c r="M65" s="12">
        <v>0.5326388888888889</v>
      </c>
      <c r="N65" s="13">
        <v>0.5381944444444444</v>
      </c>
      <c r="O65" s="38">
        <v>180.0</v>
      </c>
      <c r="P65" s="12">
        <v>0.6243055555555556</v>
      </c>
      <c r="Q65" s="13">
        <v>0.6305555555555555</v>
      </c>
      <c r="R65" s="11">
        <v>176.0</v>
      </c>
      <c r="S65" s="12">
        <v>0.7083333333333334</v>
      </c>
      <c r="T65" s="13">
        <v>0.7131944444444445</v>
      </c>
      <c r="U65" s="11">
        <v>175.0</v>
      </c>
      <c r="V65" s="12">
        <v>0.76875</v>
      </c>
      <c r="W65" s="38" t="s">
        <v>178</v>
      </c>
      <c r="X65" s="11"/>
      <c r="Y65" s="12"/>
      <c r="Z65" s="13"/>
      <c r="AA65" s="20"/>
      <c r="AB65" s="20"/>
      <c r="AC65" s="70"/>
      <c r="AD65" s="18"/>
      <c r="AE65" s="18"/>
      <c r="AF65" s="47"/>
      <c r="AG65" s="11"/>
      <c r="AH65" s="12"/>
      <c r="AI65" s="13"/>
      <c r="AJ65" s="68"/>
      <c r="AK65" s="68"/>
      <c r="AL65" s="69"/>
      <c r="AM65" s="11"/>
      <c r="AN65" s="12"/>
      <c r="AO65" s="13"/>
      <c r="AP65" s="11"/>
      <c r="AQ65" s="12"/>
      <c r="AR65" s="13"/>
      <c r="AS65" s="11"/>
      <c r="AT65" s="12"/>
      <c r="AU65" s="13"/>
      <c r="AV65" s="11"/>
      <c r="AW65" s="12"/>
      <c r="AX65" s="13"/>
      <c r="AY65" s="34" t="str">
        <f t="array" ref="AY65">XLOOKUP(B65,faclon_results_2022!$D:$D,faclon_results_2022!$A:$A,"DNF")</f>
        <v>DNF</v>
      </c>
      <c r="AZ65" s="12" t="str">
        <f t="shared" si="1"/>
        <v>#N/A</v>
      </c>
      <c r="BA65" s="18" t="str">
        <f t="array" ref="BA65">XLOOKUP(B65,faclon_results_2022!$D:$D,faclon_results_2022!$J:$J)</f>
        <v>#N/A</v>
      </c>
    </row>
    <row r="66" ht="15.75" customHeight="1">
      <c r="A66" s="7"/>
      <c r="B66" s="47">
        <v>575.0</v>
      </c>
      <c r="C66" s="11">
        <v>91.0</v>
      </c>
      <c r="D66" s="12">
        <v>0.2673611111111111</v>
      </c>
      <c r="E66" s="13">
        <v>0.26805555555555555</v>
      </c>
      <c r="F66" s="64">
        <v>119.0</v>
      </c>
      <c r="G66" s="65">
        <v>0.3298611111111111</v>
      </c>
      <c r="H66" s="66">
        <v>0.3298611111111111</v>
      </c>
      <c r="I66" s="11">
        <v>100.0</v>
      </c>
      <c r="J66" s="12">
        <v>0.39652777777777776</v>
      </c>
      <c r="K66" s="13">
        <v>0.4</v>
      </c>
      <c r="L66" s="67">
        <v>92.0</v>
      </c>
      <c r="M66" s="12">
        <v>0.4840277777777778</v>
      </c>
      <c r="N66" s="13">
        <v>0.48819444444444443</v>
      </c>
      <c r="O66" s="38">
        <v>94.0</v>
      </c>
      <c r="P66" s="12">
        <v>0.5569444444444445</v>
      </c>
      <c r="Q66" s="13">
        <v>0.5590277777777778</v>
      </c>
      <c r="R66" s="11">
        <v>96.0</v>
      </c>
      <c r="S66" s="12">
        <v>0.6298611111111111</v>
      </c>
      <c r="T66" s="13">
        <v>0.6333333333333333</v>
      </c>
      <c r="U66" s="11">
        <v>95.0</v>
      </c>
      <c r="V66" s="12">
        <v>0.68125</v>
      </c>
      <c r="W66" s="13">
        <v>0.6875</v>
      </c>
      <c r="X66" s="11">
        <v>82.0</v>
      </c>
      <c r="Y66" s="12"/>
      <c r="Z66" s="13">
        <v>0.7902777777777777</v>
      </c>
      <c r="AA66" s="20">
        <v>83.0</v>
      </c>
      <c r="AB66" s="21">
        <v>0.8548611111111111</v>
      </c>
      <c r="AC66" s="22">
        <v>0.8576388888888888</v>
      </c>
      <c r="AD66" s="18">
        <v>81.0</v>
      </c>
      <c r="AE66" s="12">
        <v>0.9527777777777777</v>
      </c>
      <c r="AF66" s="23">
        <v>0.9618055555555556</v>
      </c>
      <c r="AG66" s="11">
        <v>72.0</v>
      </c>
      <c r="AH66" s="12">
        <v>0.030555555555555555</v>
      </c>
      <c r="AI66" s="13">
        <v>0.034722222222222224</v>
      </c>
      <c r="AJ66" s="14">
        <v>63.0</v>
      </c>
      <c r="AK66" s="15">
        <v>0.1326388888888889</v>
      </c>
      <c r="AL66" s="16">
        <v>0.1375</v>
      </c>
      <c r="AM66" s="11">
        <v>58.0</v>
      </c>
      <c r="AN66" s="12">
        <v>0.2013888888888889</v>
      </c>
      <c r="AO66" s="13">
        <v>0.2125</v>
      </c>
      <c r="AP66" s="11">
        <v>58.0</v>
      </c>
      <c r="AQ66" s="12">
        <v>0.28541666666666665</v>
      </c>
      <c r="AR66" s="13">
        <v>0.29097222222222224</v>
      </c>
      <c r="AS66" s="11">
        <v>61.0</v>
      </c>
      <c r="AT66" s="12">
        <v>0.40625</v>
      </c>
      <c r="AU66" s="13">
        <v>0.4166666666666667</v>
      </c>
      <c r="AV66" s="11">
        <v>64.0</v>
      </c>
      <c r="AW66" s="12">
        <v>0.5020833333333333</v>
      </c>
      <c r="AX66" s="13">
        <v>0.5048611111111111</v>
      </c>
      <c r="AY66" s="34">
        <f t="array" ref="AY66">XLOOKUP(B66,faclon_results_2022!$D:$D,faclon_results_2022!$A:$A,"DNF")</f>
        <v>62</v>
      </c>
      <c r="AZ66" s="12">
        <f t="shared" si="1"/>
        <v>0.5652777778</v>
      </c>
      <c r="BA66" s="18">
        <f t="array" ref="BA66">XLOOKUP(B66,faclon_results_2022!$D:$D,faclon_results_2022!$J:$J)</f>
        <v>32.57107</v>
      </c>
    </row>
    <row r="67" ht="15.75" customHeight="1">
      <c r="A67" s="7"/>
      <c r="B67" s="47">
        <v>576.0</v>
      </c>
      <c r="C67" s="11">
        <v>186.0</v>
      </c>
      <c r="D67" s="12">
        <v>0.2791666666666667</v>
      </c>
      <c r="E67" s="13">
        <v>0.2798611111111111</v>
      </c>
      <c r="F67" s="64">
        <v>192.0</v>
      </c>
      <c r="G67" s="65">
        <v>0.3541666666666667</v>
      </c>
      <c r="H67" s="66">
        <v>0.3541666666666667</v>
      </c>
      <c r="I67" s="11">
        <v>192.0</v>
      </c>
      <c r="J67" s="12">
        <v>0.44027777777777777</v>
      </c>
      <c r="K67" s="13">
        <v>0.44375</v>
      </c>
      <c r="L67" s="67">
        <v>189.0</v>
      </c>
      <c r="M67" s="12">
        <v>0.5597222222222222</v>
      </c>
      <c r="N67" s="13">
        <v>0.5638888888888889</v>
      </c>
      <c r="O67" s="38">
        <v>189.0</v>
      </c>
      <c r="P67" s="12">
        <v>0.6527777777777778</v>
      </c>
      <c r="Q67" s="13">
        <v>0.6569444444444444</v>
      </c>
      <c r="R67" s="11">
        <v>189.0</v>
      </c>
      <c r="S67" s="12">
        <v>0.74375</v>
      </c>
      <c r="T67" s="13">
        <v>0.7479166666666667</v>
      </c>
      <c r="U67" s="11">
        <v>190.0</v>
      </c>
      <c r="V67" s="12">
        <v>0.8104166666666667</v>
      </c>
      <c r="W67" s="13">
        <v>0.8298611111111112</v>
      </c>
      <c r="X67" s="11"/>
      <c r="Y67" s="12"/>
      <c r="Z67" s="13"/>
      <c r="AA67" s="20"/>
      <c r="AB67" s="71"/>
      <c r="AC67" s="70"/>
      <c r="AD67" s="18"/>
      <c r="AE67" s="18"/>
      <c r="AF67" s="47"/>
      <c r="AG67" s="11"/>
      <c r="AH67" s="18"/>
      <c r="AI67" s="38"/>
      <c r="AJ67" s="68"/>
      <c r="AK67" s="68"/>
      <c r="AL67" s="69"/>
      <c r="AM67" s="11"/>
      <c r="AN67" s="12"/>
      <c r="AO67" s="13"/>
      <c r="AP67" s="11"/>
      <c r="AQ67" s="12"/>
      <c r="AR67" s="13"/>
      <c r="AS67" s="11"/>
      <c r="AT67" s="12"/>
      <c r="AU67" s="13"/>
      <c r="AV67" s="11"/>
      <c r="AW67" s="12"/>
      <c r="AX67" s="13"/>
      <c r="AY67" s="34" t="str">
        <f t="array" ref="AY67">XLOOKUP(B67,faclon_results_2022!$D:$D,faclon_results_2022!$A:$A,"DNF")</f>
        <v>DNF</v>
      </c>
      <c r="AZ67" s="12" t="str">
        <f t="shared" si="1"/>
        <v>#N/A</v>
      </c>
      <c r="BA67" s="18" t="str">
        <f t="array" ref="BA67">XLOOKUP(B67,faclon_results_2022!$D:$D,faclon_results_2022!$J:$J)</f>
        <v>#N/A</v>
      </c>
    </row>
    <row r="68" ht="15.75" customHeight="1">
      <c r="A68" s="7"/>
      <c r="B68" s="47">
        <v>577.0</v>
      </c>
      <c r="C68" s="11">
        <v>117.0</v>
      </c>
      <c r="D68" s="12">
        <v>0.26944444444444443</v>
      </c>
      <c r="E68" s="13">
        <v>0.2701388888888889</v>
      </c>
      <c r="F68" s="64"/>
      <c r="G68" s="65"/>
      <c r="H68" s="66"/>
      <c r="I68" s="11">
        <v>134.0</v>
      </c>
      <c r="J68" s="12">
        <v>0.4083333333333333</v>
      </c>
      <c r="K68" s="13">
        <v>0.4111111111111111</v>
      </c>
      <c r="L68" s="67">
        <v>134.0</v>
      </c>
      <c r="M68" s="12">
        <v>0.5048611111111111</v>
      </c>
      <c r="N68" s="13">
        <v>0.5069444444444444</v>
      </c>
      <c r="O68" s="38">
        <v>128.0</v>
      </c>
      <c r="P68" s="12">
        <v>0.5798611111111112</v>
      </c>
      <c r="Q68" s="12">
        <v>0.5826388888888889</v>
      </c>
      <c r="R68" s="11">
        <v>127.0</v>
      </c>
      <c r="S68" s="12">
        <v>0.65625</v>
      </c>
      <c r="T68" s="13">
        <v>0.6583333333333333</v>
      </c>
      <c r="U68" s="11">
        <v>116.0</v>
      </c>
      <c r="V68" s="12">
        <v>0.70625</v>
      </c>
      <c r="W68" s="13">
        <v>0.7131944444444445</v>
      </c>
      <c r="X68" s="11">
        <v>107.0</v>
      </c>
      <c r="Y68" s="12"/>
      <c r="Z68" s="13">
        <v>0.8243055555555555</v>
      </c>
      <c r="AA68" s="20">
        <v>108.0</v>
      </c>
      <c r="AB68" s="21">
        <v>0.8923611111111112</v>
      </c>
      <c r="AC68" s="22">
        <v>0.8951388888888889</v>
      </c>
      <c r="AD68" s="18">
        <v>103.0</v>
      </c>
      <c r="AE68" s="12">
        <v>0.003472222222222222</v>
      </c>
      <c r="AF68" s="23">
        <v>0.010416666666666666</v>
      </c>
      <c r="AG68" s="11">
        <v>94.0</v>
      </c>
      <c r="AH68" s="12">
        <v>0.08402777777777778</v>
      </c>
      <c r="AI68" s="13">
        <v>0.08541666666666667</v>
      </c>
      <c r="AJ68" s="14">
        <v>90.0</v>
      </c>
      <c r="AK68" s="15">
        <v>0.19236111111111112</v>
      </c>
      <c r="AL68" s="16">
        <v>0.19444444444444445</v>
      </c>
      <c r="AM68" s="11">
        <v>79.0</v>
      </c>
      <c r="AN68" s="12">
        <v>0.25833333333333336</v>
      </c>
      <c r="AO68" s="13">
        <v>0.26875</v>
      </c>
      <c r="AP68" s="11">
        <v>76.0</v>
      </c>
      <c r="AQ68" s="12">
        <v>0.3375</v>
      </c>
      <c r="AR68" s="13">
        <v>0.3416666666666667</v>
      </c>
      <c r="AS68" s="11">
        <v>80.0</v>
      </c>
      <c r="AT68" s="12">
        <v>0.4534722222222222</v>
      </c>
      <c r="AU68" s="13">
        <v>0.45694444444444443</v>
      </c>
      <c r="AV68" s="11">
        <v>76.0</v>
      </c>
      <c r="AW68" s="12">
        <v>0.5347222222222222</v>
      </c>
      <c r="AX68" s="13">
        <v>0.5354166666666667</v>
      </c>
      <c r="AY68" s="34">
        <f t="array" ref="AY68">XLOOKUP(B68,faclon_results_2022!$D:$D,faclon_results_2022!$A:$A,"DNF")</f>
        <v>76</v>
      </c>
      <c r="AZ68" s="12">
        <f t="shared" si="1"/>
        <v>0.5951388889</v>
      </c>
      <c r="BA68" s="18">
        <f t="array" ref="BA68">XLOOKUP(B68,faclon_results_2022!$D:$D,faclon_results_2022!$J:$J)</f>
        <v>33.29642</v>
      </c>
    </row>
    <row r="69" ht="15.75" customHeight="1">
      <c r="A69" s="7"/>
      <c r="B69" s="47">
        <v>578.0</v>
      </c>
      <c r="C69" s="11">
        <v>118.0</v>
      </c>
      <c r="D69" s="12">
        <v>0.26944444444444443</v>
      </c>
      <c r="E69" s="13">
        <v>0.2701388888888889</v>
      </c>
      <c r="F69" s="64">
        <v>122.0</v>
      </c>
      <c r="G69" s="65">
        <v>0.33125</v>
      </c>
      <c r="H69" s="66">
        <v>0.33125</v>
      </c>
      <c r="I69" s="11">
        <v>86.0</v>
      </c>
      <c r="J69" s="12">
        <v>0.3888888888888889</v>
      </c>
      <c r="K69" s="13">
        <v>0.3902777777777778</v>
      </c>
      <c r="L69" s="67">
        <v>60.0</v>
      </c>
      <c r="M69" s="12">
        <v>0.4638888888888889</v>
      </c>
      <c r="N69" s="13">
        <v>0.4673611111111111</v>
      </c>
      <c r="O69" s="38">
        <v>55.0</v>
      </c>
      <c r="P69" s="12">
        <v>0.5270833333333333</v>
      </c>
      <c r="Q69" s="13">
        <v>0.5375</v>
      </c>
      <c r="R69" s="11">
        <v>57.0</v>
      </c>
      <c r="S69" s="12">
        <v>0.5944444444444444</v>
      </c>
      <c r="T69" s="13">
        <v>0.5972222222222222</v>
      </c>
      <c r="U69" s="11">
        <v>56.0</v>
      </c>
      <c r="V69" s="12">
        <v>0.6409722222222223</v>
      </c>
      <c r="W69" s="13">
        <v>0.6555555555555556</v>
      </c>
      <c r="X69" s="11">
        <v>58.0</v>
      </c>
      <c r="Y69" s="18"/>
      <c r="Z69" s="13">
        <v>0.7569444444444444</v>
      </c>
      <c r="AA69" s="20">
        <v>56.0</v>
      </c>
      <c r="AB69" s="21">
        <v>0.8125</v>
      </c>
      <c r="AC69" s="22">
        <v>0.8215277777777777</v>
      </c>
      <c r="AD69" s="18">
        <v>53.0</v>
      </c>
      <c r="AE69" s="12">
        <v>0.9076388888888889</v>
      </c>
      <c r="AF69" s="23">
        <v>0.9270833333333334</v>
      </c>
      <c r="AG69" s="11">
        <v>52.0</v>
      </c>
      <c r="AH69" s="12">
        <v>0.9986111111111111</v>
      </c>
      <c r="AI69" s="13">
        <v>0.011111111111111112</v>
      </c>
      <c r="AJ69" s="14">
        <v>67.0</v>
      </c>
      <c r="AK69" s="15">
        <v>0.13402777777777777</v>
      </c>
      <c r="AL69" s="53" t="s">
        <v>178</v>
      </c>
      <c r="AM69" s="11"/>
      <c r="AN69" s="18"/>
      <c r="AO69" s="38"/>
      <c r="AP69" s="11"/>
      <c r="AQ69" s="18"/>
      <c r="AR69" s="38"/>
      <c r="AS69" s="11"/>
      <c r="AT69" s="18"/>
      <c r="AU69" s="38"/>
      <c r="AV69" s="11"/>
      <c r="AW69" s="18"/>
      <c r="AX69" s="38"/>
      <c r="AY69" s="34" t="str">
        <f t="array" ref="AY69">XLOOKUP(B69,faclon_results_2022!$D:$D,faclon_results_2022!$A:$A,"DNF")</f>
        <v>DNF</v>
      </c>
      <c r="AZ69" s="12" t="str">
        <f t="shared" si="1"/>
        <v>#N/A</v>
      </c>
      <c r="BA69" s="18" t="str">
        <f t="array" ref="BA69">XLOOKUP(B69,faclon_results_2022!$D:$D,faclon_results_2022!$J:$J)</f>
        <v>#N/A</v>
      </c>
    </row>
    <row r="70" ht="15.75" customHeight="1">
      <c r="A70" s="7"/>
      <c r="B70" s="47">
        <v>579.0</v>
      </c>
      <c r="C70" s="11">
        <v>197.0</v>
      </c>
      <c r="D70" s="12">
        <v>0.2826388888888889</v>
      </c>
      <c r="E70" s="13">
        <v>0.2833333333333333</v>
      </c>
      <c r="F70" s="64">
        <v>196.0</v>
      </c>
      <c r="G70" s="65">
        <v>0.3770833333333333</v>
      </c>
      <c r="H70" s="66">
        <v>0.3770833333333333</v>
      </c>
      <c r="I70" s="11">
        <v>200.0</v>
      </c>
      <c r="J70" s="12">
        <v>0.44930555555555557</v>
      </c>
      <c r="K70" s="13">
        <v>0.45208333333333334</v>
      </c>
      <c r="L70" s="67">
        <v>192.0</v>
      </c>
      <c r="M70" s="12">
        <v>0.5680555555555555</v>
      </c>
      <c r="N70" s="13">
        <v>0.5701388888888889</v>
      </c>
      <c r="O70" s="38">
        <v>191.0</v>
      </c>
      <c r="P70" s="12">
        <v>0.6548611111111111</v>
      </c>
      <c r="Q70" s="13">
        <v>0.6569444444444444</v>
      </c>
      <c r="R70" s="11">
        <v>188.0</v>
      </c>
      <c r="S70" s="12">
        <v>0.7347222222222223</v>
      </c>
      <c r="T70" s="13">
        <v>0.7361111111111112</v>
      </c>
      <c r="U70" s="11">
        <v>184.0</v>
      </c>
      <c r="V70" s="12">
        <v>0.7965277777777777</v>
      </c>
      <c r="W70" s="13">
        <v>0.8020833333333334</v>
      </c>
      <c r="X70" s="11">
        <v>170.0</v>
      </c>
      <c r="Y70" s="12"/>
      <c r="Z70" s="13">
        <v>0.8465277777777778</v>
      </c>
      <c r="AA70" s="20">
        <v>171.0</v>
      </c>
      <c r="AB70" s="21">
        <v>0.021527777777777778</v>
      </c>
      <c r="AC70" s="22">
        <v>0.009722222222222222</v>
      </c>
      <c r="AD70" s="18"/>
      <c r="AE70" s="18"/>
      <c r="AF70" s="47"/>
      <c r="AG70" s="11"/>
      <c r="AH70" s="12"/>
      <c r="AI70" s="13"/>
      <c r="AJ70" s="68"/>
      <c r="AK70" s="68"/>
      <c r="AL70" s="69"/>
      <c r="AM70" s="11"/>
      <c r="AN70" s="12"/>
      <c r="AO70" s="13"/>
      <c r="AP70" s="11"/>
      <c r="AQ70" s="12"/>
      <c r="AR70" s="13"/>
      <c r="AS70" s="11"/>
      <c r="AT70" s="12"/>
      <c r="AU70" s="13"/>
      <c r="AV70" s="11"/>
      <c r="AW70" s="12"/>
      <c r="AX70" s="13"/>
      <c r="AY70" s="34" t="str">
        <f t="array" ref="AY70">XLOOKUP(B70,faclon_results_2022!$D:$D,faclon_results_2022!$A:$A,"DNF")</f>
        <v>DNF</v>
      </c>
      <c r="AZ70" s="12" t="str">
        <f t="shared" si="1"/>
        <v>#N/A</v>
      </c>
      <c r="BA70" s="18" t="str">
        <f t="array" ref="BA70">XLOOKUP(B70,faclon_results_2022!$D:$D,faclon_results_2022!$J:$J)</f>
        <v>#N/A</v>
      </c>
    </row>
    <row r="71" ht="15.75" customHeight="1">
      <c r="A71" s="7"/>
      <c r="B71" s="47">
        <v>580.0</v>
      </c>
      <c r="C71" s="11">
        <v>120.0</v>
      </c>
      <c r="D71" s="12">
        <v>0.2701388888888889</v>
      </c>
      <c r="E71" s="13">
        <v>0.2708333333333333</v>
      </c>
      <c r="F71" s="64">
        <v>114.0</v>
      </c>
      <c r="G71" s="65">
        <v>0.32916666666666666</v>
      </c>
      <c r="H71" s="66">
        <v>0.32916666666666666</v>
      </c>
      <c r="I71" s="11">
        <v>116.0</v>
      </c>
      <c r="J71" s="12">
        <v>0.4013888888888889</v>
      </c>
      <c r="K71" s="13">
        <v>0.41180555555555554</v>
      </c>
      <c r="L71" s="67">
        <v>122.0</v>
      </c>
      <c r="M71" s="12">
        <v>0.5013888888888889</v>
      </c>
      <c r="N71" s="13">
        <v>0.50625</v>
      </c>
      <c r="O71" s="38">
        <v>131.0</v>
      </c>
      <c r="P71" s="12">
        <v>0.5805555555555556</v>
      </c>
      <c r="Q71" s="13">
        <v>0.5854166666666667</v>
      </c>
      <c r="R71" s="11">
        <v>125.0</v>
      </c>
      <c r="S71" s="12">
        <v>0.65625</v>
      </c>
      <c r="T71" s="13">
        <v>0.6604166666666667</v>
      </c>
      <c r="U71" s="11">
        <v>119.0</v>
      </c>
      <c r="V71" s="12">
        <v>0.7090277777777778</v>
      </c>
      <c r="W71" s="13">
        <v>0.7319444444444444</v>
      </c>
      <c r="X71" s="11">
        <v>123.0</v>
      </c>
      <c r="Y71" s="12"/>
      <c r="Z71" s="13">
        <v>0.8423611111111111</v>
      </c>
      <c r="AA71" s="20">
        <v>120.0</v>
      </c>
      <c r="AB71" s="21">
        <v>0.9104166666666667</v>
      </c>
      <c r="AC71" s="22">
        <v>0.9152777777777777</v>
      </c>
      <c r="AD71" s="18">
        <v>116.0</v>
      </c>
      <c r="AE71" s="12">
        <v>0.027777777777777776</v>
      </c>
      <c r="AF71" s="23">
        <v>0.04513888888888889</v>
      </c>
      <c r="AG71" s="11">
        <v>113.0</v>
      </c>
      <c r="AH71" s="12">
        <v>0.11736111111111111</v>
      </c>
      <c r="AI71" s="13">
        <v>0.12222222222222222</v>
      </c>
      <c r="AJ71" s="14">
        <v>112.0</v>
      </c>
      <c r="AK71" s="15">
        <v>0.2361111111111111</v>
      </c>
      <c r="AL71" s="16">
        <v>0.24513888888888888</v>
      </c>
      <c r="AM71" s="11">
        <v>106.0</v>
      </c>
      <c r="AN71" s="12">
        <v>0.3034722222222222</v>
      </c>
      <c r="AO71" s="13">
        <v>0.3173611111111111</v>
      </c>
      <c r="AP71" s="11">
        <v>106.0</v>
      </c>
      <c r="AQ71" s="12">
        <v>0.38263888888888886</v>
      </c>
      <c r="AR71" s="13">
        <v>0.3888888888888889</v>
      </c>
      <c r="AS71" s="11">
        <v>101.0</v>
      </c>
      <c r="AT71" s="12">
        <v>0.4847222222222222</v>
      </c>
      <c r="AU71" s="13">
        <v>0.4965277777777778</v>
      </c>
      <c r="AV71" s="11">
        <v>104.0</v>
      </c>
      <c r="AW71" s="12">
        <v>0.08125</v>
      </c>
      <c r="AX71" s="13">
        <v>0.08611111111111111</v>
      </c>
      <c r="AY71" s="34">
        <f t="array" ref="AY71">XLOOKUP(B71,faclon_results_2022!$D:$D,faclon_results_2022!$A:$A,"DNF")</f>
        <v>103</v>
      </c>
      <c r="AZ71" s="12">
        <f t="shared" si="1"/>
        <v>0.6534722222</v>
      </c>
      <c r="BA71" s="18">
        <f t="array" ref="BA71">XLOOKUP(B71,faclon_results_2022!$D:$D,faclon_results_2022!$J:$J)</f>
        <v>34.69188</v>
      </c>
    </row>
    <row r="72" ht="15.75" customHeight="1">
      <c r="A72" s="7"/>
      <c r="B72" s="47">
        <v>581.0</v>
      </c>
      <c r="C72" s="11">
        <v>104.0</v>
      </c>
      <c r="D72" s="12">
        <v>0.26875</v>
      </c>
      <c r="E72" s="13">
        <v>0.26944444444444443</v>
      </c>
      <c r="F72" s="64">
        <v>116.0</v>
      </c>
      <c r="G72" s="65">
        <v>0.3298611111111111</v>
      </c>
      <c r="H72" s="66">
        <v>0.3298611111111111</v>
      </c>
      <c r="I72" s="11">
        <v>107.0</v>
      </c>
      <c r="J72" s="12">
        <v>0.39861111111111114</v>
      </c>
      <c r="K72" s="13">
        <v>0.40208333333333335</v>
      </c>
      <c r="L72" s="67">
        <v>88.0</v>
      </c>
      <c r="M72" s="12">
        <v>0.48333333333333334</v>
      </c>
      <c r="N72" s="13">
        <v>0.4840277777777778</v>
      </c>
      <c r="O72" s="38">
        <v>85.0</v>
      </c>
      <c r="P72" s="12">
        <v>0.5534722222222223</v>
      </c>
      <c r="Q72" s="13">
        <v>0.55625</v>
      </c>
      <c r="R72" s="11">
        <v>80.0</v>
      </c>
      <c r="S72" s="12">
        <v>0.61875</v>
      </c>
      <c r="T72" s="13">
        <v>0.6208333333333333</v>
      </c>
      <c r="U72" s="11">
        <v>77.0</v>
      </c>
      <c r="V72" s="12">
        <v>0.6694444444444444</v>
      </c>
      <c r="W72" s="13">
        <v>0.6736111111111112</v>
      </c>
      <c r="X72" s="11">
        <v>75.0</v>
      </c>
      <c r="Y72" s="12"/>
      <c r="Z72" s="13">
        <v>0.78125</v>
      </c>
      <c r="AA72" s="20">
        <v>81.0</v>
      </c>
      <c r="AB72" s="21">
        <v>0.8534722222222222</v>
      </c>
      <c r="AC72" s="70" t="s">
        <v>178</v>
      </c>
      <c r="AD72" s="18"/>
      <c r="AE72" s="18"/>
      <c r="AF72" s="47"/>
      <c r="AG72" s="11"/>
      <c r="AH72" s="18"/>
      <c r="AI72" s="38"/>
      <c r="AJ72" s="68"/>
      <c r="AK72" s="68"/>
      <c r="AL72" s="69"/>
      <c r="AM72" s="11"/>
      <c r="AN72" s="12"/>
      <c r="AO72" s="13"/>
      <c r="AP72" s="11"/>
      <c r="AQ72" s="12"/>
      <c r="AR72" s="13"/>
      <c r="AS72" s="11"/>
      <c r="AT72" s="12"/>
      <c r="AU72" s="13"/>
      <c r="AV72" s="11"/>
      <c r="AW72" s="12"/>
      <c r="AX72" s="13"/>
      <c r="AY72" s="34" t="str">
        <f t="array" ref="AY72">XLOOKUP(B72,faclon_results_2022!$D:$D,faclon_results_2022!$A:$A,"DNF")</f>
        <v>DNF</v>
      </c>
      <c r="AZ72" s="12" t="str">
        <f t="shared" si="1"/>
        <v>#N/A</v>
      </c>
      <c r="BA72" s="18" t="str">
        <f t="array" ref="BA72">XLOOKUP(B72,faclon_results_2022!$D:$D,faclon_results_2022!$J:$J)</f>
        <v>#N/A</v>
      </c>
    </row>
    <row r="73" ht="15.75" customHeight="1">
      <c r="A73" s="7"/>
      <c r="B73" s="47">
        <v>582.0</v>
      </c>
      <c r="C73" s="11">
        <v>70.0</v>
      </c>
      <c r="D73" s="12">
        <v>0.2638888888888889</v>
      </c>
      <c r="E73" s="13">
        <v>0.26458333333333334</v>
      </c>
      <c r="F73" s="64">
        <v>85.0</v>
      </c>
      <c r="G73" s="65">
        <v>0.32430555555555557</v>
      </c>
      <c r="H73" s="66">
        <v>0.32430555555555557</v>
      </c>
      <c r="I73" s="11">
        <v>119.0</v>
      </c>
      <c r="J73" s="12">
        <v>0.40208333333333335</v>
      </c>
      <c r="K73" s="13">
        <v>0.4097222222222222</v>
      </c>
      <c r="L73" s="67">
        <v>114.0</v>
      </c>
      <c r="M73" s="12">
        <v>0.4986111111111111</v>
      </c>
      <c r="N73" s="13">
        <v>0.5020833333333333</v>
      </c>
      <c r="O73" s="38">
        <v>121.0</v>
      </c>
      <c r="P73" s="12">
        <v>0.5791666666666667</v>
      </c>
      <c r="Q73" s="13">
        <v>0.5833333333333334</v>
      </c>
      <c r="R73" s="11">
        <v>120.0</v>
      </c>
      <c r="S73" s="12">
        <v>0.6541666666666667</v>
      </c>
      <c r="T73" s="13">
        <v>0.6555555555555556</v>
      </c>
      <c r="U73" s="11">
        <v>114.0</v>
      </c>
      <c r="V73" s="12">
        <v>0.7027777777777777</v>
      </c>
      <c r="W73" s="13">
        <v>0.7076388888888889</v>
      </c>
      <c r="X73" s="11">
        <v>101.0</v>
      </c>
      <c r="Y73" s="12"/>
      <c r="Z73" s="13">
        <v>0.8152777777777778</v>
      </c>
      <c r="AA73" s="20">
        <v>103.0</v>
      </c>
      <c r="AB73" s="21">
        <v>0.8881944444444444</v>
      </c>
      <c r="AC73" s="22">
        <v>0.8895833333333333</v>
      </c>
      <c r="AD73" s="18">
        <v>105.0</v>
      </c>
      <c r="AE73" s="12">
        <v>0.010416666666666666</v>
      </c>
      <c r="AF73" s="23">
        <v>0.020833333333333332</v>
      </c>
      <c r="AG73" s="11">
        <v>101.0</v>
      </c>
      <c r="AH73" s="12">
        <v>0.09861111111111111</v>
      </c>
      <c r="AI73" s="13">
        <v>0.10208333333333333</v>
      </c>
      <c r="AJ73" s="14">
        <v>99.0</v>
      </c>
      <c r="AK73" s="15">
        <v>0.20277777777777778</v>
      </c>
      <c r="AL73" s="16">
        <v>0.20555555555555555</v>
      </c>
      <c r="AM73" s="11">
        <v>94.0</v>
      </c>
      <c r="AN73" s="12">
        <v>0.27569444444444446</v>
      </c>
      <c r="AO73" s="13">
        <v>0.2833333333333333</v>
      </c>
      <c r="AP73" s="11">
        <v>91.0</v>
      </c>
      <c r="AQ73" s="12">
        <v>0.36041666666666666</v>
      </c>
      <c r="AR73" s="13">
        <v>0.3645833333333333</v>
      </c>
      <c r="AS73" s="11">
        <v>96.0</v>
      </c>
      <c r="AT73" s="12">
        <v>0.48333333333333334</v>
      </c>
      <c r="AU73" s="13">
        <v>0.4847222222222222</v>
      </c>
      <c r="AV73" s="11">
        <v>100.0</v>
      </c>
      <c r="AW73" s="12">
        <v>0.07916666666666666</v>
      </c>
      <c r="AX73" s="13">
        <v>0.08194444444444444</v>
      </c>
      <c r="AY73" s="34">
        <f t="array" ref="AY73">XLOOKUP(B73,faclon_results_2022!$D:$D,faclon_results_2022!$A:$A,"DNF")</f>
        <v>104</v>
      </c>
      <c r="AZ73" s="12">
        <f t="shared" si="1"/>
        <v>0.6534722222</v>
      </c>
      <c r="BA73" s="18">
        <f t="array" ref="BA73">XLOOKUP(B73,faclon_results_2022!$D:$D,faclon_results_2022!$J:$J)</f>
        <v>34.6919</v>
      </c>
    </row>
    <row r="74" ht="15.75" customHeight="1">
      <c r="A74" s="7"/>
      <c r="B74" s="47">
        <v>583.0</v>
      </c>
      <c r="C74" s="11">
        <v>98.0</v>
      </c>
      <c r="D74" s="12">
        <v>0.26805555555555555</v>
      </c>
      <c r="E74" s="13">
        <v>0.26875</v>
      </c>
      <c r="F74" s="64">
        <v>93.0</v>
      </c>
      <c r="G74" s="65">
        <v>0.32430555555555557</v>
      </c>
      <c r="H74" s="66">
        <v>0.32430555555555557</v>
      </c>
      <c r="I74" s="11">
        <v>77.0</v>
      </c>
      <c r="J74" s="12">
        <v>0.38819444444444445</v>
      </c>
      <c r="K74" s="13">
        <v>0.3902777777777778</v>
      </c>
      <c r="L74" s="67">
        <v>67.0</v>
      </c>
      <c r="M74" s="12">
        <v>0.4708333333333333</v>
      </c>
      <c r="N74" s="13">
        <v>0.4722222222222222</v>
      </c>
      <c r="O74" s="38">
        <v>64.0</v>
      </c>
      <c r="P74" s="12">
        <v>0.5381944444444444</v>
      </c>
      <c r="Q74" s="13">
        <v>0.5395833333333333</v>
      </c>
      <c r="R74" s="11">
        <v>63.0</v>
      </c>
      <c r="S74" s="12">
        <v>0.60625</v>
      </c>
      <c r="T74" s="13">
        <v>0.6083333333333333</v>
      </c>
      <c r="U74" s="11">
        <v>65.0</v>
      </c>
      <c r="V74" s="12">
        <v>0.65625</v>
      </c>
      <c r="W74" s="13">
        <v>0.6604166666666667</v>
      </c>
      <c r="X74" s="11">
        <v>62.0</v>
      </c>
      <c r="Y74" s="12"/>
      <c r="Z74" s="13">
        <v>0.7618055555555555</v>
      </c>
      <c r="AA74" s="20">
        <v>63.0</v>
      </c>
      <c r="AB74" s="21">
        <v>0.8222222222222222</v>
      </c>
      <c r="AC74" s="22">
        <v>0.8263888888888888</v>
      </c>
      <c r="AD74" s="18">
        <v>57.0</v>
      </c>
      <c r="AE74" s="12">
        <v>0.9152777777777777</v>
      </c>
      <c r="AF74" s="23">
        <v>0.9270833333333334</v>
      </c>
      <c r="AG74" s="11">
        <v>50.0</v>
      </c>
      <c r="AH74" s="12">
        <v>0.9958333333333333</v>
      </c>
      <c r="AI74" s="13">
        <v>0.9993055555555556</v>
      </c>
      <c r="AJ74" s="14">
        <v>47.0</v>
      </c>
      <c r="AK74" s="15">
        <v>0.09791666666666667</v>
      </c>
      <c r="AL74" s="16">
        <v>0.09930555555555555</v>
      </c>
      <c r="AM74" s="11">
        <v>46.0</v>
      </c>
      <c r="AN74" s="12">
        <v>0.16319444444444445</v>
      </c>
      <c r="AO74" s="13">
        <v>0.16597222222222222</v>
      </c>
      <c r="AP74" s="11">
        <v>42.0</v>
      </c>
      <c r="AQ74" s="12">
        <v>0.2326388888888889</v>
      </c>
      <c r="AR74" s="13">
        <v>0.23472222222222222</v>
      </c>
      <c r="AS74" s="11">
        <v>46.0</v>
      </c>
      <c r="AT74" s="12">
        <v>0.34444444444444444</v>
      </c>
      <c r="AU74" s="13">
        <v>0.3527777777777778</v>
      </c>
      <c r="AV74" s="11">
        <v>50.0</v>
      </c>
      <c r="AW74" s="12">
        <v>0.4423611111111111</v>
      </c>
      <c r="AX74" s="13">
        <v>0.44930555555555557</v>
      </c>
      <c r="AY74" s="34">
        <f t="array" ref="AY74">XLOOKUP(B74,faclon_results_2022!$D:$D,faclon_results_2022!$A:$A,"DNF")</f>
        <v>52</v>
      </c>
      <c r="AZ74" s="12">
        <f t="shared" si="1"/>
        <v>0.5034722222</v>
      </c>
      <c r="BA74" s="18">
        <f t="array" ref="BA74">XLOOKUP(B74,faclon_results_2022!$D:$D,faclon_results_2022!$J:$J)</f>
        <v>31.09595</v>
      </c>
    </row>
    <row r="75" ht="15.75" customHeight="1">
      <c r="A75" s="7"/>
      <c r="B75" s="47">
        <v>584.0</v>
      </c>
      <c r="C75" s="11">
        <v>160.0</v>
      </c>
      <c r="D75" s="12">
        <v>0.2743055555555556</v>
      </c>
      <c r="E75" s="13">
        <v>0.275</v>
      </c>
      <c r="F75" s="64">
        <v>172.0</v>
      </c>
      <c r="G75" s="65">
        <v>0.3416666666666667</v>
      </c>
      <c r="H75" s="66">
        <v>0.3416666666666667</v>
      </c>
      <c r="I75" s="11">
        <v>176.0</v>
      </c>
      <c r="J75" s="12">
        <v>0.42430555555555555</v>
      </c>
      <c r="K75" s="13">
        <v>0.43194444444444446</v>
      </c>
      <c r="L75" s="67">
        <v>166.0</v>
      </c>
      <c r="M75" s="12">
        <v>0.5284722222222222</v>
      </c>
      <c r="N75" s="13">
        <v>0.53125</v>
      </c>
      <c r="O75" s="38">
        <v>160.0</v>
      </c>
      <c r="P75" s="12">
        <v>0.6055555555555555</v>
      </c>
      <c r="Q75" s="13">
        <v>0.6097222222222223</v>
      </c>
      <c r="R75" s="11">
        <v>153.0</v>
      </c>
      <c r="S75" s="12">
        <v>0.68125</v>
      </c>
      <c r="T75" s="13">
        <v>0.6833333333333333</v>
      </c>
      <c r="U75" s="11">
        <v>149.0</v>
      </c>
      <c r="V75" s="12">
        <v>0.7375</v>
      </c>
      <c r="W75" s="13">
        <v>0.7520833333333333</v>
      </c>
      <c r="X75" s="11">
        <v>142.0</v>
      </c>
      <c r="Y75" s="12"/>
      <c r="Z75" s="13">
        <v>0.8694444444444445</v>
      </c>
      <c r="AA75" s="20">
        <v>149.0</v>
      </c>
      <c r="AB75" s="21">
        <v>0.9541666666666667</v>
      </c>
      <c r="AC75" s="22">
        <v>0.9590277777777778</v>
      </c>
      <c r="AD75" s="18">
        <v>150.0</v>
      </c>
      <c r="AE75" s="12">
        <v>0.08680555555555555</v>
      </c>
      <c r="AF75" s="23">
        <v>0.09722222222222222</v>
      </c>
      <c r="AG75" s="11">
        <v>138.0</v>
      </c>
      <c r="AH75" s="12">
        <v>0.1840277777777778</v>
      </c>
      <c r="AI75" s="13">
        <v>0.18611111111111112</v>
      </c>
      <c r="AJ75" s="14">
        <v>140.0</v>
      </c>
      <c r="AK75" s="15">
        <v>0.32430555555555557</v>
      </c>
      <c r="AL75" s="16">
        <v>0.3298611111111111</v>
      </c>
      <c r="AM75" s="11"/>
      <c r="AN75" s="18"/>
      <c r="AO75" s="38"/>
      <c r="AP75" s="11"/>
      <c r="AQ75" s="18"/>
      <c r="AR75" s="38"/>
      <c r="AS75" s="11"/>
      <c r="AT75" s="18"/>
      <c r="AU75" s="38"/>
      <c r="AV75" s="11"/>
      <c r="AW75" s="18"/>
      <c r="AX75" s="38"/>
      <c r="AY75" s="34" t="str">
        <f t="array" ref="AY75">XLOOKUP(B75,faclon_results_2022!$D:$D,faclon_results_2022!$A:$A,"DNF")</f>
        <v>DNF</v>
      </c>
      <c r="AZ75" s="12" t="str">
        <f t="shared" si="1"/>
        <v>#N/A</v>
      </c>
      <c r="BA75" s="18" t="str">
        <f t="array" ref="BA75">XLOOKUP(B75,faclon_results_2022!$D:$D,faclon_results_2022!$J:$J)</f>
        <v>#N/A</v>
      </c>
    </row>
    <row r="76" ht="15.75" customHeight="1">
      <c r="A76" s="7"/>
      <c r="B76" s="47">
        <v>585.0</v>
      </c>
      <c r="C76" s="11">
        <v>144.0</v>
      </c>
      <c r="D76" s="12">
        <v>0.27152777777777776</v>
      </c>
      <c r="E76" s="13">
        <v>0.2722222222222222</v>
      </c>
      <c r="F76" s="64">
        <v>141.0</v>
      </c>
      <c r="G76" s="65">
        <v>0.33611111111111114</v>
      </c>
      <c r="H76" s="66">
        <v>0.33611111111111114</v>
      </c>
      <c r="I76" s="11">
        <v>147.0</v>
      </c>
      <c r="J76" s="12">
        <v>0.4125</v>
      </c>
      <c r="K76" s="13">
        <v>0.41944444444444445</v>
      </c>
      <c r="L76" s="67">
        <v>129.0</v>
      </c>
      <c r="M76" s="12">
        <v>0.5041666666666667</v>
      </c>
      <c r="N76" s="13">
        <v>0.5076388888888889</v>
      </c>
      <c r="O76" s="38">
        <v>124.0</v>
      </c>
      <c r="P76" s="12">
        <v>0.5798611111111112</v>
      </c>
      <c r="Q76" s="13">
        <v>0.5826388888888889</v>
      </c>
      <c r="R76" s="11">
        <v>114.0</v>
      </c>
      <c r="S76" s="12">
        <v>0.6479166666666667</v>
      </c>
      <c r="T76" s="13">
        <v>0.6506944444444445</v>
      </c>
      <c r="U76" s="11">
        <v>105.0</v>
      </c>
      <c r="V76" s="12">
        <v>0.6958333333333333</v>
      </c>
      <c r="W76" s="13">
        <v>0.7</v>
      </c>
      <c r="X76" s="11">
        <v>89.0</v>
      </c>
      <c r="Y76" s="12"/>
      <c r="Z76" s="13">
        <v>0.7958333333333333</v>
      </c>
      <c r="AA76" s="20">
        <v>84.0</v>
      </c>
      <c r="AB76" s="21">
        <v>0.8555555555555555</v>
      </c>
      <c r="AC76" s="22">
        <v>0.8555555555555555</v>
      </c>
      <c r="AD76" s="18">
        <v>80.0</v>
      </c>
      <c r="AE76" s="12">
        <v>0.9520833333333333</v>
      </c>
      <c r="AF76" s="23">
        <v>0.95625</v>
      </c>
      <c r="AG76" s="11">
        <v>71.0</v>
      </c>
      <c r="AH76" s="12">
        <v>0.029861111111111113</v>
      </c>
      <c r="AI76" s="13">
        <v>0.03125</v>
      </c>
      <c r="AJ76" s="14">
        <v>60.0</v>
      </c>
      <c r="AK76" s="15">
        <v>0.13194444444444445</v>
      </c>
      <c r="AL76" s="16">
        <v>0.13541666666666666</v>
      </c>
      <c r="AM76" s="11">
        <v>57.0</v>
      </c>
      <c r="AN76" s="12">
        <v>0.19305555555555556</v>
      </c>
      <c r="AO76" s="13">
        <v>0.19375</v>
      </c>
      <c r="AP76" s="11">
        <v>52.0</v>
      </c>
      <c r="AQ76" s="12">
        <v>0.26319444444444445</v>
      </c>
      <c r="AR76" s="13">
        <v>0.2659722222222222</v>
      </c>
      <c r="AS76" s="11">
        <v>47.0</v>
      </c>
      <c r="AT76" s="12">
        <v>0.34791666666666665</v>
      </c>
      <c r="AU76" s="13">
        <v>0.34930555555555554</v>
      </c>
      <c r="AV76" s="11">
        <v>44.0</v>
      </c>
      <c r="AW76" s="12">
        <v>0.4201388888888889</v>
      </c>
      <c r="AX76" s="13">
        <v>0.42083333333333334</v>
      </c>
      <c r="AY76" s="34">
        <f t="array" ref="AY76">XLOOKUP(B76,faclon_results_2022!$D:$D,faclon_results_2022!$A:$A,"DNF")</f>
        <v>43</v>
      </c>
      <c r="AZ76" s="12">
        <f t="shared" si="1"/>
        <v>0.4631944444</v>
      </c>
      <c r="BA76" s="18">
        <f t="array" ref="BA76">XLOOKUP(B76,faclon_results_2022!$D:$D,faclon_results_2022!$J:$J)</f>
        <v>30.11717</v>
      </c>
    </row>
    <row r="77" ht="15.75" customHeight="1">
      <c r="A77" s="7"/>
      <c r="B77" s="47">
        <v>587.0</v>
      </c>
      <c r="C77" s="11">
        <v>170.0</v>
      </c>
      <c r="D77" s="12">
        <v>0.2743055555555556</v>
      </c>
      <c r="E77" s="13">
        <v>0.275</v>
      </c>
      <c r="F77" s="64"/>
      <c r="G77" s="65"/>
      <c r="H77" s="66"/>
      <c r="I77" s="11">
        <v>142.0</v>
      </c>
      <c r="J77" s="12">
        <v>0.4097222222222222</v>
      </c>
      <c r="K77" s="13">
        <v>0.41597222222222224</v>
      </c>
      <c r="L77" s="67">
        <v>145.0</v>
      </c>
      <c r="M77" s="12">
        <v>0.5125</v>
      </c>
      <c r="N77" s="13">
        <v>0.5291666666666667</v>
      </c>
      <c r="O77" s="38">
        <v>159.0</v>
      </c>
      <c r="P77" s="12">
        <v>0.6055555555555555</v>
      </c>
      <c r="Q77" s="13">
        <v>0.6131944444444445</v>
      </c>
      <c r="R77" s="11">
        <v>163.0</v>
      </c>
      <c r="S77" s="12">
        <v>0.6888888888888889</v>
      </c>
      <c r="T77" s="13">
        <v>0.6993055555555555</v>
      </c>
      <c r="U77" s="11">
        <v>163.0</v>
      </c>
      <c r="V77" s="12">
        <v>0.7493055555555556</v>
      </c>
      <c r="W77" s="13">
        <v>0.7743055555555556</v>
      </c>
      <c r="X77" s="11">
        <v>163.0</v>
      </c>
      <c r="Y77" s="12"/>
      <c r="Z77" s="13">
        <v>0.8986111111111111</v>
      </c>
      <c r="AA77" s="20">
        <v>163.0</v>
      </c>
      <c r="AB77" s="21">
        <v>0.9798611111111111</v>
      </c>
      <c r="AC77" s="22">
        <v>0.0020833333333333333</v>
      </c>
      <c r="AD77" s="18"/>
      <c r="AE77" s="18"/>
      <c r="AF77" s="47"/>
      <c r="AG77" s="11"/>
      <c r="AH77" s="18"/>
      <c r="AI77" s="38"/>
      <c r="AJ77" s="68"/>
      <c r="AK77" s="68"/>
      <c r="AL77" s="69"/>
      <c r="AM77" s="11"/>
      <c r="AN77" s="12"/>
      <c r="AO77" s="13"/>
      <c r="AP77" s="11"/>
      <c r="AQ77" s="12"/>
      <c r="AR77" s="13"/>
      <c r="AS77" s="11"/>
      <c r="AT77" s="12"/>
      <c r="AU77" s="13"/>
      <c r="AV77" s="11"/>
      <c r="AW77" s="12"/>
      <c r="AX77" s="13"/>
      <c r="AY77" s="34" t="str">
        <f t="array" ref="AY77">XLOOKUP(B77,faclon_results_2022!$D:$D,faclon_results_2022!$A:$A,"DNF")</f>
        <v>DNF</v>
      </c>
      <c r="AZ77" s="12" t="str">
        <f t="shared" si="1"/>
        <v>#N/A</v>
      </c>
      <c r="BA77" s="18" t="str">
        <f t="array" ref="BA77">XLOOKUP(B77,faclon_results_2022!$D:$D,faclon_results_2022!$J:$J)</f>
        <v>#N/A</v>
      </c>
    </row>
    <row r="78" ht="15.75" customHeight="1">
      <c r="A78" s="7"/>
      <c r="B78" s="47">
        <v>588.0</v>
      </c>
      <c r="C78" s="11">
        <v>21.0</v>
      </c>
      <c r="D78" s="12">
        <v>0.25763888888888886</v>
      </c>
      <c r="E78" s="13">
        <v>0.25833333333333336</v>
      </c>
      <c r="F78" s="64">
        <v>21.0</v>
      </c>
      <c r="G78" s="65">
        <v>0.30625</v>
      </c>
      <c r="H78" s="66">
        <v>0.30625</v>
      </c>
      <c r="I78" s="11">
        <v>28.0</v>
      </c>
      <c r="J78" s="12">
        <v>0.3659722222222222</v>
      </c>
      <c r="K78" s="13">
        <v>0.37916666666666665</v>
      </c>
      <c r="L78" s="67">
        <v>38.0</v>
      </c>
      <c r="M78" s="30">
        <v>0.4479166666666667</v>
      </c>
      <c r="N78" s="35">
        <v>0.44930555555555557</v>
      </c>
      <c r="O78" s="38">
        <v>36.0</v>
      </c>
      <c r="P78" s="12">
        <v>0.5083333333333333</v>
      </c>
      <c r="Q78" s="13">
        <v>0.5104166666666666</v>
      </c>
      <c r="R78" s="11">
        <v>32.0</v>
      </c>
      <c r="S78" s="12">
        <v>0.5652777777777778</v>
      </c>
      <c r="T78" s="13">
        <v>0.5673611111111111</v>
      </c>
      <c r="U78" s="11">
        <v>33.0</v>
      </c>
      <c r="V78" s="12">
        <v>0.6076388888888888</v>
      </c>
      <c r="W78" s="13">
        <v>0.61875</v>
      </c>
      <c r="X78" s="11">
        <v>39.0</v>
      </c>
      <c r="Y78" s="12"/>
      <c r="Z78" s="13">
        <v>0.7215277777777778</v>
      </c>
      <c r="AA78" s="20">
        <v>43.0</v>
      </c>
      <c r="AB78" s="21">
        <v>0.7868055555555555</v>
      </c>
      <c r="AC78" s="70" t="s">
        <v>178</v>
      </c>
      <c r="AD78" s="18"/>
      <c r="AE78" s="18"/>
      <c r="AF78" s="47"/>
      <c r="AG78" s="11"/>
      <c r="AH78" s="18"/>
      <c r="AI78" s="38"/>
      <c r="AJ78" s="68"/>
      <c r="AK78" s="68"/>
      <c r="AL78" s="69"/>
      <c r="AM78" s="11"/>
      <c r="AN78" s="12"/>
      <c r="AO78" s="13"/>
      <c r="AP78" s="11"/>
      <c r="AQ78" s="12"/>
      <c r="AR78" s="13"/>
      <c r="AS78" s="11"/>
      <c r="AT78" s="12"/>
      <c r="AU78" s="13"/>
      <c r="AV78" s="11"/>
      <c r="AW78" s="12"/>
      <c r="AX78" s="13"/>
      <c r="AY78" s="34" t="str">
        <f t="array" ref="AY78">XLOOKUP(B78,faclon_results_2022!$D:$D,faclon_results_2022!$A:$A,"DNF")</f>
        <v>DNF</v>
      </c>
      <c r="AZ78" s="12" t="str">
        <f t="shared" si="1"/>
        <v>#N/A</v>
      </c>
      <c r="BA78" s="18" t="str">
        <f t="array" ref="BA78">XLOOKUP(B78,faclon_results_2022!$D:$D,faclon_results_2022!$J:$J)</f>
        <v>#N/A</v>
      </c>
    </row>
    <row r="79" ht="15.75" customHeight="1">
      <c r="A79" s="7"/>
      <c r="B79" s="47">
        <v>589.0</v>
      </c>
      <c r="C79" s="11">
        <v>22.0</v>
      </c>
      <c r="D79" s="12">
        <v>0.25763888888888886</v>
      </c>
      <c r="E79" s="13">
        <v>0.25833333333333336</v>
      </c>
      <c r="F79" s="64">
        <v>18.0</v>
      </c>
      <c r="G79" s="65">
        <v>0.3020833333333333</v>
      </c>
      <c r="H79" s="66">
        <v>0.3020833333333333</v>
      </c>
      <c r="I79" s="11">
        <v>22.0</v>
      </c>
      <c r="J79" s="12">
        <v>0.3638888888888889</v>
      </c>
      <c r="K79" s="13">
        <v>0.3659722222222222</v>
      </c>
      <c r="L79" s="67">
        <v>21.0</v>
      </c>
      <c r="M79" s="30">
        <v>0.4361111111111111</v>
      </c>
      <c r="N79" s="35">
        <v>0.43819444444444444</v>
      </c>
      <c r="O79" s="38">
        <v>21.0</v>
      </c>
      <c r="P79" s="12">
        <v>0.49583333333333335</v>
      </c>
      <c r="Q79" s="13">
        <v>0.5</v>
      </c>
      <c r="R79" s="11">
        <v>24.0</v>
      </c>
      <c r="S79" s="12">
        <v>0.5576388888888889</v>
      </c>
      <c r="T79" s="13">
        <v>0.5618055555555556</v>
      </c>
      <c r="U79" s="11">
        <v>27.0</v>
      </c>
      <c r="V79" s="12">
        <v>0.6020833333333333</v>
      </c>
      <c r="W79" s="13">
        <v>0.6104166666666667</v>
      </c>
      <c r="X79" s="11">
        <v>35.0</v>
      </c>
      <c r="Y79" s="12"/>
      <c r="Z79" s="13">
        <v>0.7159722222222222</v>
      </c>
      <c r="AA79" s="20">
        <v>35.0</v>
      </c>
      <c r="AB79" s="21">
        <v>0.7729166666666667</v>
      </c>
      <c r="AC79" s="22">
        <v>0.7854166666666667</v>
      </c>
      <c r="AD79" s="18">
        <v>43.0</v>
      </c>
      <c r="AE79" s="12">
        <v>0.8791666666666667</v>
      </c>
      <c r="AF79" s="63">
        <v>0.9298611111111111</v>
      </c>
      <c r="AG79" s="11">
        <v>62.0</v>
      </c>
      <c r="AH79" s="12">
        <v>0.019444444444444445</v>
      </c>
      <c r="AI79" s="38" t="s">
        <v>178</v>
      </c>
      <c r="AJ79" s="68"/>
      <c r="AK79" s="68"/>
      <c r="AL79" s="69"/>
      <c r="AM79" s="11"/>
      <c r="AN79" s="12"/>
      <c r="AO79" s="13"/>
      <c r="AP79" s="11"/>
      <c r="AQ79" s="12"/>
      <c r="AR79" s="13"/>
      <c r="AS79" s="11"/>
      <c r="AT79" s="12"/>
      <c r="AU79" s="13"/>
      <c r="AV79" s="11"/>
      <c r="AW79" s="12"/>
      <c r="AX79" s="13"/>
      <c r="AY79" s="34" t="str">
        <f t="array" ref="AY79">XLOOKUP(B79,faclon_results_2022!$D:$D,faclon_results_2022!$A:$A,"DNF")</f>
        <v>DNF</v>
      </c>
      <c r="AZ79" s="12" t="str">
        <f t="shared" si="1"/>
        <v>#N/A</v>
      </c>
      <c r="BA79" s="18" t="str">
        <f t="array" ref="BA79">XLOOKUP(B79,faclon_results_2022!$D:$D,faclon_results_2022!$J:$J)</f>
        <v>#N/A</v>
      </c>
    </row>
    <row r="80" ht="15.75" customHeight="1">
      <c r="A80" s="7"/>
      <c r="B80" s="47">
        <v>590.0</v>
      </c>
      <c r="C80" s="11">
        <v>109.0</v>
      </c>
      <c r="D80" s="12">
        <v>0.26944444444444443</v>
      </c>
      <c r="E80" s="13">
        <v>0.2701388888888889</v>
      </c>
      <c r="F80" s="64">
        <v>111.0</v>
      </c>
      <c r="G80" s="65">
        <v>0.32569444444444445</v>
      </c>
      <c r="H80" s="66">
        <v>0.32569444444444445</v>
      </c>
      <c r="I80" s="11">
        <v>120.0</v>
      </c>
      <c r="J80" s="12">
        <v>0.40208333333333335</v>
      </c>
      <c r="K80" s="13">
        <v>0.4222222222222222</v>
      </c>
      <c r="L80" s="67">
        <v>119.0</v>
      </c>
      <c r="M80" s="12">
        <v>0.5</v>
      </c>
      <c r="N80" s="13">
        <v>0.5027777777777778</v>
      </c>
      <c r="O80" s="38">
        <v>116.0</v>
      </c>
      <c r="P80" s="12">
        <v>0.5777777777777777</v>
      </c>
      <c r="Q80" s="13">
        <v>0.58125</v>
      </c>
      <c r="R80" s="11">
        <v>132.0</v>
      </c>
      <c r="S80" s="12">
        <v>0.6604166666666667</v>
      </c>
      <c r="T80" s="13">
        <v>0.6638888888888889</v>
      </c>
      <c r="U80" s="11">
        <v>143.0</v>
      </c>
      <c r="V80" s="12">
        <v>0.7243055555555555</v>
      </c>
      <c r="W80" s="13">
        <v>0.7381944444444445</v>
      </c>
      <c r="X80" s="11">
        <v>131.0</v>
      </c>
      <c r="Y80" s="12"/>
      <c r="Z80" s="13">
        <v>0.8506944444444444</v>
      </c>
      <c r="AA80" s="20">
        <v>135.0</v>
      </c>
      <c r="AB80" s="21">
        <v>0.9298611111111111</v>
      </c>
      <c r="AC80" s="22">
        <v>0.9347222222222222</v>
      </c>
      <c r="AD80" s="18">
        <v>134.0</v>
      </c>
      <c r="AE80" s="12">
        <v>0.05763888888888889</v>
      </c>
      <c r="AF80" s="23">
        <v>0.08819444444444445</v>
      </c>
      <c r="AG80" s="11">
        <v>140.0</v>
      </c>
      <c r="AH80" s="12">
        <v>0.18541666666666667</v>
      </c>
      <c r="AI80" s="13">
        <v>0.18611111111111112</v>
      </c>
      <c r="AJ80" s="14">
        <v>134.0</v>
      </c>
      <c r="AK80" s="15">
        <v>0.29930555555555555</v>
      </c>
      <c r="AL80" s="16">
        <v>0.30625</v>
      </c>
      <c r="AM80" s="11">
        <v>126.0</v>
      </c>
      <c r="AN80" s="12">
        <v>0.36944444444444446</v>
      </c>
      <c r="AO80" s="13">
        <v>0.38125</v>
      </c>
      <c r="AP80" s="11">
        <v>123.0</v>
      </c>
      <c r="AQ80" s="12">
        <v>0.4465277777777778</v>
      </c>
      <c r="AR80" s="13">
        <v>0.44722222222222224</v>
      </c>
      <c r="AS80" s="11">
        <v>123.0</v>
      </c>
      <c r="AT80" s="18" t="s">
        <v>178</v>
      </c>
      <c r="AU80" s="13"/>
      <c r="AV80" s="11"/>
      <c r="AW80" s="18"/>
      <c r="AX80" s="13"/>
      <c r="AY80" s="34" t="str">
        <f t="array" ref="AY80">XLOOKUP(B80,faclon_results_2022!$D:$D,faclon_results_2022!$A:$A,"DNF")</f>
        <v>DNF</v>
      </c>
      <c r="AZ80" s="12" t="str">
        <f t="shared" si="1"/>
        <v>#N/A</v>
      </c>
      <c r="BA80" s="18" t="str">
        <f t="array" ref="BA80">XLOOKUP(B80,faclon_results_2022!$D:$D,faclon_results_2022!$J:$J)</f>
        <v>#N/A</v>
      </c>
    </row>
    <row r="81" ht="15.75" customHeight="1">
      <c r="A81" s="7"/>
      <c r="B81" s="47">
        <v>591.0</v>
      </c>
      <c r="C81" s="11">
        <v>169.0</v>
      </c>
      <c r="D81" s="12">
        <v>0.2743055555555556</v>
      </c>
      <c r="E81" s="13">
        <v>0.275</v>
      </c>
      <c r="F81" s="64">
        <v>143.0</v>
      </c>
      <c r="G81" s="65">
        <v>0.3368055555555556</v>
      </c>
      <c r="H81" s="66">
        <v>0.3368055555555556</v>
      </c>
      <c r="I81" s="11">
        <v>110.0</v>
      </c>
      <c r="J81" s="12">
        <v>0.4</v>
      </c>
      <c r="K81" s="13">
        <v>0.4097222222222222</v>
      </c>
      <c r="L81" s="67">
        <v>94.0</v>
      </c>
      <c r="M81" s="12">
        <v>0.4847222222222222</v>
      </c>
      <c r="N81" s="13">
        <v>0.4861111111111111</v>
      </c>
      <c r="O81" s="38">
        <v>79.0</v>
      </c>
      <c r="P81" s="12">
        <v>0.5472222222222223</v>
      </c>
      <c r="Q81" s="13">
        <v>0.55</v>
      </c>
      <c r="R81" s="11">
        <v>67.0</v>
      </c>
      <c r="S81" s="12">
        <v>0.6069444444444444</v>
      </c>
      <c r="T81" s="13">
        <v>0.6083333333333333</v>
      </c>
      <c r="U81" s="11">
        <v>63.0</v>
      </c>
      <c r="V81" s="12">
        <v>0.6472222222222223</v>
      </c>
      <c r="W81" s="13">
        <v>0.6548611111111111</v>
      </c>
      <c r="X81" s="11">
        <v>52.0</v>
      </c>
      <c r="Y81" s="12"/>
      <c r="Z81" s="13">
        <v>0.7451388888888889</v>
      </c>
      <c r="AA81" s="20">
        <v>48.0</v>
      </c>
      <c r="AB81" s="21">
        <v>0.7958333333333333</v>
      </c>
      <c r="AC81" s="22">
        <v>0.7979166666666667</v>
      </c>
      <c r="AD81" s="18">
        <v>37.0</v>
      </c>
      <c r="AE81" s="12">
        <v>0.8715277777777778</v>
      </c>
      <c r="AF81" s="23">
        <v>0.8770833333333333</v>
      </c>
      <c r="AG81" s="11">
        <v>31.0</v>
      </c>
      <c r="AH81" s="12">
        <v>0.9395833333333333</v>
      </c>
      <c r="AI81" s="13">
        <v>0.9423611111111111</v>
      </c>
      <c r="AJ81" s="14">
        <v>30.0</v>
      </c>
      <c r="AK81" s="15">
        <v>0.034722222222222224</v>
      </c>
      <c r="AL81" s="16">
        <v>0.03819444444444445</v>
      </c>
      <c r="AM81" s="11">
        <v>26.0</v>
      </c>
      <c r="AN81" s="12">
        <v>0.08611111111111111</v>
      </c>
      <c r="AO81" s="13">
        <v>0.09305555555555556</v>
      </c>
      <c r="AP81" s="11">
        <v>26.0</v>
      </c>
      <c r="AQ81" s="12">
        <v>0.15902777777777777</v>
      </c>
      <c r="AR81" s="13">
        <v>0.16666666666666666</v>
      </c>
      <c r="AS81" s="11">
        <v>24.0</v>
      </c>
      <c r="AT81" s="12">
        <v>0.25972222222222224</v>
      </c>
      <c r="AU81" s="13">
        <v>0.26458333333333334</v>
      </c>
      <c r="AV81" s="11">
        <v>22.0</v>
      </c>
      <c r="AW81" s="12">
        <v>0.32708333333333334</v>
      </c>
      <c r="AX81" s="13">
        <v>0.3277777777777778</v>
      </c>
      <c r="AY81" s="34">
        <f t="array" ref="AY81">XLOOKUP(B81,faclon_results_2022!$D:$D,faclon_results_2022!$A:$A,"DNF")</f>
        <v>21</v>
      </c>
      <c r="AZ81" s="12">
        <f t="shared" si="1"/>
        <v>0.3715277778</v>
      </c>
      <c r="BA81" s="18">
        <f t="array" ref="BA81">XLOOKUP(B81,faclon_results_2022!$D:$D,faclon_results_2022!$J:$J)</f>
        <v>27.92672</v>
      </c>
    </row>
    <row r="82" ht="15.75" customHeight="1">
      <c r="A82" s="7"/>
      <c r="B82" s="47">
        <v>592.0</v>
      </c>
      <c r="C82" s="11">
        <v>148.0</v>
      </c>
      <c r="D82" s="12">
        <v>0.27152777777777776</v>
      </c>
      <c r="E82" s="13">
        <v>0.2722222222222222</v>
      </c>
      <c r="F82" s="64">
        <v>142.0</v>
      </c>
      <c r="G82" s="65">
        <v>0.33611111111111114</v>
      </c>
      <c r="H82" s="66">
        <v>0.33611111111111114</v>
      </c>
      <c r="I82" s="11">
        <v>132.0</v>
      </c>
      <c r="J82" s="12">
        <v>0.4076388888888889</v>
      </c>
      <c r="K82" s="13">
        <v>0.4097222222222222</v>
      </c>
      <c r="L82" s="67">
        <v>118.0</v>
      </c>
      <c r="M82" s="12">
        <v>0.5</v>
      </c>
      <c r="N82" s="13">
        <v>0.5020833333333333</v>
      </c>
      <c r="O82" s="38">
        <v>114.0</v>
      </c>
      <c r="P82" s="12">
        <v>0.5777777777777777</v>
      </c>
      <c r="Q82" s="13">
        <v>0.5798611111111112</v>
      </c>
      <c r="R82" s="11">
        <v>121.0</v>
      </c>
      <c r="S82" s="12">
        <v>0.6555555555555556</v>
      </c>
      <c r="T82" s="13">
        <v>0.6590277777777778</v>
      </c>
      <c r="U82" s="11">
        <v>118.0</v>
      </c>
      <c r="V82" s="12">
        <v>0.7083333333333334</v>
      </c>
      <c r="W82" s="13">
        <v>0.7173611111111111</v>
      </c>
      <c r="X82" s="11">
        <v>117.0</v>
      </c>
      <c r="Y82" s="12"/>
      <c r="Z82" s="13">
        <v>0.8368055555555556</v>
      </c>
      <c r="AA82" s="20">
        <v>123.0</v>
      </c>
      <c r="AB82" s="21">
        <v>0.9152777777777777</v>
      </c>
      <c r="AC82" s="22">
        <v>0.9236111111111112</v>
      </c>
      <c r="AD82" s="18">
        <v>126.0</v>
      </c>
      <c r="AE82" s="12">
        <v>0.04722222222222222</v>
      </c>
      <c r="AF82" s="23">
        <v>0.05347222222222222</v>
      </c>
      <c r="AG82" s="11">
        <v>119.0</v>
      </c>
      <c r="AH82" s="12">
        <v>0.1326388888888889</v>
      </c>
      <c r="AI82" s="13">
        <v>0.13819444444444445</v>
      </c>
      <c r="AJ82" s="14">
        <v>116.0</v>
      </c>
      <c r="AK82" s="15">
        <v>0.24791666666666667</v>
      </c>
      <c r="AL82" s="16">
        <v>0.25</v>
      </c>
      <c r="AM82" s="11">
        <v>111.0</v>
      </c>
      <c r="AN82" s="12">
        <v>0.3090277777777778</v>
      </c>
      <c r="AO82" s="13">
        <v>0.3173611111111111</v>
      </c>
      <c r="AP82" s="11">
        <v>108.0</v>
      </c>
      <c r="AQ82" s="12">
        <v>0.3875</v>
      </c>
      <c r="AR82" s="13">
        <v>0.3902777777777778</v>
      </c>
      <c r="AS82" s="11">
        <v>109.0</v>
      </c>
      <c r="AT82" s="12">
        <v>0.5118055555555555</v>
      </c>
      <c r="AU82" s="13">
        <v>0.5131944444444444</v>
      </c>
      <c r="AV82" s="11">
        <v>115.0</v>
      </c>
      <c r="AW82" s="12">
        <v>0.11805555555555555</v>
      </c>
      <c r="AX82" s="13">
        <v>0.12013888888888889</v>
      </c>
      <c r="AY82" s="34">
        <f t="array" ref="AY82">XLOOKUP(B82,faclon_results_2022!$D:$D,faclon_results_2022!$A:$A,"DNF")</f>
        <v>121</v>
      </c>
      <c r="AZ82" s="12">
        <f t="shared" si="1"/>
        <v>0.6916666667</v>
      </c>
      <c r="BA82" s="18">
        <f t="array" ref="BA82">XLOOKUP(B82,faclon_results_2022!$D:$D,faclon_results_2022!$J:$J)</f>
        <v>35.609</v>
      </c>
    </row>
    <row r="83" ht="15.75" customHeight="1">
      <c r="A83" s="7"/>
      <c r="B83" s="18">
        <v>593.0</v>
      </c>
      <c r="C83" s="11">
        <v>200.0</v>
      </c>
      <c r="D83" s="12">
        <v>0.28958333333333336</v>
      </c>
      <c r="E83" s="13">
        <v>0.2902777777777778</v>
      </c>
      <c r="F83" s="64"/>
      <c r="G83" s="65"/>
      <c r="H83" s="66"/>
      <c r="I83" s="11"/>
      <c r="J83" s="18"/>
      <c r="K83" s="38"/>
      <c r="N83" s="72"/>
      <c r="O83" s="38"/>
      <c r="Q83" s="72"/>
      <c r="R83" s="11"/>
      <c r="S83" s="18"/>
      <c r="T83" s="38"/>
      <c r="U83" s="11"/>
      <c r="V83" s="18"/>
      <c r="W83" s="38"/>
      <c r="X83" s="11"/>
      <c r="Y83" s="18"/>
      <c r="Z83" s="38"/>
      <c r="AA83" s="20"/>
      <c r="AB83" s="20"/>
      <c r="AC83" s="56"/>
      <c r="AD83" s="18"/>
      <c r="AE83" s="18"/>
      <c r="AF83" s="18"/>
      <c r="AG83" s="11"/>
      <c r="AH83" s="18"/>
      <c r="AI83" s="38"/>
      <c r="AJ83" s="14"/>
      <c r="AK83" s="14"/>
      <c r="AL83" s="53"/>
      <c r="AM83" s="11"/>
      <c r="AN83" s="18"/>
      <c r="AO83" s="38"/>
      <c r="AP83" s="11"/>
      <c r="AQ83" s="18"/>
      <c r="AR83" s="38"/>
      <c r="AS83" s="11"/>
      <c r="AT83" s="18"/>
      <c r="AU83" s="38"/>
      <c r="AV83" s="11"/>
      <c r="AW83" s="18"/>
      <c r="AX83" s="38"/>
      <c r="AY83" s="34" t="str">
        <f t="array" ref="AY83">XLOOKUP(B83,faclon_results_2022!$D:$D,faclon_results_2022!$A:$A,"DNF")</f>
        <v>DNF</v>
      </c>
      <c r="AZ83" s="12" t="str">
        <f t="shared" si="1"/>
        <v>#N/A</v>
      </c>
      <c r="BA83" s="18" t="str">
        <f t="array" ref="BA83">XLOOKUP(B83,faclon_results_2022!$D:$D,faclon_results_2022!$J:$J)</f>
        <v>#N/A</v>
      </c>
    </row>
    <row r="84" ht="15.75" customHeight="1">
      <c r="A84" s="7"/>
      <c r="B84" s="47">
        <v>595.0</v>
      </c>
      <c r="C84" s="11">
        <v>137.0</v>
      </c>
      <c r="D84" s="12">
        <v>0.27152777777777776</v>
      </c>
      <c r="E84" s="13">
        <v>0.2722222222222222</v>
      </c>
      <c r="F84" s="64">
        <v>128.0</v>
      </c>
      <c r="G84" s="65">
        <v>0.3326388888888889</v>
      </c>
      <c r="H84" s="66">
        <v>0.3326388888888889</v>
      </c>
      <c r="I84" s="11">
        <v>162.0</v>
      </c>
      <c r="J84" s="12">
        <v>0.41597222222222224</v>
      </c>
      <c r="K84" s="13">
        <v>0.4284722222222222</v>
      </c>
      <c r="L84" s="67">
        <v>164.0</v>
      </c>
      <c r="M84" s="12">
        <v>0.5270833333333333</v>
      </c>
      <c r="N84" s="13">
        <v>0.5368055555555555</v>
      </c>
      <c r="O84" s="38">
        <v>167.0</v>
      </c>
      <c r="P84" s="12">
        <v>0.6111111111111112</v>
      </c>
      <c r="Q84" s="13">
        <v>0.6194444444444445</v>
      </c>
      <c r="R84" s="11">
        <v>164.0</v>
      </c>
      <c r="S84" s="12">
        <v>0.6923611111111111</v>
      </c>
      <c r="T84" s="13">
        <v>0.6944444444444444</v>
      </c>
      <c r="U84" s="11">
        <v>148.0</v>
      </c>
      <c r="V84" s="12">
        <v>0.7375</v>
      </c>
      <c r="W84" s="13">
        <v>0.7555555555555555</v>
      </c>
      <c r="X84" s="11">
        <v>155.0</v>
      </c>
      <c r="Y84" s="18"/>
      <c r="Z84" s="13">
        <v>0.88125</v>
      </c>
      <c r="AA84" s="20">
        <v>150.0</v>
      </c>
      <c r="AB84" s="21">
        <v>0.9548611111111112</v>
      </c>
      <c r="AC84" s="22">
        <v>0.9638888888888889</v>
      </c>
      <c r="AD84" s="18">
        <v>143.0</v>
      </c>
      <c r="AE84" s="12">
        <v>0.07847222222222222</v>
      </c>
      <c r="AF84" s="23">
        <v>0.10069444444444445</v>
      </c>
      <c r="AG84" s="11">
        <v>135.0</v>
      </c>
      <c r="AH84" s="12">
        <v>0.17430555555555555</v>
      </c>
      <c r="AI84" s="13">
        <v>0.17916666666666667</v>
      </c>
      <c r="AJ84" s="14">
        <v>125.0</v>
      </c>
      <c r="AK84" s="15">
        <v>0.2673611111111111</v>
      </c>
      <c r="AL84" s="16">
        <v>0.2743055555555556</v>
      </c>
      <c r="AM84" s="11">
        <v>115.0</v>
      </c>
      <c r="AN84" s="12">
        <v>0.31875</v>
      </c>
      <c r="AO84" s="13">
        <v>0.3326388888888889</v>
      </c>
      <c r="AP84" s="11">
        <v>110.0</v>
      </c>
      <c r="AQ84" s="12">
        <v>0.40208333333333335</v>
      </c>
      <c r="AR84" s="13">
        <v>0.41041666666666665</v>
      </c>
      <c r="AS84" s="11">
        <v>107.0</v>
      </c>
      <c r="AT84" s="12">
        <v>0.5027777777777778</v>
      </c>
      <c r="AU84" s="13">
        <v>0.5090277777777777</v>
      </c>
      <c r="AV84" s="11">
        <v>97.0</v>
      </c>
      <c r="AW84" s="12">
        <v>0.07708333333333334</v>
      </c>
      <c r="AX84" s="13">
        <v>0.07847222222222222</v>
      </c>
      <c r="AY84" s="34">
        <f t="array" ref="AY84">XLOOKUP(B84,faclon_results_2022!$D:$D,faclon_results_2022!$A:$A,"DNF")</f>
        <v>93</v>
      </c>
      <c r="AZ84" s="12">
        <f t="shared" si="1"/>
        <v>0.6243055556</v>
      </c>
      <c r="BA84" s="18">
        <f t="array" ref="BA84">XLOOKUP(B84,faclon_results_2022!$D:$D,faclon_results_2022!$J:$J)</f>
        <v>33.99163</v>
      </c>
    </row>
    <row r="85" ht="15.75" customHeight="1">
      <c r="A85" s="7"/>
      <c r="B85" s="47">
        <v>596.0</v>
      </c>
      <c r="C85" s="11">
        <v>3.0</v>
      </c>
      <c r="D85" s="12">
        <v>0.2513888888888889</v>
      </c>
      <c r="E85" s="13">
        <v>0.2520833333333333</v>
      </c>
      <c r="F85" s="64">
        <v>1.0</v>
      </c>
      <c r="G85" s="65">
        <v>0.29097222222222224</v>
      </c>
      <c r="H85" s="66">
        <v>0.2916666666666667</v>
      </c>
      <c r="I85" s="11">
        <v>2.0</v>
      </c>
      <c r="J85" s="12">
        <v>0.34097222222222223</v>
      </c>
      <c r="K85" s="13">
        <v>0.34305555555555556</v>
      </c>
      <c r="L85" s="67">
        <v>2.0</v>
      </c>
      <c r="M85" s="12">
        <v>0.40069444444444446</v>
      </c>
      <c r="N85" s="13">
        <v>0.4013888888888889</v>
      </c>
      <c r="O85" s="38">
        <v>2.0</v>
      </c>
      <c r="P85" s="12">
        <v>0.44722222222222224</v>
      </c>
      <c r="Q85" s="13">
        <v>0.44930555555555557</v>
      </c>
      <c r="R85" s="11">
        <v>2.0</v>
      </c>
      <c r="S85" s="12">
        <v>0.5076388888888889</v>
      </c>
      <c r="T85" s="13">
        <v>0.5090277777777777</v>
      </c>
      <c r="U85" s="11">
        <v>2.0</v>
      </c>
      <c r="V85" s="12">
        <v>0.5409722222222222</v>
      </c>
      <c r="W85" s="13">
        <v>0.5430555555555555</v>
      </c>
      <c r="X85" s="11">
        <v>2.0</v>
      </c>
      <c r="Y85" s="18"/>
      <c r="Z85" s="13">
        <v>0.6229166666666667</v>
      </c>
      <c r="AA85" s="20">
        <v>2.0</v>
      </c>
      <c r="AB85" s="21">
        <v>0.6673611111111111</v>
      </c>
      <c r="AC85" s="22">
        <v>0.6701388888888888</v>
      </c>
      <c r="AD85" s="18">
        <v>2.0</v>
      </c>
      <c r="AE85" s="12">
        <v>0.7395833333333334</v>
      </c>
      <c r="AF85" s="23">
        <v>0.7458333333333333</v>
      </c>
      <c r="AG85" s="11">
        <v>2.0</v>
      </c>
      <c r="AH85" s="12">
        <v>0.8</v>
      </c>
      <c r="AI85" s="13">
        <v>0.8013888888888889</v>
      </c>
      <c r="AJ85" s="14">
        <v>2.0</v>
      </c>
      <c r="AK85" s="15">
        <v>0.8715277777777778</v>
      </c>
      <c r="AL85" s="16">
        <v>0.8736111111111111</v>
      </c>
      <c r="AM85" s="11">
        <v>2.0</v>
      </c>
      <c r="AN85" s="12">
        <v>0.9152777777777777</v>
      </c>
      <c r="AO85" s="13">
        <v>0.9201388888888888</v>
      </c>
      <c r="AP85" s="11">
        <v>2.0</v>
      </c>
      <c r="AQ85" s="12">
        <v>0.9743055555555555</v>
      </c>
      <c r="AR85" s="13">
        <v>0.9777777777777777</v>
      </c>
      <c r="AS85" s="11">
        <v>2.0</v>
      </c>
      <c r="AT85" s="12">
        <v>0.05694444444444444</v>
      </c>
      <c r="AU85" s="13">
        <v>0.06041666666666667</v>
      </c>
      <c r="AV85" s="11">
        <v>2.0</v>
      </c>
      <c r="AW85" s="12">
        <v>0.11875</v>
      </c>
      <c r="AX85" s="13">
        <v>0.11944444444444445</v>
      </c>
      <c r="AY85" s="34">
        <f t="array" ref="AY85">XLOOKUP(B85,faclon_results_2022!$D:$D,faclon_results_2022!$A:$A,"DNF")</f>
        <v>2</v>
      </c>
      <c r="AZ85" s="12">
        <f t="shared" si="1"/>
        <v>1.157638889</v>
      </c>
      <c r="BA85" s="18">
        <f t="array" ref="BA85">XLOOKUP(B85,faclon_results_2022!$D:$D,faclon_results_2022!$J:$J)</f>
        <v>22.79311</v>
      </c>
    </row>
    <row r="86" ht="15.75" customHeight="1">
      <c r="A86" s="7"/>
      <c r="B86" s="47">
        <v>597.0</v>
      </c>
      <c r="C86" s="11">
        <v>185.0</v>
      </c>
      <c r="D86" s="12">
        <v>0.27847222222222223</v>
      </c>
      <c r="E86" s="13">
        <v>0.2791666666666667</v>
      </c>
      <c r="F86" s="64">
        <v>186.0</v>
      </c>
      <c r="G86" s="65">
        <v>0.35138888888888886</v>
      </c>
      <c r="H86" s="66">
        <v>0.35138888888888886</v>
      </c>
      <c r="I86" s="11">
        <v>178.0</v>
      </c>
      <c r="J86" s="12">
        <v>0.425</v>
      </c>
      <c r="K86" s="13">
        <v>0.4388888888888889</v>
      </c>
      <c r="L86" s="67">
        <v>159.0</v>
      </c>
      <c r="M86" s="12">
        <v>0.5222222222222223</v>
      </c>
      <c r="N86" s="13">
        <v>0.5243055555555556</v>
      </c>
      <c r="O86" s="38">
        <v>152.0</v>
      </c>
      <c r="P86" s="12">
        <v>0.5951388888888889</v>
      </c>
      <c r="Q86" s="13">
        <v>0.5972222222222222</v>
      </c>
      <c r="R86" s="11">
        <v>145.0</v>
      </c>
      <c r="S86" s="12">
        <v>0.6673611111111111</v>
      </c>
      <c r="T86" s="13">
        <v>0.5854166666666667</v>
      </c>
      <c r="U86" s="11">
        <v>130.0</v>
      </c>
      <c r="V86" s="12">
        <v>0.7152777777777778</v>
      </c>
      <c r="W86" s="13">
        <v>0.7305555555555555</v>
      </c>
      <c r="X86" s="11">
        <v>120.0</v>
      </c>
      <c r="Y86" s="18"/>
      <c r="Z86" s="13">
        <v>0.8416666666666667</v>
      </c>
      <c r="AA86" s="20">
        <v>121.0</v>
      </c>
      <c r="AB86" s="21">
        <v>0.9138888888888889</v>
      </c>
      <c r="AC86" s="22">
        <v>0.9131944444444444</v>
      </c>
      <c r="AD86" s="18">
        <v>112.0</v>
      </c>
      <c r="AE86" s="12">
        <v>0.024305555555555556</v>
      </c>
      <c r="AF86" s="23">
        <v>0.03611111111111111</v>
      </c>
      <c r="AG86" s="11">
        <v>116.0</v>
      </c>
      <c r="AH86" s="12">
        <v>0.12222222222222222</v>
      </c>
      <c r="AI86" s="13">
        <v>0.12430555555555556</v>
      </c>
      <c r="AJ86" s="14">
        <v>126.0</v>
      </c>
      <c r="AK86" s="15">
        <v>0.27291666666666664</v>
      </c>
      <c r="AL86" s="16">
        <v>0.2791666666666667</v>
      </c>
      <c r="AM86" s="11">
        <v>132.0</v>
      </c>
      <c r="AN86" s="12">
        <v>0.39305555555555555</v>
      </c>
      <c r="AO86" s="38" t="s">
        <v>178</v>
      </c>
      <c r="AP86" s="11"/>
      <c r="AQ86" s="18"/>
      <c r="AR86" s="38"/>
      <c r="AS86" s="11"/>
      <c r="AT86" s="18"/>
      <c r="AU86" s="38"/>
      <c r="AV86" s="11"/>
      <c r="AW86" s="18"/>
      <c r="AX86" s="38"/>
      <c r="AY86" s="34" t="str">
        <f t="array" ref="AY86">XLOOKUP(B86,faclon_results_2022!$D:$D,faclon_results_2022!$A:$A,"DNF")</f>
        <v>DNF</v>
      </c>
      <c r="AZ86" s="12" t="str">
        <f t="shared" si="1"/>
        <v>#N/A</v>
      </c>
      <c r="BA86" s="18" t="str">
        <f t="array" ref="BA86">XLOOKUP(B86,faclon_results_2022!$D:$D,faclon_results_2022!$J:$J)</f>
        <v>#N/A</v>
      </c>
    </row>
    <row r="87" ht="15.75" customHeight="1">
      <c r="A87" s="7"/>
      <c r="B87" s="47">
        <v>598.0</v>
      </c>
      <c r="C87" s="11">
        <v>126.0</v>
      </c>
      <c r="D87" s="12">
        <v>0.2708333333333333</v>
      </c>
      <c r="E87" s="13">
        <v>0.27152777777777776</v>
      </c>
      <c r="F87" s="64">
        <v>151.0</v>
      </c>
      <c r="G87" s="65">
        <v>0.3368055555555556</v>
      </c>
      <c r="H87" s="66">
        <v>0.3368055555555556</v>
      </c>
      <c r="I87" s="11">
        <v>138.0</v>
      </c>
      <c r="J87" s="12">
        <v>0.40902777777777777</v>
      </c>
      <c r="K87" s="13">
        <v>0.4131944444444444</v>
      </c>
      <c r="L87" s="67">
        <v>144.0</v>
      </c>
      <c r="M87" s="12">
        <v>0.5111111111111111</v>
      </c>
      <c r="N87" s="13">
        <v>0.5145833333333333</v>
      </c>
      <c r="O87" s="38">
        <v>141.0</v>
      </c>
      <c r="P87" s="12">
        <v>0.5916666666666667</v>
      </c>
      <c r="Q87" s="13">
        <v>0.5916666666666667</v>
      </c>
      <c r="R87" s="11">
        <v>137.0</v>
      </c>
      <c r="S87" s="12">
        <v>0.6652777777777777</v>
      </c>
      <c r="T87" s="13">
        <v>0.6673611111111111</v>
      </c>
      <c r="U87" s="11">
        <v>137.0</v>
      </c>
      <c r="V87" s="12">
        <v>0.7201388888888889</v>
      </c>
      <c r="W87" s="13">
        <v>0.7305555555555555</v>
      </c>
      <c r="X87" s="11">
        <v>129.0</v>
      </c>
      <c r="Y87" s="12"/>
      <c r="Z87" s="13">
        <v>0.8493055555555555</v>
      </c>
      <c r="AA87" s="20">
        <v>129.0</v>
      </c>
      <c r="AB87" s="21">
        <v>0.9256944444444445</v>
      </c>
      <c r="AC87" s="22">
        <v>0.9236111111111112</v>
      </c>
      <c r="AD87" s="18">
        <v>120.0</v>
      </c>
      <c r="AE87" s="12">
        <v>0.03888888888888889</v>
      </c>
      <c r="AF87" s="23">
        <v>0.04652777777777778</v>
      </c>
      <c r="AG87" s="11">
        <v>117.0</v>
      </c>
      <c r="AH87" s="12">
        <v>0.12777777777777777</v>
      </c>
      <c r="AI87" s="13">
        <v>0.13333333333333333</v>
      </c>
      <c r="AJ87" s="14">
        <v>110.0</v>
      </c>
      <c r="AK87" s="15">
        <v>0.23541666666666666</v>
      </c>
      <c r="AL87" s="16">
        <v>0.23680555555555555</v>
      </c>
      <c r="AM87" s="11">
        <v>103.0</v>
      </c>
      <c r="AN87" s="12">
        <v>0.2972222222222222</v>
      </c>
      <c r="AO87" s="13">
        <v>0.3</v>
      </c>
      <c r="AP87" s="11">
        <v>103.0</v>
      </c>
      <c r="AQ87" s="12">
        <v>0.3784722222222222</v>
      </c>
      <c r="AR87" s="13">
        <v>0.3854166666666667</v>
      </c>
      <c r="AS87" s="11">
        <v>106.0</v>
      </c>
      <c r="AT87" s="12">
        <v>0.4965277777777778</v>
      </c>
      <c r="AU87" s="13">
        <v>0.5006944444444444</v>
      </c>
      <c r="AV87" s="11">
        <v>106.0</v>
      </c>
      <c r="AW87" s="12">
        <v>0.08958333333333333</v>
      </c>
      <c r="AX87" s="13">
        <v>0.09166666666666666</v>
      </c>
      <c r="AY87" s="34">
        <f t="array" ref="AY87">XLOOKUP(B87,faclon_results_2022!$D:$D,faclon_results_2022!$A:$A,"DNF")</f>
        <v>106</v>
      </c>
      <c r="AZ87" s="12">
        <f t="shared" si="1"/>
        <v>0.6548611111</v>
      </c>
      <c r="BA87" s="18">
        <f t="array" ref="BA87">XLOOKUP(B87,faclon_results_2022!$D:$D,faclon_results_2022!$J:$J)</f>
        <v>34.72048</v>
      </c>
    </row>
    <row r="88" ht="15.75" customHeight="1">
      <c r="A88" s="7"/>
      <c r="B88" s="47">
        <v>599.0</v>
      </c>
      <c r="C88" s="11">
        <v>2.0</v>
      </c>
      <c r="D88" s="12">
        <v>0.2513888888888889</v>
      </c>
      <c r="E88" s="13">
        <v>0.2520833333333333</v>
      </c>
      <c r="F88" s="64">
        <v>10.0</v>
      </c>
      <c r="G88" s="65">
        <v>0.29444444444444445</v>
      </c>
      <c r="H88" s="66">
        <v>0.29444444444444445</v>
      </c>
      <c r="I88" s="11">
        <v>10.0</v>
      </c>
      <c r="J88" s="12">
        <v>0.34652777777777777</v>
      </c>
      <c r="K88" s="13">
        <v>0.35</v>
      </c>
      <c r="L88" s="67">
        <v>10.0</v>
      </c>
      <c r="M88" s="12">
        <v>0.42083333333333334</v>
      </c>
      <c r="N88" s="13">
        <v>0.4222222222222222</v>
      </c>
      <c r="O88" s="38">
        <v>11.0</v>
      </c>
      <c r="P88" s="12">
        <v>0.48194444444444445</v>
      </c>
      <c r="Q88" s="13">
        <v>0.4826388888888889</v>
      </c>
      <c r="R88" s="11">
        <v>11.0</v>
      </c>
      <c r="S88" s="12">
        <v>0.5333333333333333</v>
      </c>
      <c r="T88" s="13">
        <v>0.5347222222222222</v>
      </c>
      <c r="U88" s="11">
        <v>10.0</v>
      </c>
      <c r="V88" s="12">
        <v>0.5729166666666666</v>
      </c>
      <c r="W88" s="13">
        <v>0.5777777777777777</v>
      </c>
      <c r="X88" s="11">
        <v>12.0</v>
      </c>
      <c r="Y88" s="18"/>
      <c r="Z88" s="13">
        <v>0.6798611111111111</v>
      </c>
      <c r="AA88" s="20">
        <v>11.0</v>
      </c>
      <c r="AB88" s="21">
        <v>0.7347222222222223</v>
      </c>
      <c r="AC88" s="22">
        <v>0.7361111111111112</v>
      </c>
      <c r="AD88" s="18">
        <v>20.0</v>
      </c>
      <c r="AE88" s="12">
        <v>0.8291666666666667</v>
      </c>
      <c r="AF88" s="23">
        <v>0.8486111111111111</v>
      </c>
      <c r="AG88" s="11">
        <v>26.0</v>
      </c>
      <c r="AH88" s="12">
        <v>0.9166666666666666</v>
      </c>
      <c r="AI88" s="13">
        <v>0.9180555555555555</v>
      </c>
      <c r="AJ88" s="14">
        <v>34.0</v>
      </c>
      <c r="AK88" s="15">
        <v>0.04097222222222222</v>
      </c>
      <c r="AL88" s="53" t="s">
        <v>178</v>
      </c>
      <c r="AM88" s="11"/>
      <c r="AN88" s="18"/>
      <c r="AO88" s="38"/>
      <c r="AP88" s="11"/>
      <c r="AQ88" s="18"/>
      <c r="AR88" s="38"/>
      <c r="AS88" s="11"/>
      <c r="AT88" s="18"/>
      <c r="AU88" s="38"/>
      <c r="AV88" s="11"/>
      <c r="AW88" s="18"/>
      <c r="AX88" s="38"/>
      <c r="AY88" s="34" t="str">
        <f t="array" ref="AY88">XLOOKUP(B88,faclon_results_2022!$D:$D,faclon_results_2022!$A:$A,"DNF")</f>
        <v>DNF</v>
      </c>
      <c r="AZ88" s="12" t="str">
        <f t="shared" si="1"/>
        <v>#N/A</v>
      </c>
      <c r="BA88" s="18" t="str">
        <f t="array" ref="BA88">XLOOKUP(B88,faclon_results_2022!$D:$D,faclon_results_2022!$J:$J)</f>
        <v>#N/A</v>
      </c>
    </row>
    <row r="89" ht="15.75" customHeight="1">
      <c r="A89" s="7"/>
      <c r="B89" s="47">
        <v>600.0</v>
      </c>
      <c r="C89" s="11">
        <v>55.0</v>
      </c>
      <c r="D89" s="12">
        <v>0.26319444444444445</v>
      </c>
      <c r="E89" s="13">
        <v>0.2638888888888889</v>
      </c>
      <c r="F89" s="64">
        <v>73.0</v>
      </c>
      <c r="G89" s="65">
        <v>0.32083333333333336</v>
      </c>
      <c r="H89" s="66">
        <v>0.32083333333333336</v>
      </c>
      <c r="I89" s="11">
        <v>97.0</v>
      </c>
      <c r="J89" s="12">
        <v>0.3958333333333333</v>
      </c>
      <c r="K89" s="13">
        <v>0.40347222222222223</v>
      </c>
      <c r="L89" s="67">
        <v>116.0</v>
      </c>
      <c r="M89" s="12">
        <v>0.5</v>
      </c>
      <c r="N89" s="13">
        <v>0.5034722222222222</v>
      </c>
      <c r="O89" s="38">
        <v>122.0</v>
      </c>
      <c r="P89" s="12">
        <v>0.5798611111111112</v>
      </c>
      <c r="Q89" s="13">
        <v>0.5909722222222222</v>
      </c>
      <c r="R89" s="11">
        <v>149.0</v>
      </c>
      <c r="S89" s="12">
        <v>0.6770833333333334</v>
      </c>
      <c r="T89" s="13">
        <v>0.6868055555555556</v>
      </c>
      <c r="U89" s="11">
        <v>157.0</v>
      </c>
      <c r="V89" s="12">
        <v>0.74375</v>
      </c>
      <c r="W89" s="38" t="s">
        <v>178</v>
      </c>
      <c r="X89" s="11"/>
      <c r="Y89" s="12"/>
      <c r="Z89" s="13"/>
      <c r="AA89" s="20"/>
      <c r="AB89" s="20"/>
      <c r="AC89" s="70"/>
      <c r="AD89" s="18"/>
      <c r="AE89" s="18"/>
      <c r="AF89" s="47"/>
      <c r="AG89" s="11"/>
      <c r="AH89" s="12"/>
      <c r="AI89" s="38"/>
      <c r="AJ89" s="68"/>
      <c r="AK89" s="68"/>
      <c r="AL89" s="69"/>
      <c r="AM89" s="11"/>
      <c r="AN89" s="12"/>
      <c r="AO89" s="38"/>
      <c r="AP89" s="11"/>
      <c r="AQ89" s="12"/>
      <c r="AR89" s="38"/>
      <c r="AS89" s="11"/>
      <c r="AT89" s="12"/>
      <c r="AU89" s="38"/>
      <c r="AV89" s="11"/>
      <c r="AW89" s="12"/>
      <c r="AX89" s="38"/>
      <c r="AY89" s="34" t="str">
        <f t="array" ref="AY89">XLOOKUP(B89,faclon_results_2022!$D:$D,faclon_results_2022!$A:$A,"DNF")</f>
        <v>DNF</v>
      </c>
      <c r="AZ89" s="12" t="str">
        <f t="shared" si="1"/>
        <v>#N/A</v>
      </c>
      <c r="BA89" s="18" t="str">
        <f t="array" ref="BA89">XLOOKUP(B89,faclon_results_2022!$D:$D,faclon_results_2022!$J:$J)</f>
        <v>#N/A</v>
      </c>
    </row>
    <row r="90" ht="15.75" customHeight="1">
      <c r="A90" s="7"/>
      <c r="B90" s="47">
        <v>601.0</v>
      </c>
      <c r="C90" s="11">
        <v>11.0</v>
      </c>
      <c r="D90" s="12">
        <v>0.25416666666666665</v>
      </c>
      <c r="E90" s="13">
        <v>0.25416666666666665</v>
      </c>
      <c r="F90" s="64">
        <v>12.0</v>
      </c>
      <c r="G90" s="65">
        <v>0.2986111111111111</v>
      </c>
      <c r="H90" s="66">
        <v>0.2986111111111111</v>
      </c>
      <c r="I90" s="11">
        <v>15.0</v>
      </c>
      <c r="J90" s="12">
        <v>0.3590277777777778</v>
      </c>
      <c r="K90" s="13">
        <v>0.36180555555555555</v>
      </c>
      <c r="L90" s="67">
        <v>22.0</v>
      </c>
      <c r="M90" s="12">
        <v>0.43680555555555556</v>
      </c>
      <c r="N90" s="13">
        <v>0.43819444444444444</v>
      </c>
      <c r="O90" s="38">
        <v>20.0</v>
      </c>
      <c r="P90" s="12">
        <v>0.49583333333333335</v>
      </c>
      <c r="Q90" s="13">
        <v>0.4979166666666667</v>
      </c>
      <c r="R90" s="11">
        <v>20.0</v>
      </c>
      <c r="S90" s="12">
        <v>0.5534722222222223</v>
      </c>
      <c r="T90" s="13">
        <v>0.5555555555555556</v>
      </c>
      <c r="U90" s="11">
        <v>19.0</v>
      </c>
      <c r="V90" s="12">
        <v>0.5930555555555556</v>
      </c>
      <c r="W90" s="13">
        <v>0.5979166666666667</v>
      </c>
      <c r="X90" s="11">
        <v>19.0</v>
      </c>
      <c r="Y90" s="12"/>
      <c r="Z90" s="13">
        <v>0.6923611111111111</v>
      </c>
      <c r="AA90" s="20">
        <v>19.0</v>
      </c>
      <c r="AB90" s="21">
        <v>0.7451388888888889</v>
      </c>
      <c r="AC90" s="22">
        <v>0.7472222222222222</v>
      </c>
      <c r="AD90" s="18">
        <v>16.0</v>
      </c>
      <c r="AE90" s="12">
        <v>0.8229166666666666</v>
      </c>
      <c r="AF90" s="23">
        <v>0.8277777777777777</v>
      </c>
      <c r="AG90" s="11">
        <v>15.0</v>
      </c>
      <c r="AH90" s="12">
        <v>0.8881944444444444</v>
      </c>
      <c r="AI90" s="13">
        <v>0.8895833333333333</v>
      </c>
      <c r="AJ90" s="14">
        <v>16.0</v>
      </c>
      <c r="AK90" s="15">
        <v>0.9694444444444444</v>
      </c>
      <c r="AL90" s="16">
        <v>0.9722222222222222</v>
      </c>
      <c r="AM90" s="11">
        <v>13.0</v>
      </c>
      <c r="AN90" s="12">
        <v>0.021527777777777778</v>
      </c>
      <c r="AO90" s="13">
        <v>0.027083333333333334</v>
      </c>
      <c r="AP90" s="11">
        <v>13.0</v>
      </c>
      <c r="AQ90" s="12">
        <v>0.08958333333333333</v>
      </c>
      <c r="AR90" s="13">
        <v>0.09305555555555556</v>
      </c>
      <c r="AS90" s="11">
        <v>13.0</v>
      </c>
      <c r="AT90" s="12">
        <v>0.1840277777777778</v>
      </c>
      <c r="AU90" s="13">
        <v>0.18888888888888888</v>
      </c>
      <c r="AV90" s="11">
        <v>12.0</v>
      </c>
      <c r="AW90" s="12">
        <v>0.2513888888888889</v>
      </c>
      <c r="AX90" s="13">
        <v>0.2513888888888889</v>
      </c>
      <c r="AY90" s="34">
        <f t="array" ref="AY90">XLOOKUP(B90,faclon_results_2022!$D:$D,faclon_results_2022!$A:$A,"DNF")</f>
        <v>11</v>
      </c>
      <c r="AZ90" s="12">
        <f t="shared" si="1"/>
        <v>0.2854166667</v>
      </c>
      <c r="BA90" s="18">
        <f t="array" ref="BA90">XLOOKUP(B90,faclon_results_2022!$D:$D,faclon_results_2022!$J:$J)</f>
        <v>25.85459</v>
      </c>
    </row>
    <row r="91" ht="15.75" customHeight="1">
      <c r="A91" s="7"/>
      <c r="B91" s="47">
        <v>602.0</v>
      </c>
      <c r="C91" s="11">
        <v>101.0</v>
      </c>
      <c r="D91" s="12">
        <v>0.26875</v>
      </c>
      <c r="E91" s="13">
        <v>0.26944444444444443</v>
      </c>
      <c r="F91" s="64">
        <v>82.0</v>
      </c>
      <c r="G91" s="65">
        <v>0.3215277777777778</v>
      </c>
      <c r="H91" s="66">
        <v>0.3215277777777778</v>
      </c>
      <c r="I91" s="11">
        <v>60.0</v>
      </c>
      <c r="J91" s="12">
        <v>0.3819444444444444</v>
      </c>
      <c r="K91" s="13">
        <v>0.38472222222222224</v>
      </c>
      <c r="L91" s="67">
        <v>47.0</v>
      </c>
      <c r="M91" s="12">
        <v>0.45555555555555555</v>
      </c>
      <c r="N91" s="13">
        <v>0.45694444444444443</v>
      </c>
      <c r="O91" s="38">
        <v>40.0</v>
      </c>
      <c r="P91" s="12">
        <v>0.5125</v>
      </c>
      <c r="Q91" s="13">
        <v>0.5145833333333333</v>
      </c>
      <c r="R91" s="11">
        <v>35.0</v>
      </c>
      <c r="S91" s="12">
        <v>0.5666666666666667</v>
      </c>
      <c r="T91" s="13">
        <v>0.5701388888888889</v>
      </c>
      <c r="U91" s="11">
        <v>34.0</v>
      </c>
      <c r="V91" s="12">
        <v>0.6097222222222223</v>
      </c>
      <c r="W91" s="13">
        <v>0.6131944444444445</v>
      </c>
      <c r="X91" s="11">
        <v>25.0</v>
      </c>
      <c r="Y91" s="12"/>
      <c r="Z91" s="13">
        <v>0.6993055555555555</v>
      </c>
      <c r="AA91" s="20">
        <v>24.0</v>
      </c>
      <c r="AB91" s="21">
        <v>0.7493055555555556</v>
      </c>
      <c r="AC91" s="22">
        <v>0.7520833333333333</v>
      </c>
      <c r="AD91" s="18">
        <v>23.0</v>
      </c>
      <c r="AE91" s="12">
        <v>0.8305555555555556</v>
      </c>
      <c r="AF91" s="23">
        <v>0.8423611111111111</v>
      </c>
      <c r="AG91" s="11">
        <v>20.0</v>
      </c>
      <c r="AH91" s="12">
        <v>0.9013888888888889</v>
      </c>
      <c r="AI91" s="13">
        <v>0.9041666666666667</v>
      </c>
      <c r="AJ91" s="14">
        <v>18.0</v>
      </c>
      <c r="AK91" s="15">
        <v>0.9791666666666666</v>
      </c>
      <c r="AL91" s="16">
        <v>0.9819444444444444</v>
      </c>
      <c r="AM91" s="11">
        <v>17.0</v>
      </c>
      <c r="AN91" s="12">
        <v>0.03125</v>
      </c>
      <c r="AO91" s="13">
        <v>0.034722222222222224</v>
      </c>
      <c r="AP91" s="11">
        <v>15.0</v>
      </c>
      <c r="AQ91" s="12">
        <v>0.09652777777777778</v>
      </c>
      <c r="AR91" s="13">
        <v>0.10069444444444445</v>
      </c>
      <c r="AS91" s="11">
        <v>14.0</v>
      </c>
      <c r="AT91" s="12">
        <v>0.19375</v>
      </c>
      <c r="AU91" s="13">
        <v>0.19583333333333333</v>
      </c>
      <c r="AV91" s="11">
        <v>13.0</v>
      </c>
      <c r="AW91" s="12">
        <v>0.2611111111111111</v>
      </c>
      <c r="AX91" s="13">
        <v>0.25763888888888886</v>
      </c>
      <c r="AY91" s="34">
        <f t="array" ref="AY91">XLOOKUP(B91,faclon_results_2022!$D:$D,faclon_results_2022!$A:$A,"DNF")</f>
        <v>13</v>
      </c>
      <c r="AZ91" s="12">
        <f t="shared" si="1"/>
        <v>0.3013888889</v>
      </c>
      <c r="BA91" s="18">
        <f t="array" ref="BA91">XLOOKUP(B91,faclon_results_2022!$D:$D,faclon_results_2022!$J:$J)</f>
        <v>26.24637</v>
      </c>
    </row>
    <row r="92" ht="15.75" customHeight="1">
      <c r="A92" s="7"/>
      <c r="B92" s="47">
        <v>603.0</v>
      </c>
      <c r="C92" s="11">
        <v>6.0</v>
      </c>
      <c r="D92" s="12">
        <v>0.2520833333333333</v>
      </c>
      <c r="E92" s="13">
        <v>0.25277777777777777</v>
      </c>
      <c r="F92" s="64">
        <v>6.0</v>
      </c>
      <c r="G92" s="65">
        <v>0.2923611111111111</v>
      </c>
      <c r="H92" s="66">
        <v>0.2923611111111111</v>
      </c>
      <c r="I92" s="11">
        <v>8.0</v>
      </c>
      <c r="J92" s="12">
        <v>0.3458333333333333</v>
      </c>
      <c r="K92" s="13">
        <v>0.34791666666666665</v>
      </c>
      <c r="L92" s="67">
        <v>9.0</v>
      </c>
      <c r="M92" s="12">
        <v>0.4166666666666667</v>
      </c>
      <c r="N92" s="13">
        <v>0.41875</v>
      </c>
      <c r="O92" s="38">
        <v>9.0</v>
      </c>
      <c r="P92" s="12">
        <v>0.47291666666666665</v>
      </c>
      <c r="Q92" s="13">
        <v>0.475</v>
      </c>
      <c r="R92" s="11">
        <v>8.0</v>
      </c>
      <c r="S92" s="12">
        <v>0.5229166666666667</v>
      </c>
      <c r="T92" s="13">
        <v>0.525</v>
      </c>
      <c r="U92" s="11">
        <v>8.0</v>
      </c>
      <c r="V92" s="12">
        <v>0.5590277777777778</v>
      </c>
      <c r="W92" s="13">
        <v>0.5631944444444444</v>
      </c>
      <c r="X92" s="11">
        <v>7.0</v>
      </c>
      <c r="Y92" s="12"/>
      <c r="Z92" s="13">
        <v>0.6465277777777778</v>
      </c>
      <c r="AA92" s="20">
        <v>7.0</v>
      </c>
      <c r="AB92" s="21">
        <v>0.7006944444444444</v>
      </c>
      <c r="AC92" s="22">
        <v>0.7069444444444445</v>
      </c>
      <c r="AD92" s="18">
        <v>7.0</v>
      </c>
      <c r="AE92" s="12">
        <v>0.7833333333333333</v>
      </c>
      <c r="AF92" s="23">
        <v>0.7930555555555555</v>
      </c>
      <c r="AG92" s="11">
        <v>8.0</v>
      </c>
      <c r="AH92" s="12">
        <v>0.8486111111111111</v>
      </c>
      <c r="AI92" s="13">
        <v>0.8534722222222222</v>
      </c>
      <c r="AJ92" s="14">
        <v>7.0</v>
      </c>
      <c r="AK92" s="15">
        <v>0.9243055555555556</v>
      </c>
      <c r="AL92" s="16">
        <v>0.9270833333333334</v>
      </c>
      <c r="AM92" s="11">
        <v>7.0</v>
      </c>
      <c r="AN92" s="12">
        <v>0.9722222222222222</v>
      </c>
      <c r="AO92" s="13">
        <v>0.9770833333333333</v>
      </c>
      <c r="AP92" s="11">
        <v>6.0</v>
      </c>
      <c r="AQ92" s="12">
        <v>0.034722222222222224</v>
      </c>
      <c r="AR92" s="13">
        <v>0.03888888888888889</v>
      </c>
      <c r="AS92" s="11">
        <v>6.0</v>
      </c>
      <c r="AT92" s="12">
        <v>0.12361111111111112</v>
      </c>
      <c r="AU92" s="13">
        <v>0.12638888888888888</v>
      </c>
      <c r="AV92" s="11">
        <v>6.0</v>
      </c>
      <c r="AW92" s="12">
        <v>0.17777777777777778</v>
      </c>
      <c r="AX92" s="13">
        <v>0.17777777777777778</v>
      </c>
      <c r="AY92" s="34">
        <f t="array" ref="AY92">XLOOKUP(B92,faclon_results_2022!$D:$D,faclon_results_2022!$A:$A,"DNF")</f>
        <v>4</v>
      </c>
      <c r="AZ92" s="12">
        <f t="shared" si="1"/>
        <v>1.20625</v>
      </c>
      <c r="BA92" s="18">
        <f t="array" ref="BA92">XLOOKUP(B92,faclon_results_2022!$D:$D,faclon_results_2022!$J:$J)</f>
        <v>23.95726</v>
      </c>
    </row>
    <row r="93" ht="15.75" customHeight="1">
      <c r="A93" s="7"/>
      <c r="B93" s="47">
        <v>604.0</v>
      </c>
      <c r="C93" s="11">
        <v>32.0</v>
      </c>
      <c r="D93" s="12">
        <v>0.25972222222222224</v>
      </c>
      <c r="E93" s="13">
        <v>0.2604166666666667</v>
      </c>
      <c r="F93" s="64">
        <v>35.0</v>
      </c>
      <c r="G93" s="65">
        <v>0.3111111111111111</v>
      </c>
      <c r="H93" s="66">
        <v>0.3111111111111111</v>
      </c>
      <c r="I93" s="11">
        <v>50.0</v>
      </c>
      <c r="J93" s="12">
        <v>0.3763888888888889</v>
      </c>
      <c r="K93" s="13">
        <v>0.38055555555555554</v>
      </c>
      <c r="L93" s="67">
        <v>65.0</v>
      </c>
      <c r="M93" s="12">
        <v>0.4701388888888889</v>
      </c>
      <c r="N93" s="13">
        <v>0.4722222222222222</v>
      </c>
      <c r="O93" s="38">
        <v>71.0</v>
      </c>
      <c r="P93" s="12">
        <v>0.5430555555555555</v>
      </c>
      <c r="Q93" s="13">
        <v>0.5451388888888888</v>
      </c>
      <c r="R93" s="11">
        <v>74.0</v>
      </c>
      <c r="S93" s="12">
        <v>0.6111111111111112</v>
      </c>
      <c r="T93" s="13">
        <v>0.6131944444444445</v>
      </c>
      <c r="U93" s="11">
        <v>69.0</v>
      </c>
      <c r="V93" s="12">
        <v>0.6611111111111111</v>
      </c>
      <c r="W93" s="13">
        <v>0.66875</v>
      </c>
      <c r="X93" s="11">
        <v>67.0</v>
      </c>
      <c r="Y93" s="18"/>
      <c r="Z93" s="13">
        <v>0.7743055555555556</v>
      </c>
      <c r="AA93" s="20">
        <v>73.0</v>
      </c>
      <c r="AB93" s="21">
        <v>0.8395833333333333</v>
      </c>
      <c r="AC93" s="22">
        <v>0.8416666666666667</v>
      </c>
      <c r="AD93" s="18">
        <v>75.0</v>
      </c>
      <c r="AE93" s="12">
        <v>0.9486111111111111</v>
      </c>
      <c r="AF93" s="23">
        <v>0.9590277777777778</v>
      </c>
      <c r="AG93" s="11">
        <v>75.0</v>
      </c>
      <c r="AH93" s="12">
        <v>0.035416666666666666</v>
      </c>
      <c r="AI93" s="13">
        <v>0.0375</v>
      </c>
      <c r="AJ93" s="14">
        <v>75.0</v>
      </c>
      <c r="AK93" s="15">
        <v>0.15416666666666667</v>
      </c>
      <c r="AL93" s="16">
        <v>0.15833333333333333</v>
      </c>
      <c r="AM93" s="11">
        <v>71.0</v>
      </c>
      <c r="AN93" s="12">
        <v>0.23402777777777778</v>
      </c>
      <c r="AO93" s="13">
        <v>0.24583333333333332</v>
      </c>
      <c r="AP93" s="11">
        <v>70.0</v>
      </c>
      <c r="AQ93" s="12">
        <v>0.3236111111111111</v>
      </c>
      <c r="AR93" s="13">
        <v>0.32569444444444445</v>
      </c>
      <c r="AS93" s="11">
        <v>72.0</v>
      </c>
      <c r="AT93" s="12">
        <v>0.4423611111111111</v>
      </c>
      <c r="AU93" s="13">
        <v>0.44513888888888886</v>
      </c>
      <c r="AV93" s="11">
        <v>72.0</v>
      </c>
      <c r="AW93" s="12">
        <v>0.5305555555555556</v>
      </c>
      <c r="AX93" s="13">
        <v>0.5319444444444444</v>
      </c>
      <c r="AY93" s="34">
        <f t="array" ref="AY93">XLOOKUP(B93,faclon_results_2022!$D:$D,faclon_results_2022!$A:$A,"DNF")</f>
        <v>75</v>
      </c>
      <c r="AZ93" s="12">
        <f t="shared" si="1"/>
        <v>0.5909722222</v>
      </c>
      <c r="BA93" s="18">
        <f t="array" ref="BA93">XLOOKUP(B93,faclon_results_2022!$D:$D,faclon_results_2022!$J:$J)</f>
        <v>33.19355</v>
      </c>
    </row>
    <row r="94" ht="15.75" customHeight="1">
      <c r="A94" s="7"/>
      <c r="B94" s="47">
        <v>605.0</v>
      </c>
      <c r="C94" s="11">
        <v>141.0</v>
      </c>
      <c r="D94" s="12">
        <v>0.27152777777777776</v>
      </c>
      <c r="E94" s="13">
        <v>0.2722222222222222</v>
      </c>
      <c r="F94" s="64">
        <v>92.0</v>
      </c>
      <c r="G94" s="65">
        <v>0.32430555555555557</v>
      </c>
      <c r="H94" s="66">
        <v>0.32430555555555557</v>
      </c>
      <c r="I94" s="11">
        <v>174.0</v>
      </c>
      <c r="J94" s="12">
        <v>0.4236111111111111</v>
      </c>
      <c r="K94" s="13">
        <v>0.4284722222222222</v>
      </c>
      <c r="L94" s="67">
        <v>179.0</v>
      </c>
      <c r="M94" s="12">
        <v>0.5381944444444444</v>
      </c>
      <c r="N94" s="13">
        <v>0.5423611111111111</v>
      </c>
      <c r="O94" s="38">
        <v>176.0</v>
      </c>
      <c r="P94" s="12">
        <v>0.6180555555555556</v>
      </c>
      <c r="Q94" s="13">
        <v>0.6256944444444444</v>
      </c>
      <c r="R94" s="11">
        <v>174.0</v>
      </c>
      <c r="S94" s="12">
        <v>0.7041666666666667</v>
      </c>
      <c r="T94" s="13">
        <v>0.7118055555555556</v>
      </c>
      <c r="U94" s="11">
        <v>173.0</v>
      </c>
      <c r="V94" s="12">
        <v>0.7638888888888888</v>
      </c>
      <c r="W94" s="13">
        <v>0.7715277777777778</v>
      </c>
      <c r="X94" s="11">
        <v>153.0</v>
      </c>
      <c r="Y94" s="12"/>
      <c r="Z94" s="13">
        <v>0.8798611111111111</v>
      </c>
      <c r="AA94" s="20">
        <v>147.0</v>
      </c>
      <c r="AB94" s="21">
        <v>0.9465277777777777</v>
      </c>
      <c r="AC94" s="22">
        <v>0.9513888888888888</v>
      </c>
      <c r="AD94" s="18">
        <v>135.0</v>
      </c>
      <c r="AE94" s="12">
        <v>0.059027777777777776</v>
      </c>
      <c r="AF94" s="23">
        <v>0.06875</v>
      </c>
      <c r="AG94" s="11">
        <v>124.0</v>
      </c>
      <c r="AH94" s="12">
        <v>0.1423611111111111</v>
      </c>
      <c r="AI94" s="13">
        <v>0.14583333333333334</v>
      </c>
      <c r="AJ94" s="14">
        <v>117.0</v>
      </c>
      <c r="AK94" s="15">
        <v>0.24791666666666667</v>
      </c>
      <c r="AL94" s="16">
        <v>0.24930555555555556</v>
      </c>
      <c r="AM94" s="11">
        <v>108.0</v>
      </c>
      <c r="AN94" s="12">
        <v>0.30694444444444446</v>
      </c>
      <c r="AO94" s="13">
        <v>0.31180555555555556</v>
      </c>
      <c r="AP94" s="11">
        <v>104.0</v>
      </c>
      <c r="AQ94" s="12">
        <v>0.3798611111111111</v>
      </c>
      <c r="AR94" s="13">
        <v>0.3840277777777778</v>
      </c>
      <c r="AS94" s="11">
        <v>99.0</v>
      </c>
      <c r="AT94" s="12">
        <v>0.48333333333333334</v>
      </c>
      <c r="AU94" s="13">
        <v>0.48680555555555555</v>
      </c>
      <c r="AV94" s="11">
        <v>94.0</v>
      </c>
      <c r="AW94" s="12">
        <v>0.06527777777777778</v>
      </c>
      <c r="AX94" s="13">
        <v>0.06666666666666667</v>
      </c>
      <c r="AY94" s="34">
        <f t="array" ref="AY94">XLOOKUP(B94,faclon_results_2022!$D:$D,faclon_results_2022!$A:$A,"DNF")</f>
        <v>87</v>
      </c>
      <c r="AZ94" s="12">
        <f t="shared" si="1"/>
        <v>0.6166666667</v>
      </c>
      <c r="BA94" s="18">
        <f t="array" ref="BA94">XLOOKUP(B94,faclon_results_2022!$D:$D,faclon_results_2022!$J:$J)</f>
        <v>33.80957</v>
      </c>
    </row>
    <row r="95" ht="15.75" customHeight="1">
      <c r="A95" s="7"/>
      <c r="B95" s="47">
        <v>606.0</v>
      </c>
      <c r="C95" s="11">
        <v>92.0</v>
      </c>
      <c r="D95" s="12">
        <v>0.2673611111111111</v>
      </c>
      <c r="E95" s="13">
        <v>0.26805555555555555</v>
      </c>
      <c r="F95" s="64">
        <v>173.0</v>
      </c>
      <c r="G95" s="65">
        <v>0.3416666666666667</v>
      </c>
      <c r="H95" s="66">
        <v>0.3416666666666667</v>
      </c>
      <c r="I95" s="11">
        <v>118.0</v>
      </c>
      <c r="J95" s="12">
        <v>0.4013888888888889</v>
      </c>
      <c r="K95" s="13">
        <v>0.4097222222222222</v>
      </c>
      <c r="L95" s="67">
        <v>115.0</v>
      </c>
      <c r="M95" s="12">
        <v>0.4986111111111111</v>
      </c>
      <c r="N95" s="13">
        <v>0.5020833333333333</v>
      </c>
      <c r="O95" s="38">
        <v>120.0</v>
      </c>
      <c r="P95" s="12">
        <v>0.5791666666666667</v>
      </c>
      <c r="Q95" s="13">
        <v>0.5833333333333334</v>
      </c>
      <c r="R95" s="11">
        <v>126.0</v>
      </c>
      <c r="S95" s="12">
        <v>0.65625</v>
      </c>
      <c r="T95" s="13">
        <v>0.6597222222222222</v>
      </c>
      <c r="U95" s="11">
        <v>120.0</v>
      </c>
      <c r="V95" s="12">
        <v>0.7090277777777778</v>
      </c>
      <c r="W95" s="13">
        <v>0.7145833333333333</v>
      </c>
      <c r="X95" s="11">
        <v>110.0</v>
      </c>
      <c r="Y95" s="18"/>
      <c r="Z95" s="13">
        <v>0.8284722222222223</v>
      </c>
      <c r="AA95" s="20">
        <v>111.0</v>
      </c>
      <c r="AB95" s="21">
        <v>0.9027777777777778</v>
      </c>
      <c r="AC95" s="22">
        <v>0.9083333333333333</v>
      </c>
      <c r="AD95" s="18">
        <v>119.0</v>
      </c>
      <c r="AE95" s="12">
        <v>0.030555555555555555</v>
      </c>
      <c r="AF95" s="23">
        <v>0.04027777777777778</v>
      </c>
      <c r="AG95" s="11">
        <v>115.0</v>
      </c>
      <c r="AH95" s="12">
        <v>0.12083333333333333</v>
      </c>
      <c r="AI95" s="13">
        <v>0.12361111111111112</v>
      </c>
      <c r="AJ95" s="14">
        <v>109.0</v>
      </c>
      <c r="AK95" s="15">
        <v>0.23541666666666666</v>
      </c>
      <c r="AL95" s="16">
        <v>0.23819444444444443</v>
      </c>
      <c r="AM95" s="11">
        <v>101.0</v>
      </c>
      <c r="AN95" s="12">
        <v>0.29097222222222224</v>
      </c>
      <c r="AO95" s="13">
        <v>0.29583333333333334</v>
      </c>
      <c r="AP95" s="11">
        <v>92.0</v>
      </c>
      <c r="AQ95" s="12">
        <v>0.36041666666666666</v>
      </c>
      <c r="AR95" s="13">
        <v>0.3645833333333333</v>
      </c>
      <c r="AS95" s="11">
        <v>98.0</v>
      </c>
      <c r="AT95" s="12">
        <v>0.48333333333333334</v>
      </c>
      <c r="AU95" s="13">
        <v>0.48680555555555555</v>
      </c>
      <c r="AV95" s="11">
        <v>101.0</v>
      </c>
      <c r="AW95" s="12">
        <v>0.07916666666666666</v>
      </c>
      <c r="AX95" s="13">
        <v>0.08194444444444444</v>
      </c>
      <c r="AY95" s="34">
        <f t="array" ref="AY95">XLOOKUP(B95,faclon_results_2022!$D:$D,faclon_results_2022!$A:$A,"DNF")</f>
        <v>102</v>
      </c>
      <c r="AZ95" s="12">
        <f t="shared" si="1"/>
        <v>0.6534722222</v>
      </c>
      <c r="BA95" s="18">
        <f t="array" ref="BA95">XLOOKUP(B95,faclon_results_2022!$D:$D,faclon_results_2022!$J:$J)</f>
        <v>34.69184</v>
      </c>
    </row>
    <row r="96" ht="15.75" customHeight="1">
      <c r="A96" s="7"/>
      <c r="B96" s="47">
        <v>607.0</v>
      </c>
      <c r="C96" s="11">
        <v>172.0</v>
      </c>
      <c r="D96" s="12">
        <v>0.2743055555555556</v>
      </c>
      <c r="E96" s="13">
        <v>0.275</v>
      </c>
      <c r="F96" s="64">
        <v>180.0</v>
      </c>
      <c r="G96" s="65">
        <v>0.34444444444444444</v>
      </c>
      <c r="H96" s="66">
        <v>0.34444444444444444</v>
      </c>
      <c r="I96" s="11">
        <v>155.0</v>
      </c>
      <c r="J96" s="12">
        <v>0.41388888888888886</v>
      </c>
      <c r="K96" s="13">
        <v>0.42083333333333334</v>
      </c>
      <c r="L96" s="67">
        <v>140.0</v>
      </c>
      <c r="M96" s="12">
        <v>0.5069444444444444</v>
      </c>
      <c r="N96" s="13">
        <v>0.5083333333333333</v>
      </c>
      <c r="O96" s="38">
        <v>130.0</v>
      </c>
      <c r="P96" s="12">
        <v>0.5798611111111112</v>
      </c>
      <c r="Q96" s="13">
        <v>0.5854166666666667</v>
      </c>
      <c r="R96" s="11">
        <v>130.0</v>
      </c>
      <c r="S96" s="12">
        <v>0.6576388888888889</v>
      </c>
      <c r="T96" s="13">
        <v>0.6583333333333333</v>
      </c>
      <c r="U96" s="11">
        <v>124.0</v>
      </c>
      <c r="V96" s="12">
        <v>0.7111111111111111</v>
      </c>
      <c r="W96" s="13">
        <v>0.7194444444444444</v>
      </c>
      <c r="X96" s="11">
        <v>112.0</v>
      </c>
      <c r="Y96" s="12"/>
      <c r="Z96" s="13">
        <v>0.8319444444444445</v>
      </c>
      <c r="AA96" s="20">
        <v>110.0</v>
      </c>
      <c r="AB96" s="21">
        <v>0.9027777777777778</v>
      </c>
      <c r="AC96" s="22">
        <v>0.9013888888888889</v>
      </c>
      <c r="AD96" s="18">
        <v>106.0</v>
      </c>
      <c r="AE96" s="12">
        <v>0.01597222222222222</v>
      </c>
      <c r="AF96" s="23">
        <v>0.024305555555555556</v>
      </c>
      <c r="AG96" s="11">
        <v>102.0</v>
      </c>
      <c r="AH96" s="12">
        <v>0.09861111111111111</v>
      </c>
      <c r="AI96" s="13">
        <v>0.10208333333333333</v>
      </c>
      <c r="AJ96" s="14">
        <v>92.0</v>
      </c>
      <c r="AK96" s="15">
        <v>0.19722222222222222</v>
      </c>
      <c r="AL96" s="16">
        <v>0.19930555555555557</v>
      </c>
      <c r="AM96" s="11">
        <v>81.0</v>
      </c>
      <c r="AN96" s="12">
        <v>0.2638888888888889</v>
      </c>
      <c r="AO96" s="13">
        <v>0.26666666666666666</v>
      </c>
      <c r="AP96" s="11">
        <v>79.0</v>
      </c>
      <c r="AQ96" s="12">
        <v>0.33958333333333335</v>
      </c>
      <c r="AR96" s="13">
        <v>0.3423611111111111</v>
      </c>
      <c r="AS96" s="11">
        <v>78.0</v>
      </c>
      <c r="AT96" s="12">
        <v>0.45208333333333334</v>
      </c>
      <c r="AU96" s="13">
        <v>0.45625</v>
      </c>
      <c r="AV96" s="11">
        <v>81.0</v>
      </c>
      <c r="AW96" s="12">
        <v>0.04513888888888889</v>
      </c>
      <c r="AX96" s="13">
        <v>0.04583333333333333</v>
      </c>
      <c r="AY96" s="34">
        <f t="array" ref="AY96">XLOOKUP(B96,faclon_results_2022!$D:$D,faclon_results_2022!$A:$A,"DNF")</f>
        <v>83</v>
      </c>
      <c r="AZ96" s="12">
        <f t="shared" si="1"/>
        <v>0.6083333333</v>
      </c>
      <c r="BA96" s="18">
        <f t="array" ref="BA96">XLOOKUP(B96,faclon_results_2022!$D:$D,faclon_results_2022!$J:$J)</f>
        <v>33.60576</v>
      </c>
    </row>
    <row r="97" ht="15.75" customHeight="1">
      <c r="A97" s="7"/>
      <c r="B97" s="47">
        <v>608.0</v>
      </c>
      <c r="C97" s="11">
        <v>196.0</v>
      </c>
      <c r="D97" s="12">
        <v>0.28125</v>
      </c>
      <c r="E97" s="13">
        <v>0.28194444444444444</v>
      </c>
      <c r="F97" s="64">
        <v>191.0</v>
      </c>
      <c r="G97" s="65">
        <v>0.3541666666666667</v>
      </c>
      <c r="H97" s="66">
        <v>0.3541666666666667</v>
      </c>
      <c r="I97" s="11">
        <v>195.0</v>
      </c>
      <c r="J97" s="12">
        <v>0.44583333333333336</v>
      </c>
      <c r="K97" s="13">
        <v>0.45069444444444445</v>
      </c>
      <c r="L97" s="67">
        <v>193.0</v>
      </c>
      <c r="M97" s="12">
        <v>0.5680555555555555</v>
      </c>
      <c r="N97" s="13">
        <v>0.5694444444444444</v>
      </c>
      <c r="O97" s="38">
        <v>193.0</v>
      </c>
      <c r="P97" s="12">
        <v>0.6597222222222222</v>
      </c>
      <c r="Q97" s="13">
        <v>0.6631944444444444</v>
      </c>
      <c r="R97" s="11">
        <v>191.0</v>
      </c>
      <c r="S97" s="12">
        <v>0.7520833333333333</v>
      </c>
      <c r="T97" s="38" t="s">
        <v>178</v>
      </c>
      <c r="U97" s="11"/>
      <c r="V97" s="18"/>
      <c r="W97" s="38"/>
      <c r="X97" s="11"/>
      <c r="Y97" s="12"/>
      <c r="Z97" s="13"/>
      <c r="AA97" s="20"/>
      <c r="AB97" s="71"/>
      <c r="AC97" s="56"/>
      <c r="AD97" s="18"/>
      <c r="AE97" s="18"/>
      <c r="AF97" s="47"/>
      <c r="AG97" s="11"/>
      <c r="AH97" s="12"/>
      <c r="AI97" s="13"/>
      <c r="AJ97" s="68"/>
      <c r="AK97" s="68"/>
      <c r="AL97" s="69"/>
      <c r="AM97" s="11"/>
      <c r="AN97" s="18"/>
      <c r="AO97" s="38"/>
      <c r="AP97" s="11"/>
      <c r="AQ97" s="18"/>
      <c r="AR97" s="38"/>
      <c r="AS97" s="11"/>
      <c r="AT97" s="18"/>
      <c r="AU97" s="38"/>
      <c r="AV97" s="11"/>
      <c r="AW97" s="18"/>
      <c r="AX97" s="38"/>
      <c r="AY97" s="34" t="str">
        <f t="array" ref="AY97">XLOOKUP(B97,faclon_results_2022!$D:$D,faclon_results_2022!$A:$A,"DNF")</f>
        <v>DNF</v>
      </c>
      <c r="AZ97" s="12" t="str">
        <f t="shared" si="1"/>
        <v>#N/A</v>
      </c>
      <c r="BA97" s="18" t="str">
        <f t="array" ref="BA97">XLOOKUP(B97,faclon_results_2022!$D:$D,faclon_results_2022!$J:$J)</f>
        <v>#N/A</v>
      </c>
    </row>
    <row r="98" ht="15.75" customHeight="1">
      <c r="A98" s="7"/>
      <c r="B98" s="47">
        <v>609.0</v>
      </c>
      <c r="C98" s="11"/>
      <c r="D98" s="12"/>
      <c r="E98" s="13"/>
      <c r="F98" s="64">
        <v>11.0</v>
      </c>
      <c r="G98" s="65">
        <v>0.2986111111111111</v>
      </c>
      <c r="H98" s="66">
        <v>0.2986111111111111</v>
      </c>
      <c r="I98" s="11">
        <v>11.0</v>
      </c>
      <c r="J98" s="12">
        <v>0.3486111111111111</v>
      </c>
      <c r="K98" s="13">
        <v>0.34930555555555554</v>
      </c>
      <c r="L98" s="67">
        <v>5.0</v>
      </c>
      <c r="M98" s="30">
        <v>0.41458333333333336</v>
      </c>
      <c r="N98" s="35">
        <v>0.4152777777777778</v>
      </c>
      <c r="O98" s="38">
        <v>5.0</v>
      </c>
      <c r="P98" s="12">
        <v>0.4666666666666667</v>
      </c>
      <c r="Q98" s="13">
        <v>0.46805555555555556</v>
      </c>
      <c r="R98" s="11">
        <v>4.0</v>
      </c>
      <c r="S98" s="12">
        <v>0.5180555555555556</v>
      </c>
      <c r="T98" s="13">
        <v>0.51875</v>
      </c>
      <c r="U98" s="11">
        <v>5.0</v>
      </c>
      <c r="V98" s="12">
        <v>0.5520833333333334</v>
      </c>
      <c r="W98" s="13">
        <v>0.5548611111111111</v>
      </c>
      <c r="X98" s="11">
        <v>4.0</v>
      </c>
      <c r="Y98" s="12"/>
      <c r="Z98" s="13">
        <v>0.6409722222222223</v>
      </c>
      <c r="AA98" s="20">
        <v>4.0</v>
      </c>
      <c r="AB98" s="21">
        <v>0.6895833333333333</v>
      </c>
      <c r="AC98" s="22">
        <v>0.6909722222222222</v>
      </c>
      <c r="AD98" s="18">
        <v>4.0</v>
      </c>
      <c r="AE98" s="12">
        <v>0.7652777777777777</v>
      </c>
      <c r="AF98" s="23">
        <v>0.7666666666666667</v>
      </c>
      <c r="AG98" s="11">
        <v>5.0</v>
      </c>
      <c r="AH98" s="12">
        <v>0.8388888888888889</v>
      </c>
      <c r="AI98" s="13">
        <v>0.8458333333333333</v>
      </c>
      <c r="AJ98" s="14">
        <v>13.0</v>
      </c>
      <c r="AK98" s="15">
        <v>0.9631944444444445</v>
      </c>
      <c r="AL98" s="53" t="s">
        <v>178</v>
      </c>
      <c r="AM98" s="11"/>
      <c r="AN98" s="12"/>
      <c r="AO98" s="38"/>
      <c r="AP98" s="11"/>
      <c r="AQ98" s="12"/>
      <c r="AR98" s="38"/>
      <c r="AS98" s="11"/>
      <c r="AT98" s="12"/>
      <c r="AU98" s="38"/>
      <c r="AV98" s="11"/>
      <c r="AW98" s="12"/>
      <c r="AX98" s="38"/>
      <c r="AY98" s="34" t="str">
        <f t="array" ref="AY98">XLOOKUP(B98,faclon_results_2022!$D:$D,faclon_results_2022!$A:$A,"DNF")</f>
        <v>DNF</v>
      </c>
      <c r="AZ98" s="12" t="str">
        <f t="shared" si="1"/>
        <v>#N/A</v>
      </c>
      <c r="BA98" s="18" t="str">
        <f t="array" ref="BA98">XLOOKUP(B98,faclon_results_2022!$D:$D,faclon_results_2022!$J:$J)</f>
        <v>#N/A</v>
      </c>
    </row>
    <row r="99" ht="15.75" customHeight="1">
      <c r="A99" s="7"/>
      <c r="B99" s="47">
        <v>611.0</v>
      </c>
      <c r="C99" s="11">
        <v>49.0</v>
      </c>
      <c r="D99" s="12">
        <v>0.2611111111111111</v>
      </c>
      <c r="E99" s="13">
        <v>0.26180555555555557</v>
      </c>
      <c r="F99" s="64">
        <v>50.0</v>
      </c>
      <c r="G99" s="65">
        <v>0.3138888888888889</v>
      </c>
      <c r="H99" s="66">
        <v>0.3138888888888889</v>
      </c>
      <c r="I99" s="11">
        <v>44.0</v>
      </c>
      <c r="J99" s="12">
        <v>0.3736111111111111</v>
      </c>
      <c r="K99" s="13">
        <v>0.3784722222222222</v>
      </c>
      <c r="L99" s="67">
        <v>41.0</v>
      </c>
      <c r="M99" s="12">
        <v>0.45</v>
      </c>
      <c r="N99" s="13">
        <v>0.4527777777777778</v>
      </c>
      <c r="O99" s="38">
        <v>41.0</v>
      </c>
      <c r="P99" s="12">
        <v>0.5125</v>
      </c>
      <c r="Q99" s="13">
        <v>0.5152777777777777</v>
      </c>
      <c r="R99" s="11">
        <v>38.0</v>
      </c>
      <c r="S99" s="12">
        <v>0.5701388888888889</v>
      </c>
      <c r="T99" s="13">
        <v>0.5708333333333333</v>
      </c>
      <c r="U99" s="11">
        <v>32.0</v>
      </c>
      <c r="V99" s="12">
        <v>0.6069444444444444</v>
      </c>
      <c r="W99" s="13">
        <v>0.6173611111111111</v>
      </c>
      <c r="X99" s="11">
        <v>33.0</v>
      </c>
      <c r="Y99" s="12"/>
      <c r="Z99" s="13">
        <v>0.7138888888888889</v>
      </c>
      <c r="AA99" s="20">
        <v>34.0</v>
      </c>
      <c r="AB99" s="21">
        <v>0.7701388888888889</v>
      </c>
      <c r="AC99" s="22">
        <v>0.7729166666666667</v>
      </c>
      <c r="AD99" s="18">
        <v>34.0</v>
      </c>
      <c r="AE99" s="12">
        <v>0.8611111111111112</v>
      </c>
      <c r="AF99" s="23">
        <v>0.8756944444444444</v>
      </c>
      <c r="AG99" s="11">
        <v>37.0</v>
      </c>
      <c r="AH99" s="12">
        <v>0.9465277777777777</v>
      </c>
      <c r="AI99" s="13">
        <v>0.95</v>
      </c>
      <c r="AJ99" s="14">
        <v>37.0</v>
      </c>
      <c r="AK99" s="15">
        <v>0.04722222222222222</v>
      </c>
      <c r="AL99" s="16">
        <v>0.05277777777777778</v>
      </c>
      <c r="AM99" s="11">
        <v>31.0</v>
      </c>
      <c r="AN99" s="12">
        <v>0.1076388888888889</v>
      </c>
      <c r="AO99" s="13">
        <v>0.12361111111111112</v>
      </c>
      <c r="AP99" s="11">
        <v>33.0</v>
      </c>
      <c r="AQ99" s="12">
        <v>0.1951388888888889</v>
      </c>
      <c r="AR99" s="13">
        <v>0.19930555555555557</v>
      </c>
      <c r="AS99" s="11">
        <v>31.0</v>
      </c>
      <c r="AT99" s="12">
        <v>0.2951388888888889</v>
      </c>
      <c r="AU99" s="13">
        <v>0.29930555555555555</v>
      </c>
      <c r="AV99" s="11">
        <v>26.0</v>
      </c>
      <c r="AW99" s="12">
        <v>0.35555555555555557</v>
      </c>
      <c r="AX99" s="13">
        <v>0.35555555555555557</v>
      </c>
      <c r="AY99" s="34">
        <f t="array" ref="AY99">XLOOKUP(B99,faclon_results_2022!$D:$D,faclon_results_2022!$A:$A,"DNF")</f>
        <v>25</v>
      </c>
      <c r="AZ99" s="12">
        <f t="shared" si="1"/>
        <v>0.3979166667</v>
      </c>
      <c r="BA99" s="18">
        <f t="array" ref="BA99">XLOOKUP(B99,faclon_results_2022!$D:$D,faclon_results_2022!$J:$J)</f>
        <v>28.55636</v>
      </c>
    </row>
    <row r="100" ht="15.75" customHeight="1">
      <c r="A100" s="7"/>
      <c r="B100" s="47">
        <v>612.0</v>
      </c>
      <c r="C100" s="11">
        <v>190.0</v>
      </c>
      <c r="D100" s="12">
        <v>0.28055555555555556</v>
      </c>
      <c r="E100" s="13">
        <v>0.28125</v>
      </c>
      <c r="F100" s="64">
        <v>15.0</v>
      </c>
      <c r="G100" s="65">
        <v>0.3013888888888889</v>
      </c>
      <c r="H100" s="66">
        <v>0.3013888888888889</v>
      </c>
      <c r="I100" s="11">
        <v>191.0</v>
      </c>
      <c r="J100" s="12">
        <v>0.4395833333333333</v>
      </c>
      <c r="K100" s="13">
        <v>0.4444444444444444</v>
      </c>
      <c r="L100" s="67">
        <v>184.0</v>
      </c>
      <c r="M100" s="12">
        <v>0.54375</v>
      </c>
      <c r="N100" s="13">
        <v>0.5458333333333333</v>
      </c>
      <c r="O100" s="38">
        <v>184.0</v>
      </c>
      <c r="P100" s="12">
        <v>0.6326388888888889</v>
      </c>
      <c r="Q100" s="13">
        <v>0.6354166666666666</v>
      </c>
      <c r="R100" s="11">
        <v>183.0</v>
      </c>
      <c r="S100" s="12">
        <v>0.7180555555555556</v>
      </c>
      <c r="T100" s="13">
        <v>0.7194444444444444</v>
      </c>
      <c r="U100" s="11">
        <v>177.0</v>
      </c>
      <c r="V100" s="12">
        <v>0.7736111111111111</v>
      </c>
      <c r="W100" s="13">
        <v>0.7819444444444444</v>
      </c>
      <c r="X100" s="11">
        <v>172.0</v>
      </c>
      <c r="Y100" s="12"/>
      <c r="Z100" s="13">
        <v>0.9493055555555555</v>
      </c>
      <c r="AA100" s="20">
        <v>173.0</v>
      </c>
      <c r="AB100" s="20"/>
      <c r="AC100" s="22">
        <v>0.025</v>
      </c>
      <c r="AD100" s="18">
        <v>156.0</v>
      </c>
      <c r="AE100" s="12">
        <v>0.11736111111111111</v>
      </c>
      <c r="AF100" s="23">
        <v>0.12083333333333333</v>
      </c>
      <c r="AG100" s="11">
        <v>144.0</v>
      </c>
      <c r="AH100" s="12">
        <v>0.1951388888888889</v>
      </c>
      <c r="AI100" s="13">
        <v>0.19722222222222222</v>
      </c>
      <c r="AJ100" s="14">
        <v>137.0</v>
      </c>
      <c r="AK100" s="15">
        <v>0.30972222222222223</v>
      </c>
      <c r="AL100" s="16">
        <v>0.3076388888888889</v>
      </c>
      <c r="AM100" s="11">
        <v>124.0</v>
      </c>
      <c r="AN100" s="12">
        <v>0.36666666666666664</v>
      </c>
      <c r="AO100" s="13">
        <v>0.3736111111111111</v>
      </c>
      <c r="AP100" s="11">
        <v>122.0</v>
      </c>
      <c r="AQ100" s="12">
        <v>0.4465277777777778</v>
      </c>
      <c r="AR100" s="13">
        <v>0.44722222222222224</v>
      </c>
      <c r="AS100" s="11">
        <v>121.0</v>
      </c>
      <c r="AT100" s="12">
        <v>0.5548611111111111</v>
      </c>
      <c r="AU100" s="13">
        <v>0.55625</v>
      </c>
      <c r="AV100" s="11">
        <v>121.0</v>
      </c>
      <c r="AW100" s="12">
        <v>0.1375</v>
      </c>
      <c r="AX100" s="13">
        <v>0.1388888888888889</v>
      </c>
      <c r="AY100" s="34">
        <f t="array" ref="AY100">XLOOKUP(B100,faclon_results_2022!$D:$D,faclon_results_2022!$A:$A,"DNF")</f>
        <v>118</v>
      </c>
      <c r="AZ100" s="12">
        <f t="shared" si="1"/>
        <v>0.6881944444</v>
      </c>
      <c r="BA100" s="18">
        <f t="array" ref="BA100">XLOOKUP(B100,faclon_results_2022!$D:$D,faclon_results_2022!$J:$J)</f>
        <v>35.52699</v>
      </c>
    </row>
    <row r="101" ht="15.75" customHeight="1">
      <c r="A101" s="7"/>
      <c r="B101" s="47">
        <v>613.0</v>
      </c>
      <c r="C101" s="11">
        <v>19.0</v>
      </c>
      <c r="D101" s="12">
        <v>0.25763888888888886</v>
      </c>
      <c r="E101" s="13">
        <v>0.25833333333333336</v>
      </c>
      <c r="F101" s="64">
        <v>190.0</v>
      </c>
      <c r="G101" s="65">
        <v>0.35347222222222224</v>
      </c>
      <c r="H101" s="66">
        <v>0.35347222222222224</v>
      </c>
      <c r="I101" s="11">
        <v>17.0</v>
      </c>
      <c r="J101" s="12">
        <v>0.3611111111111111</v>
      </c>
      <c r="K101" s="38" t="s">
        <v>178</v>
      </c>
      <c r="N101" s="72"/>
      <c r="O101" s="38"/>
      <c r="Q101" s="72"/>
      <c r="R101" s="11"/>
      <c r="S101" s="18"/>
      <c r="T101" s="13"/>
      <c r="U101" s="11"/>
      <c r="V101" s="12"/>
      <c r="W101" s="13"/>
      <c r="X101" s="11"/>
      <c r="Y101" s="12"/>
      <c r="Z101" s="13"/>
      <c r="AA101" s="20"/>
      <c r="AB101" s="20"/>
      <c r="AC101" s="70"/>
      <c r="AD101" s="18"/>
      <c r="AE101" s="18"/>
      <c r="AF101" s="47"/>
      <c r="AG101" s="11"/>
      <c r="AH101" s="12"/>
      <c r="AI101" s="13"/>
      <c r="AJ101" s="68"/>
      <c r="AK101" s="68"/>
      <c r="AL101" s="69"/>
      <c r="AM101" s="11"/>
      <c r="AN101" s="12"/>
      <c r="AO101" s="13"/>
      <c r="AP101" s="11"/>
      <c r="AQ101" s="12"/>
      <c r="AR101" s="13"/>
      <c r="AS101" s="11"/>
      <c r="AT101" s="12"/>
      <c r="AU101" s="13"/>
      <c r="AV101" s="11"/>
      <c r="AW101" s="12"/>
      <c r="AX101" s="13"/>
      <c r="AY101" s="34" t="str">
        <f t="array" ref="AY101">XLOOKUP(B101,faclon_results_2022!$D:$D,faclon_results_2022!$A:$A,"DNF")</f>
        <v>DNF</v>
      </c>
      <c r="AZ101" s="12" t="str">
        <f t="shared" si="1"/>
        <v>#N/A</v>
      </c>
      <c r="BA101" s="18" t="str">
        <f t="array" ref="BA101">XLOOKUP(B101,faclon_results_2022!$D:$D,faclon_results_2022!$J:$J)</f>
        <v>#N/A</v>
      </c>
    </row>
    <row r="102" ht="15.75" customHeight="1">
      <c r="A102" s="7"/>
      <c r="B102" s="47">
        <v>614.0</v>
      </c>
      <c r="C102" s="11">
        <v>157.0</v>
      </c>
      <c r="D102" s="12">
        <v>0.2743055555555556</v>
      </c>
      <c r="E102" s="13">
        <v>0.275</v>
      </c>
      <c r="F102" s="64">
        <v>168.0</v>
      </c>
      <c r="G102" s="65">
        <v>0.3388888888888889</v>
      </c>
      <c r="H102" s="66">
        <v>0.3388888888888889</v>
      </c>
      <c r="I102" s="11">
        <v>182.0</v>
      </c>
      <c r="J102" s="12">
        <v>0.42777777777777776</v>
      </c>
      <c r="K102" s="13">
        <v>0.43333333333333335</v>
      </c>
      <c r="L102" s="67">
        <v>176.0</v>
      </c>
      <c r="M102" s="12">
        <v>0.5368055555555555</v>
      </c>
      <c r="N102" s="13">
        <v>0.5423611111111111</v>
      </c>
      <c r="O102" s="38">
        <v>174.0</v>
      </c>
      <c r="P102" s="12">
        <v>0.6173611111111111</v>
      </c>
      <c r="Q102" s="13">
        <v>0.6229166666666667</v>
      </c>
      <c r="R102" s="11">
        <v>173.0</v>
      </c>
      <c r="S102" s="12">
        <v>0.7020833333333333</v>
      </c>
      <c r="T102" s="13">
        <v>0.7131944444444445</v>
      </c>
      <c r="U102" s="11">
        <v>170.0</v>
      </c>
      <c r="V102" s="12">
        <v>0.7625</v>
      </c>
      <c r="W102" s="13">
        <v>0.76875</v>
      </c>
      <c r="X102" s="11">
        <v>159.0</v>
      </c>
      <c r="Y102" s="12"/>
      <c r="Z102" s="13">
        <v>0.8881944444444444</v>
      </c>
      <c r="AA102" s="20">
        <v>164.0</v>
      </c>
      <c r="AB102" s="21">
        <v>0.9881944444444445</v>
      </c>
      <c r="AC102" s="22">
        <v>0.0020833333333333333</v>
      </c>
      <c r="AD102" s="18"/>
      <c r="AE102" s="18"/>
      <c r="AF102" s="47"/>
      <c r="AG102" s="11"/>
      <c r="AH102" s="18"/>
      <c r="AI102" s="38"/>
      <c r="AJ102" s="68"/>
      <c r="AK102" s="68"/>
      <c r="AL102" s="69"/>
      <c r="AM102" s="11"/>
      <c r="AN102" s="12"/>
      <c r="AO102" s="13"/>
      <c r="AP102" s="11"/>
      <c r="AQ102" s="12"/>
      <c r="AR102" s="38"/>
      <c r="AS102" s="11"/>
      <c r="AT102" s="12"/>
      <c r="AU102" s="38"/>
      <c r="AV102" s="11"/>
      <c r="AW102" s="12"/>
      <c r="AX102" s="38"/>
      <c r="AY102" s="34" t="str">
        <f t="array" ref="AY102">XLOOKUP(B102,faclon_results_2022!$D:$D,faclon_results_2022!$A:$A,"DNF")</f>
        <v>DNF</v>
      </c>
      <c r="AZ102" s="12" t="str">
        <f t="shared" si="1"/>
        <v>#N/A</v>
      </c>
      <c r="BA102" s="18" t="str">
        <f t="array" ref="BA102">XLOOKUP(B102,faclon_results_2022!$D:$D,faclon_results_2022!$J:$J)</f>
        <v>#N/A</v>
      </c>
    </row>
    <row r="103" ht="15.75" customHeight="1">
      <c r="A103" s="7"/>
      <c r="B103" s="47">
        <v>615.0</v>
      </c>
      <c r="C103" s="11">
        <v>48.0</v>
      </c>
      <c r="D103" s="12">
        <v>0.2611111111111111</v>
      </c>
      <c r="E103" s="13">
        <v>0.26180555555555557</v>
      </c>
      <c r="F103" s="64">
        <v>68.0</v>
      </c>
      <c r="G103" s="65">
        <v>0.3194444444444444</v>
      </c>
      <c r="H103" s="66">
        <v>0.3194444444444444</v>
      </c>
      <c r="I103" s="11">
        <v>73.0</v>
      </c>
      <c r="J103" s="12">
        <v>0.3875</v>
      </c>
      <c r="K103" s="13">
        <v>0.4013888888888889</v>
      </c>
      <c r="L103" s="67">
        <v>86.0</v>
      </c>
      <c r="M103" s="12">
        <v>0.48055555555555557</v>
      </c>
      <c r="N103" s="13">
        <v>0.4840277777777778</v>
      </c>
      <c r="O103" s="38">
        <v>97.0</v>
      </c>
      <c r="P103" s="12">
        <v>0.5597222222222222</v>
      </c>
      <c r="Q103" s="13">
        <v>0.5638888888888889</v>
      </c>
      <c r="R103" s="11">
        <v>103.0</v>
      </c>
      <c r="S103" s="12">
        <v>0.6381944444444444</v>
      </c>
      <c r="T103" s="13">
        <v>0.64375</v>
      </c>
      <c r="U103" s="11">
        <v>102.0</v>
      </c>
      <c r="V103" s="12">
        <v>0.69375</v>
      </c>
      <c r="W103" s="13">
        <v>0.70625</v>
      </c>
      <c r="X103" s="11">
        <v>116.0</v>
      </c>
      <c r="Y103" s="12"/>
      <c r="Z103" s="13">
        <v>0.8354166666666667</v>
      </c>
      <c r="AA103" s="20">
        <v>116.0</v>
      </c>
      <c r="AB103" s="21">
        <v>0.9090277777777778</v>
      </c>
      <c r="AC103" s="22">
        <v>0.9208333333333333</v>
      </c>
      <c r="AD103" s="18">
        <v>124.0</v>
      </c>
      <c r="AE103" s="12">
        <v>0.043055555555555555</v>
      </c>
      <c r="AF103" s="23">
        <v>0.059722222222222225</v>
      </c>
      <c r="AG103" s="11">
        <v>126.0</v>
      </c>
      <c r="AH103" s="12">
        <v>0.15069444444444444</v>
      </c>
      <c r="AI103" s="13">
        <v>0.1673611111111111</v>
      </c>
      <c r="AJ103" s="14">
        <v>130.0</v>
      </c>
      <c r="AK103" s="15">
        <v>0.2951388888888889</v>
      </c>
      <c r="AL103" s="16">
        <v>0.3013888888888889</v>
      </c>
      <c r="AM103" s="11">
        <v>129.0</v>
      </c>
      <c r="AN103" s="12">
        <v>0.3798611111111111</v>
      </c>
      <c r="AO103" s="13">
        <v>0.38472222222222224</v>
      </c>
      <c r="AP103" s="11">
        <v>124.0</v>
      </c>
      <c r="AQ103" s="12">
        <v>0.46875</v>
      </c>
      <c r="AR103" s="38" t="s">
        <v>178</v>
      </c>
      <c r="AS103" s="11"/>
      <c r="AT103" s="12"/>
      <c r="AU103" s="38"/>
      <c r="AV103" s="11"/>
      <c r="AW103" s="12"/>
      <c r="AX103" s="38"/>
      <c r="AY103" s="34" t="str">
        <f t="array" ref="AY103">XLOOKUP(B103,faclon_results_2022!$D:$D,faclon_results_2022!$A:$A,"DNF")</f>
        <v>DNF</v>
      </c>
      <c r="AZ103" s="12" t="str">
        <f t="shared" si="1"/>
        <v>#N/A</v>
      </c>
      <c r="BA103" s="18" t="str">
        <f t="array" ref="BA103">XLOOKUP(B103,faclon_results_2022!$D:$D,faclon_results_2022!$J:$J)</f>
        <v>#N/A</v>
      </c>
    </row>
    <row r="104" ht="15.75" customHeight="1">
      <c r="A104" s="7"/>
      <c r="B104" s="47">
        <v>616.0</v>
      </c>
      <c r="C104" s="11">
        <v>138.0</v>
      </c>
      <c r="D104" s="12">
        <v>0.27152777777777776</v>
      </c>
      <c r="E104" s="13">
        <v>0.2722222222222222</v>
      </c>
      <c r="F104" s="64">
        <v>171.0</v>
      </c>
      <c r="G104" s="65">
        <v>0.3388888888888889</v>
      </c>
      <c r="H104" s="66">
        <v>0.3388888888888889</v>
      </c>
      <c r="I104" s="11">
        <v>187.0</v>
      </c>
      <c r="J104" s="12">
        <v>0.42916666666666664</v>
      </c>
      <c r="K104" s="13">
        <v>0.4305555555555556</v>
      </c>
      <c r="L104" s="67">
        <v>186.0</v>
      </c>
      <c r="M104" s="12">
        <v>0.5465277777777777</v>
      </c>
      <c r="N104" s="13">
        <v>0.5479166666666667</v>
      </c>
      <c r="O104" s="38">
        <v>192.0</v>
      </c>
      <c r="P104" s="12">
        <v>0.6597222222222222</v>
      </c>
      <c r="Q104" s="18" t="s">
        <v>178</v>
      </c>
      <c r="R104" s="11"/>
      <c r="S104" s="18"/>
      <c r="T104" s="38"/>
      <c r="U104" s="11"/>
      <c r="V104" s="18"/>
      <c r="W104" s="38"/>
      <c r="X104" s="11"/>
      <c r="Y104" s="12"/>
      <c r="Z104" s="13"/>
      <c r="AA104" s="20"/>
      <c r="AB104" s="71"/>
      <c r="AC104" s="56"/>
      <c r="AD104" s="18"/>
      <c r="AE104" s="18"/>
      <c r="AF104" s="47"/>
      <c r="AG104" s="11"/>
      <c r="AH104" s="18"/>
      <c r="AI104" s="38"/>
      <c r="AJ104" s="68"/>
      <c r="AK104" s="68"/>
      <c r="AL104" s="69"/>
      <c r="AM104" s="11"/>
      <c r="AN104" s="12"/>
      <c r="AO104" s="13"/>
      <c r="AP104" s="11"/>
      <c r="AQ104" s="12"/>
      <c r="AR104" s="38"/>
      <c r="AS104" s="11"/>
      <c r="AT104" s="18"/>
      <c r="AU104" s="38"/>
      <c r="AV104" s="11"/>
      <c r="AW104" s="18"/>
      <c r="AX104" s="38"/>
      <c r="AY104" s="34" t="str">
        <f t="array" ref="AY104">XLOOKUP(B104,faclon_results_2022!$D:$D,faclon_results_2022!$A:$A,"DNF")</f>
        <v>DNF</v>
      </c>
      <c r="AZ104" s="12" t="str">
        <f t="shared" si="1"/>
        <v>#N/A</v>
      </c>
      <c r="BA104" s="18" t="str">
        <f t="array" ref="BA104">XLOOKUP(B104,faclon_results_2022!$D:$D,faclon_results_2022!$J:$J)</f>
        <v>#N/A</v>
      </c>
    </row>
    <row r="105" ht="15.75" customHeight="1">
      <c r="A105" s="7"/>
      <c r="B105" s="47">
        <v>617.0</v>
      </c>
      <c r="C105" s="11">
        <v>82.0</v>
      </c>
      <c r="D105" s="12">
        <v>0.2659722222222222</v>
      </c>
      <c r="E105" s="13">
        <v>0.26666666666666666</v>
      </c>
      <c r="F105" s="64">
        <v>81.0</v>
      </c>
      <c r="G105" s="65">
        <v>0.3215277777777778</v>
      </c>
      <c r="H105" s="66">
        <v>0.3215277777777778</v>
      </c>
      <c r="I105" s="11">
        <v>69.0</v>
      </c>
      <c r="J105" s="12">
        <v>0.3861111111111111</v>
      </c>
      <c r="K105" s="13">
        <v>0.38819444444444445</v>
      </c>
      <c r="L105" s="67">
        <v>58.0</v>
      </c>
      <c r="M105" s="12">
        <v>0.4625</v>
      </c>
      <c r="N105" s="13">
        <v>0.4652777777777778</v>
      </c>
      <c r="O105" s="38">
        <v>56.0</v>
      </c>
      <c r="P105" s="12">
        <v>0.5277777777777778</v>
      </c>
      <c r="Q105" s="13">
        <v>0.5305555555555556</v>
      </c>
      <c r="R105" s="11">
        <v>52.0</v>
      </c>
      <c r="S105" s="12">
        <v>0.5881944444444445</v>
      </c>
      <c r="T105" s="13">
        <v>0.5895833333333333</v>
      </c>
      <c r="U105" s="11">
        <v>51.0</v>
      </c>
      <c r="V105" s="12">
        <v>0.63125</v>
      </c>
      <c r="W105" s="13">
        <v>0.6375</v>
      </c>
      <c r="X105" s="11">
        <v>49.0</v>
      </c>
      <c r="Y105" s="12"/>
      <c r="Z105" s="13">
        <v>0.7423611111111111</v>
      </c>
      <c r="AA105" s="20">
        <v>52.0</v>
      </c>
      <c r="AB105" s="21">
        <v>0.80625</v>
      </c>
      <c r="AC105" s="22">
        <v>0.8125</v>
      </c>
      <c r="AD105" s="18">
        <v>52.0</v>
      </c>
      <c r="AE105" s="12">
        <v>0.9076388888888889</v>
      </c>
      <c r="AF105" s="23">
        <v>0.9194444444444444</v>
      </c>
      <c r="AG105" s="11">
        <v>48.0</v>
      </c>
      <c r="AH105" s="12">
        <v>0.9930555555555556</v>
      </c>
      <c r="AI105" s="13">
        <v>1.0</v>
      </c>
      <c r="AJ105" s="14">
        <v>50.0</v>
      </c>
      <c r="AK105" s="15">
        <v>0.10277777777777777</v>
      </c>
      <c r="AL105" s="16">
        <v>0.10833333333333334</v>
      </c>
      <c r="AM105" s="11">
        <v>55.0</v>
      </c>
      <c r="AN105" s="12">
        <v>0.18472222222222223</v>
      </c>
      <c r="AO105" s="13">
        <v>0.18819444444444444</v>
      </c>
      <c r="AP105" s="11">
        <v>56.0</v>
      </c>
      <c r="AQ105" s="12">
        <v>0.2763888888888889</v>
      </c>
      <c r="AR105" s="13">
        <v>0.28541666666666665</v>
      </c>
      <c r="AS105" s="11">
        <v>59.0</v>
      </c>
      <c r="AT105" s="12">
        <v>0.4013888888888889</v>
      </c>
      <c r="AU105" s="13">
        <v>0.4097222222222222</v>
      </c>
      <c r="AV105" s="11">
        <v>63.0</v>
      </c>
      <c r="AW105" s="12">
        <v>0.5020833333333333</v>
      </c>
      <c r="AX105" s="13">
        <v>0.5048611111111111</v>
      </c>
      <c r="AY105" s="34">
        <f t="array" ref="AY105">XLOOKUP(B105,faclon_results_2022!$D:$D,faclon_results_2022!$A:$A,"DNF")</f>
        <v>64</v>
      </c>
      <c r="AZ105" s="12">
        <f t="shared" si="1"/>
        <v>0.5680555556</v>
      </c>
      <c r="BA105" s="18">
        <f t="array" ref="BA105">XLOOKUP(B105,faclon_results_2022!$D:$D,faclon_results_2022!$J:$J)</f>
        <v>32.63621</v>
      </c>
    </row>
    <row r="106" ht="15.75" customHeight="1">
      <c r="A106" s="7"/>
      <c r="B106" s="47">
        <v>618.0</v>
      </c>
      <c r="C106" s="11">
        <v>8.0</v>
      </c>
      <c r="D106" s="12">
        <v>0.2520833333333333</v>
      </c>
      <c r="E106" s="13">
        <v>0.25277777777777777</v>
      </c>
      <c r="F106" s="64">
        <v>5.0</v>
      </c>
      <c r="G106" s="65">
        <v>0.2923611111111111</v>
      </c>
      <c r="H106" s="66">
        <v>0.29305555555555557</v>
      </c>
      <c r="I106" s="11">
        <v>4.0</v>
      </c>
      <c r="J106" s="12">
        <v>0.34375</v>
      </c>
      <c r="K106" s="13">
        <v>0.3451388888888889</v>
      </c>
      <c r="L106" s="67">
        <v>4.0</v>
      </c>
      <c r="M106" s="12">
        <v>0.4111111111111111</v>
      </c>
      <c r="N106" s="13">
        <v>0.4131944444444444</v>
      </c>
      <c r="O106" s="38">
        <v>4.0</v>
      </c>
      <c r="P106" s="12">
        <v>0.46319444444444446</v>
      </c>
      <c r="Q106" s="13">
        <v>0.4652777777777778</v>
      </c>
      <c r="R106" s="11">
        <v>3.0</v>
      </c>
      <c r="S106" s="12">
        <v>0.5118055555555555</v>
      </c>
      <c r="T106" s="13">
        <v>0.5131944444444444</v>
      </c>
      <c r="U106" s="11">
        <v>3.0</v>
      </c>
      <c r="V106" s="12">
        <v>0.55</v>
      </c>
      <c r="W106" s="13">
        <v>0.5520833333333334</v>
      </c>
      <c r="X106" s="11">
        <v>3.0</v>
      </c>
      <c r="Y106" s="12"/>
      <c r="Z106" s="13">
        <v>0.6305555555555555</v>
      </c>
      <c r="AA106" s="20">
        <v>3.0</v>
      </c>
      <c r="AB106" s="21">
        <v>0.675</v>
      </c>
      <c r="AC106" s="22">
        <v>0.6784722222222223</v>
      </c>
      <c r="AD106" s="18">
        <v>3.0</v>
      </c>
      <c r="AE106" s="12">
        <v>0.7548611111111111</v>
      </c>
      <c r="AF106" s="23">
        <v>0.7631944444444444</v>
      </c>
      <c r="AG106" s="11">
        <v>3.0</v>
      </c>
      <c r="AH106" s="12">
        <v>0.8208333333333333</v>
      </c>
      <c r="AI106" s="13">
        <v>0.8243055555555555</v>
      </c>
      <c r="AJ106" s="14">
        <v>3.0</v>
      </c>
      <c r="AK106" s="15">
        <v>0.9006944444444445</v>
      </c>
      <c r="AL106" s="16">
        <v>0.9069444444444444</v>
      </c>
      <c r="AM106" s="11">
        <v>4.0</v>
      </c>
      <c r="AN106" s="12">
        <v>0.9583333333333334</v>
      </c>
      <c r="AO106" s="13">
        <v>0.9652777777777778</v>
      </c>
      <c r="AP106" s="11">
        <v>7.0</v>
      </c>
      <c r="AQ106" s="12">
        <v>0.0375</v>
      </c>
      <c r="AR106" s="13">
        <v>0.05</v>
      </c>
      <c r="AS106" s="11">
        <v>11.0</v>
      </c>
      <c r="AT106" s="12">
        <v>0.17430555555555555</v>
      </c>
      <c r="AU106" s="13">
        <v>0.17708333333333334</v>
      </c>
      <c r="AV106" s="11">
        <v>14.0</v>
      </c>
      <c r="AW106" s="12">
        <v>0.26180555555555557</v>
      </c>
      <c r="AX106" s="13">
        <v>0.2652777777777778</v>
      </c>
      <c r="AY106" s="34">
        <f t="array" ref="AY106">XLOOKUP(B106,faclon_results_2022!$D:$D,faclon_results_2022!$A:$A,"DNF")</f>
        <v>14</v>
      </c>
      <c r="AZ106" s="12">
        <f t="shared" si="1"/>
        <v>0.31875</v>
      </c>
      <c r="BA106" s="18">
        <f t="array" ref="BA106">XLOOKUP(B106,faclon_results_2022!$D:$D,faclon_results_2022!$J:$J)</f>
        <v>26.65165</v>
      </c>
    </row>
    <row r="107" ht="15.75" customHeight="1">
      <c r="A107" s="7"/>
      <c r="B107" s="47">
        <v>620.0</v>
      </c>
      <c r="C107" s="11">
        <v>10.0</v>
      </c>
      <c r="D107" s="12">
        <v>0.2520833333333333</v>
      </c>
      <c r="E107" s="13">
        <v>0.25277777777777777</v>
      </c>
      <c r="F107" s="64">
        <v>8.0</v>
      </c>
      <c r="G107" s="65">
        <v>0.2923611111111111</v>
      </c>
      <c r="H107" s="66">
        <v>0.2923611111111111</v>
      </c>
      <c r="I107" s="11">
        <v>6.0</v>
      </c>
      <c r="J107" s="12">
        <v>0.34444444444444444</v>
      </c>
      <c r="K107" s="13">
        <v>0.34652777777777777</v>
      </c>
      <c r="L107" s="67">
        <v>7.0</v>
      </c>
      <c r="M107" s="12">
        <v>0.41597222222222224</v>
      </c>
      <c r="N107" s="13">
        <v>0.4166666666666667</v>
      </c>
      <c r="O107" s="38">
        <v>7.0</v>
      </c>
      <c r="P107" s="12">
        <v>0.4708333333333333</v>
      </c>
      <c r="Q107" s="13">
        <v>0.4722222222222222</v>
      </c>
      <c r="R107" s="11">
        <v>7.0</v>
      </c>
      <c r="S107" s="12">
        <v>0.5194444444444445</v>
      </c>
      <c r="T107" s="13">
        <v>0.5208333333333334</v>
      </c>
      <c r="U107" s="11">
        <v>7.0</v>
      </c>
      <c r="V107" s="12">
        <v>0.5527777777777778</v>
      </c>
      <c r="W107" s="13">
        <v>0.5576388888888889</v>
      </c>
      <c r="X107" s="11">
        <v>6.0</v>
      </c>
      <c r="Y107" s="12"/>
      <c r="Z107" s="13">
        <v>0.6430555555555556</v>
      </c>
      <c r="AA107" s="20">
        <v>5.0</v>
      </c>
      <c r="AB107" s="21">
        <v>0.6916666666666667</v>
      </c>
      <c r="AC107" s="22">
        <v>0.69375</v>
      </c>
      <c r="AD107" s="18">
        <v>5.0</v>
      </c>
      <c r="AE107" s="12">
        <v>0.7673611111111112</v>
      </c>
      <c r="AF107" s="23">
        <v>0.7701388888888889</v>
      </c>
      <c r="AG107" s="11">
        <v>4.0</v>
      </c>
      <c r="AH107" s="12">
        <v>0.8256944444444444</v>
      </c>
      <c r="AI107" s="13">
        <v>0.8270833333333333</v>
      </c>
      <c r="AJ107" s="14">
        <v>4.0</v>
      </c>
      <c r="AK107" s="15">
        <v>0.9027777777777778</v>
      </c>
      <c r="AL107" s="16">
        <v>0.9048611111111111</v>
      </c>
      <c r="AM107" s="11">
        <v>3.0</v>
      </c>
      <c r="AN107" s="12">
        <v>0.9465277777777777</v>
      </c>
      <c r="AO107" s="13">
        <v>0.9506944444444444</v>
      </c>
      <c r="AP107" s="11">
        <v>3.0</v>
      </c>
      <c r="AQ107" s="12">
        <v>0.007638888888888889</v>
      </c>
      <c r="AR107" s="13">
        <v>0.011111111111111112</v>
      </c>
      <c r="AS107" s="11">
        <v>3.0</v>
      </c>
      <c r="AT107" s="12">
        <v>0.10277777777777777</v>
      </c>
      <c r="AU107" s="13">
        <v>0.10555555555555556</v>
      </c>
      <c r="AV107" s="11">
        <v>4.0</v>
      </c>
      <c r="AW107" s="12">
        <v>0.17291666666666666</v>
      </c>
      <c r="AX107" s="13">
        <v>0.1736111111111111</v>
      </c>
      <c r="AY107" s="34">
        <f t="array" ref="AY107">XLOOKUP(B107,faclon_results_2022!$D:$D,faclon_results_2022!$A:$A,"DNF")</f>
        <v>6</v>
      </c>
      <c r="AZ107" s="12">
        <f t="shared" si="1"/>
        <v>0.2166666667</v>
      </c>
      <c r="BA107" s="18">
        <f t="array" ref="BA107">XLOOKUP(B107,faclon_results_2022!$D:$D,faclon_results_2022!$J:$J)</f>
        <v>24.20311</v>
      </c>
    </row>
    <row r="108" ht="15.75" customHeight="1">
      <c r="A108" s="7"/>
      <c r="B108" s="47">
        <v>622.0</v>
      </c>
      <c r="C108" s="11">
        <v>184.0</v>
      </c>
      <c r="D108" s="12">
        <v>0.2777777777777778</v>
      </c>
      <c r="E108" s="13">
        <v>0.27847222222222223</v>
      </c>
      <c r="F108" s="64">
        <v>183.0</v>
      </c>
      <c r="G108" s="65">
        <v>0.34444444444444444</v>
      </c>
      <c r="H108" s="66">
        <v>0.34444444444444444</v>
      </c>
      <c r="I108" s="11">
        <v>189.0</v>
      </c>
      <c r="J108" s="12">
        <v>0.4305555555555556</v>
      </c>
      <c r="K108" s="13">
        <v>0.4375</v>
      </c>
      <c r="L108" s="67">
        <v>185.0</v>
      </c>
      <c r="M108" s="12">
        <v>0.5444444444444444</v>
      </c>
      <c r="N108" s="13">
        <v>0.5472222222222223</v>
      </c>
      <c r="O108" s="38">
        <v>183.0</v>
      </c>
      <c r="P108" s="12">
        <v>0.6284722222222222</v>
      </c>
      <c r="Q108" s="13">
        <v>0.6305555555555555</v>
      </c>
      <c r="R108" s="11">
        <v>179.0</v>
      </c>
      <c r="S108" s="12">
        <v>0.7111111111111111</v>
      </c>
      <c r="T108" s="13">
        <v>0.7131944444444445</v>
      </c>
      <c r="U108" s="11">
        <v>178.0</v>
      </c>
      <c r="V108" s="12">
        <v>0.7756944444444445</v>
      </c>
      <c r="W108" s="13">
        <v>0.7784722222222222</v>
      </c>
      <c r="X108" s="11">
        <v>168.0</v>
      </c>
      <c r="Y108" s="18"/>
      <c r="Z108" s="13">
        <v>0.9284722222222223</v>
      </c>
      <c r="AA108" s="20">
        <v>169.0</v>
      </c>
      <c r="AB108" s="21">
        <v>0.007638888888888889</v>
      </c>
      <c r="AC108" s="22">
        <v>0.009722222222222222</v>
      </c>
      <c r="AD108" s="18" t="s">
        <v>178</v>
      </c>
      <c r="AE108" s="18"/>
      <c r="AF108" s="47"/>
      <c r="AG108" s="11"/>
      <c r="AH108" s="18"/>
      <c r="AI108" s="38"/>
      <c r="AJ108" s="68"/>
      <c r="AK108" s="68"/>
      <c r="AL108" s="69"/>
      <c r="AM108" s="11"/>
      <c r="AN108" s="18"/>
      <c r="AO108" s="38"/>
      <c r="AP108" s="11"/>
      <c r="AQ108" s="18"/>
      <c r="AR108" s="38"/>
      <c r="AS108" s="11"/>
      <c r="AT108" s="18"/>
      <c r="AU108" s="38"/>
      <c r="AV108" s="11"/>
      <c r="AW108" s="18"/>
      <c r="AX108" s="38"/>
      <c r="AY108" s="34" t="str">
        <f t="array" ref="AY108">XLOOKUP(B108,faclon_results_2022!$D:$D,faclon_results_2022!$A:$A,"DNF")</f>
        <v>DNF</v>
      </c>
      <c r="AZ108" s="12" t="str">
        <f t="shared" si="1"/>
        <v>#N/A</v>
      </c>
      <c r="BA108" s="18" t="str">
        <f t="array" ref="BA108">XLOOKUP(B108,faclon_results_2022!$D:$D,faclon_results_2022!$J:$J)</f>
        <v>#N/A</v>
      </c>
    </row>
    <row r="109" ht="15.75" customHeight="1">
      <c r="A109" s="7"/>
      <c r="B109" s="47">
        <v>623.0</v>
      </c>
      <c r="C109" s="11">
        <v>51.0</v>
      </c>
      <c r="D109" s="12">
        <v>0.2625</v>
      </c>
      <c r="E109" s="13">
        <v>0.26319444444444445</v>
      </c>
      <c r="F109" s="64">
        <v>58.0</v>
      </c>
      <c r="G109" s="65">
        <v>0.3145833333333333</v>
      </c>
      <c r="H109" s="66">
        <v>0.3145833333333333</v>
      </c>
      <c r="I109" s="11">
        <v>37.0</v>
      </c>
      <c r="J109" s="12">
        <v>0.37083333333333335</v>
      </c>
      <c r="K109" s="13">
        <v>0.3736111111111111</v>
      </c>
      <c r="L109" s="67">
        <v>33.0</v>
      </c>
      <c r="M109" s="12">
        <v>0.44583333333333336</v>
      </c>
      <c r="N109" s="13">
        <v>0.44722222222222224</v>
      </c>
      <c r="O109" s="38">
        <v>34.0</v>
      </c>
      <c r="P109" s="12">
        <v>0.5069444444444444</v>
      </c>
      <c r="Q109" s="13">
        <v>0.5118055555555555</v>
      </c>
      <c r="R109" s="11">
        <v>30.0</v>
      </c>
      <c r="S109" s="12">
        <v>0.5645833333333333</v>
      </c>
      <c r="T109" s="13">
        <v>0.5666666666666667</v>
      </c>
      <c r="U109" s="11">
        <v>37.0</v>
      </c>
      <c r="V109" s="12">
        <v>0.6118055555555556</v>
      </c>
      <c r="W109" s="13">
        <v>0.6118055555555556</v>
      </c>
      <c r="X109" s="11">
        <v>28.0</v>
      </c>
      <c r="Y109" s="12"/>
      <c r="Z109" s="13">
        <v>0.7020833333333333</v>
      </c>
      <c r="AA109" s="20">
        <v>29.0</v>
      </c>
      <c r="AB109" s="21">
        <v>0.7631944444444444</v>
      </c>
      <c r="AC109" s="22">
        <v>0.7659722222222223</v>
      </c>
      <c r="AD109" s="18">
        <v>31.0</v>
      </c>
      <c r="AE109" s="12">
        <v>0.8541666666666666</v>
      </c>
      <c r="AF109" s="47" t="s">
        <v>178</v>
      </c>
      <c r="AG109" s="11"/>
      <c r="AH109" s="12"/>
      <c r="AI109" s="38"/>
      <c r="AJ109" s="68"/>
      <c r="AK109" s="68"/>
      <c r="AL109" s="69"/>
      <c r="AM109" s="11"/>
      <c r="AN109" s="12"/>
      <c r="AO109" s="38"/>
      <c r="AP109" s="11"/>
      <c r="AQ109" s="12"/>
      <c r="AR109" s="38"/>
      <c r="AS109" s="11"/>
      <c r="AT109" s="12"/>
      <c r="AU109" s="38"/>
      <c r="AV109" s="11"/>
      <c r="AW109" s="12"/>
      <c r="AX109" s="38"/>
      <c r="AY109" s="34" t="str">
        <f t="array" ref="AY109">XLOOKUP(B109,faclon_results_2022!$D:$D,faclon_results_2022!$A:$A,"DNF")</f>
        <v>DNF</v>
      </c>
      <c r="AZ109" s="12" t="str">
        <f t="shared" si="1"/>
        <v>#N/A</v>
      </c>
      <c r="BA109" s="18" t="str">
        <f t="array" ref="BA109">XLOOKUP(B109,faclon_results_2022!$D:$D,faclon_results_2022!$J:$J)</f>
        <v>#N/A</v>
      </c>
    </row>
    <row r="110" ht="15.75" customHeight="1">
      <c r="A110" s="7"/>
      <c r="B110" s="47">
        <v>624.0</v>
      </c>
      <c r="C110" s="11">
        <v>180.0</v>
      </c>
      <c r="D110" s="12">
        <v>0.2777777777777778</v>
      </c>
      <c r="E110" s="13">
        <v>0.27847222222222223</v>
      </c>
      <c r="F110" s="64">
        <v>152.0</v>
      </c>
      <c r="G110" s="65">
        <v>0.3368055555555556</v>
      </c>
      <c r="H110" s="66">
        <v>0.3368055555555556</v>
      </c>
      <c r="I110" s="11">
        <v>199.0</v>
      </c>
      <c r="J110" s="12">
        <v>0.44930555555555557</v>
      </c>
      <c r="K110" s="38" t="s">
        <v>178</v>
      </c>
      <c r="M110" s="12"/>
      <c r="N110" s="13"/>
      <c r="O110" s="38"/>
      <c r="Q110" s="72"/>
      <c r="R110" s="11"/>
      <c r="S110" s="18"/>
      <c r="T110" s="13"/>
      <c r="U110" s="11"/>
      <c r="V110" s="12"/>
      <c r="W110" s="13"/>
      <c r="X110" s="11"/>
      <c r="Y110" s="12"/>
      <c r="Z110" s="13"/>
      <c r="AA110" s="20"/>
      <c r="AB110" s="71"/>
      <c r="AC110" s="70"/>
      <c r="AD110" s="18"/>
      <c r="AE110" s="18"/>
      <c r="AF110" s="47"/>
      <c r="AG110" s="11"/>
      <c r="AH110" s="12"/>
      <c r="AI110" s="13"/>
      <c r="AJ110" s="68"/>
      <c r="AK110" s="68"/>
      <c r="AL110" s="69"/>
      <c r="AM110" s="11"/>
      <c r="AN110" s="12"/>
      <c r="AO110" s="13"/>
      <c r="AP110" s="11"/>
      <c r="AQ110" s="12"/>
      <c r="AR110" s="13"/>
      <c r="AS110" s="11"/>
      <c r="AT110" s="12"/>
      <c r="AU110" s="13"/>
      <c r="AV110" s="11"/>
      <c r="AW110" s="12"/>
      <c r="AX110" s="13"/>
      <c r="AY110" s="34" t="str">
        <f t="array" ref="AY110">XLOOKUP(B110,faclon_results_2022!$D:$D,faclon_results_2022!$A:$A,"DNF")</f>
        <v>DNF</v>
      </c>
      <c r="AZ110" s="12" t="str">
        <f t="shared" si="1"/>
        <v>#N/A</v>
      </c>
      <c r="BA110" s="18" t="str">
        <f t="array" ref="BA110">XLOOKUP(B110,faclon_results_2022!$D:$D,faclon_results_2022!$J:$J)</f>
        <v>#N/A</v>
      </c>
    </row>
    <row r="111" ht="15.75" customHeight="1">
      <c r="A111" s="7"/>
      <c r="B111" s="47">
        <v>625.0</v>
      </c>
      <c r="C111" s="11">
        <v>134.0</v>
      </c>
      <c r="D111" s="12">
        <v>0.27152777777777776</v>
      </c>
      <c r="E111" s="13">
        <v>0.2722222222222222</v>
      </c>
      <c r="F111" s="64">
        <v>182.0</v>
      </c>
      <c r="G111" s="65">
        <v>0.34444444444444444</v>
      </c>
      <c r="H111" s="66">
        <v>0.34444444444444444</v>
      </c>
      <c r="I111" s="11">
        <v>125.0</v>
      </c>
      <c r="J111" s="12">
        <v>0.4041666666666667</v>
      </c>
      <c r="K111" s="13">
        <v>0.4125</v>
      </c>
      <c r="L111" s="67">
        <v>112.0</v>
      </c>
      <c r="M111" s="12">
        <v>0.4979166666666667</v>
      </c>
      <c r="N111" s="13">
        <v>0.5</v>
      </c>
      <c r="O111" s="38">
        <v>107.0</v>
      </c>
      <c r="P111" s="12">
        <v>0.56875</v>
      </c>
      <c r="Q111" s="13">
        <v>0.5715277777777777</v>
      </c>
      <c r="R111" s="11">
        <v>100.0</v>
      </c>
      <c r="S111" s="12">
        <v>0.6368055555555555</v>
      </c>
      <c r="T111" s="13">
        <v>0.6402777777777777</v>
      </c>
      <c r="U111" s="11">
        <v>96.0</v>
      </c>
      <c r="V111" s="12">
        <v>0.6854166666666667</v>
      </c>
      <c r="W111" s="13">
        <v>0.6993055555555555</v>
      </c>
      <c r="X111" s="11">
        <v>85.0</v>
      </c>
      <c r="Y111" s="12"/>
      <c r="Z111" s="13">
        <v>0.7930555555555555</v>
      </c>
      <c r="AA111" s="20">
        <v>88.0</v>
      </c>
      <c r="AB111" s="21">
        <v>0.8583333333333333</v>
      </c>
      <c r="AC111" s="22">
        <v>0.8604166666666667</v>
      </c>
      <c r="AD111" s="18">
        <v>78.0</v>
      </c>
      <c r="AE111" s="12">
        <v>0.9486111111111111</v>
      </c>
      <c r="AF111" s="23">
        <v>0.9597222222222223</v>
      </c>
      <c r="AG111" s="11">
        <v>74.0</v>
      </c>
      <c r="AH111" s="12">
        <v>0.03125</v>
      </c>
      <c r="AI111" s="13">
        <v>0.03680555555555556</v>
      </c>
      <c r="AJ111" s="14">
        <v>68.0</v>
      </c>
      <c r="AK111" s="15">
        <v>0.1361111111111111</v>
      </c>
      <c r="AL111" s="16">
        <v>0.13958333333333334</v>
      </c>
      <c r="AM111" s="11">
        <v>62.0</v>
      </c>
      <c r="AN111" s="12">
        <v>0.20555555555555555</v>
      </c>
      <c r="AO111" s="13">
        <v>0.2263888888888889</v>
      </c>
      <c r="AP111" s="11">
        <v>64.0</v>
      </c>
      <c r="AQ111" s="12">
        <v>0.30416666666666664</v>
      </c>
      <c r="AR111" s="13">
        <v>0.3076388888888889</v>
      </c>
      <c r="AS111" s="11">
        <v>67.0</v>
      </c>
      <c r="AT111" s="12">
        <v>0.4305555555555556</v>
      </c>
      <c r="AU111" s="13">
        <v>0.4409722222222222</v>
      </c>
      <c r="AV111" s="11">
        <v>87.0</v>
      </c>
      <c r="AW111" s="12">
        <v>0.05</v>
      </c>
      <c r="AX111" s="13">
        <v>0.05625</v>
      </c>
      <c r="AY111" s="34">
        <f t="array" ref="AY111">XLOOKUP(B111,faclon_results_2022!$D:$D,faclon_results_2022!$A:$A,"DNF")</f>
        <v>95</v>
      </c>
      <c r="AZ111" s="12">
        <f t="shared" si="1"/>
        <v>0.6284722222</v>
      </c>
      <c r="BA111" s="18">
        <f t="array" ref="BA111">XLOOKUP(B111,faclon_results_2022!$D:$D,faclon_results_2022!$J:$J)</f>
        <v>34.09715</v>
      </c>
    </row>
    <row r="112" ht="15.75" customHeight="1">
      <c r="A112" s="7"/>
      <c r="B112" s="47">
        <v>626.0</v>
      </c>
      <c r="C112" s="11">
        <v>139.0</v>
      </c>
      <c r="D112" s="12">
        <v>0.27152777777777776</v>
      </c>
      <c r="E112" s="13">
        <v>0.2722222222222222</v>
      </c>
      <c r="F112" s="64">
        <v>129.0</v>
      </c>
      <c r="G112" s="65">
        <v>0.3326388888888889</v>
      </c>
      <c r="H112" s="66">
        <v>0.3326388888888889</v>
      </c>
      <c r="I112" s="11">
        <v>151.0</v>
      </c>
      <c r="J112" s="12">
        <v>0.4131944444444444</v>
      </c>
      <c r="K112" s="13">
        <v>0.41805555555555557</v>
      </c>
      <c r="L112" s="67">
        <v>137.0</v>
      </c>
      <c r="M112" s="12">
        <v>0.5055555555555555</v>
      </c>
      <c r="N112" s="13">
        <v>0.5076388888888889</v>
      </c>
      <c r="O112" s="38">
        <v>127.0</v>
      </c>
      <c r="P112" s="12">
        <v>0.5798611111111112</v>
      </c>
      <c r="Q112" s="12">
        <v>0.5833333333333334</v>
      </c>
      <c r="R112" s="11">
        <v>110.0</v>
      </c>
      <c r="S112" s="12">
        <v>0.6479166666666667</v>
      </c>
      <c r="T112" s="13">
        <v>0.6506944444444445</v>
      </c>
      <c r="U112" s="11">
        <v>106.0</v>
      </c>
      <c r="V112" s="12">
        <v>0.6979166666666666</v>
      </c>
      <c r="W112" s="13">
        <v>0.70625</v>
      </c>
      <c r="X112" s="11">
        <v>100.0</v>
      </c>
      <c r="Y112" s="18"/>
      <c r="Z112" s="13">
        <v>0.8145833333333333</v>
      </c>
      <c r="AA112" s="20">
        <v>100.0</v>
      </c>
      <c r="AB112" s="21">
        <v>0.8847222222222222</v>
      </c>
      <c r="AC112" s="22">
        <v>0.8875</v>
      </c>
      <c r="AD112" s="18">
        <v>98.0</v>
      </c>
      <c r="AE112" s="12">
        <v>0.9930555555555556</v>
      </c>
      <c r="AF112" s="23">
        <v>0.0</v>
      </c>
      <c r="AG112" s="11">
        <v>97.0</v>
      </c>
      <c r="AH112" s="12">
        <v>0.0875</v>
      </c>
      <c r="AI112" s="13">
        <v>0.09444444444444444</v>
      </c>
      <c r="AJ112" s="14">
        <v>102.0</v>
      </c>
      <c r="AK112" s="15">
        <v>0.20347222222222222</v>
      </c>
      <c r="AL112" s="16">
        <v>0.20694444444444443</v>
      </c>
      <c r="AM112" s="11">
        <v>93.0</v>
      </c>
      <c r="AN112" s="12">
        <v>0.27361111111111114</v>
      </c>
      <c r="AO112" s="13">
        <v>0.2791666666666667</v>
      </c>
      <c r="AP112" s="11">
        <v>85.0</v>
      </c>
      <c r="AQ112" s="12">
        <v>0.34930555555555554</v>
      </c>
      <c r="AR112" s="13">
        <v>0.35208333333333336</v>
      </c>
      <c r="AS112" s="11">
        <v>75.0</v>
      </c>
      <c r="AT112" s="12">
        <v>0.45069444444444445</v>
      </c>
      <c r="AU112" s="13">
        <v>0.4534722222222222</v>
      </c>
      <c r="AV112" s="11">
        <v>71.0</v>
      </c>
      <c r="AW112" s="12">
        <v>0.5305555555555556</v>
      </c>
      <c r="AX112" s="13">
        <v>0.53125</v>
      </c>
      <c r="AY112" s="34">
        <f t="array" ref="AY112">XLOOKUP(B112,faclon_results_2022!$D:$D,faclon_results_2022!$A:$A,"DNF")</f>
        <v>69</v>
      </c>
      <c r="AZ112" s="12">
        <f t="shared" si="1"/>
        <v>0.5805555556</v>
      </c>
      <c r="BA112" s="18">
        <f t="array" ref="BA112">XLOOKUP(B112,faclon_results_2022!$D:$D,faclon_results_2022!$J:$J)</f>
        <v>32.93714</v>
      </c>
    </row>
    <row r="113" ht="15.75" customHeight="1">
      <c r="A113" s="7"/>
      <c r="B113" s="47">
        <v>627.0</v>
      </c>
      <c r="C113" s="11">
        <v>127.0</v>
      </c>
      <c r="D113" s="12">
        <v>0.2708333333333333</v>
      </c>
      <c r="E113" s="13">
        <v>0.27152777777777776</v>
      </c>
      <c r="F113" s="64">
        <v>144.0</v>
      </c>
      <c r="G113" s="65">
        <v>0.3368055555555556</v>
      </c>
      <c r="H113" s="66">
        <v>0.3368055555555556</v>
      </c>
      <c r="I113" s="11">
        <v>160.0</v>
      </c>
      <c r="J113" s="12">
        <v>0.41597222222222224</v>
      </c>
      <c r="K113" s="13">
        <v>0.4222222222222222</v>
      </c>
      <c r="L113" s="67">
        <v>150.0</v>
      </c>
      <c r="M113" s="12">
        <v>0.5145833333333333</v>
      </c>
      <c r="N113" s="13">
        <v>0.5159722222222223</v>
      </c>
      <c r="O113" s="38">
        <v>147.0</v>
      </c>
      <c r="P113" s="12">
        <v>0.5923611111111111</v>
      </c>
      <c r="Q113" s="12">
        <v>0.5944444444444444</v>
      </c>
      <c r="R113" s="11">
        <v>140.0</v>
      </c>
      <c r="S113" s="12">
        <v>0.6673611111111111</v>
      </c>
      <c r="T113" s="13">
        <v>0.6694444444444444</v>
      </c>
      <c r="U113" s="11">
        <v>140.0</v>
      </c>
      <c r="V113" s="12">
        <v>0.7229166666666667</v>
      </c>
      <c r="W113" s="13">
        <v>0.7263888888888889</v>
      </c>
      <c r="X113" s="11">
        <v>130.0</v>
      </c>
      <c r="Y113" s="12"/>
      <c r="Z113" s="13">
        <v>0.85</v>
      </c>
      <c r="AA113" s="20">
        <v>130.0</v>
      </c>
      <c r="AB113" s="21">
        <v>0.9256944444444445</v>
      </c>
      <c r="AC113" s="22">
        <v>0.9298611111111111</v>
      </c>
      <c r="AD113" s="18">
        <v>133.0</v>
      </c>
      <c r="AE113" s="12">
        <v>0.05763888888888889</v>
      </c>
      <c r="AF113" s="23">
        <v>0.06875</v>
      </c>
      <c r="AG113" s="11">
        <v>136.0</v>
      </c>
      <c r="AH113" s="12">
        <v>0.1763888888888889</v>
      </c>
      <c r="AI113" s="38" t="s">
        <v>178</v>
      </c>
      <c r="AJ113" s="68"/>
      <c r="AK113" s="68"/>
      <c r="AL113" s="69"/>
      <c r="AM113" s="11"/>
      <c r="AN113" s="12"/>
      <c r="AO113" s="38"/>
      <c r="AP113" s="11"/>
      <c r="AQ113" s="12"/>
      <c r="AR113" s="38"/>
      <c r="AS113" s="11"/>
      <c r="AT113" s="12"/>
      <c r="AU113" s="38"/>
      <c r="AV113" s="11"/>
      <c r="AW113" s="12"/>
      <c r="AX113" s="38"/>
      <c r="AY113" s="34" t="str">
        <f t="array" ref="AY113">XLOOKUP(B113,faclon_results_2022!$D:$D,faclon_results_2022!$A:$A,"DNF")</f>
        <v>DNF</v>
      </c>
      <c r="AZ113" s="12" t="str">
        <f t="shared" si="1"/>
        <v>#N/A</v>
      </c>
      <c r="BA113" s="18" t="str">
        <f t="array" ref="BA113">XLOOKUP(B113,faclon_results_2022!$D:$D,faclon_results_2022!$J:$J)</f>
        <v>#N/A</v>
      </c>
    </row>
    <row r="114" ht="15.75" customHeight="1">
      <c r="A114" s="7"/>
      <c r="B114" s="47">
        <v>628.0</v>
      </c>
      <c r="C114" s="11">
        <v>135.0</v>
      </c>
      <c r="D114" s="12">
        <v>0.27152777777777776</v>
      </c>
      <c r="E114" s="13">
        <v>0.2722222222222222</v>
      </c>
      <c r="F114" s="64">
        <v>146.0</v>
      </c>
      <c r="G114" s="65">
        <v>0.3368055555555556</v>
      </c>
      <c r="H114" s="66">
        <v>0.3368055555555556</v>
      </c>
      <c r="I114" s="11">
        <v>157.0</v>
      </c>
      <c r="J114" s="12">
        <v>0.41458333333333336</v>
      </c>
      <c r="K114" s="13">
        <v>0.42083333333333334</v>
      </c>
      <c r="L114" s="67">
        <v>149.0</v>
      </c>
      <c r="M114" s="12">
        <v>0.5138888888888888</v>
      </c>
      <c r="N114" s="13">
        <v>0.5173611111111112</v>
      </c>
      <c r="O114" s="38">
        <v>142.0</v>
      </c>
      <c r="P114" s="12">
        <v>0.5916666666666667</v>
      </c>
      <c r="Q114" s="13">
        <v>0.5930555555555556</v>
      </c>
      <c r="R114" s="11">
        <v>146.0</v>
      </c>
      <c r="S114" s="12">
        <v>0.6680555555555555</v>
      </c>
      <c r="T114" s="13">
        <v>0.6701388888888888</v>
      </c>
      <c r="U114" s="11">
        <v>138.0</v>
      </c>
      <c r="V114" s="12">
        <v>0.7208333333333333</v>
      </c>
      <c r="W114" s="13">
        <v>0.725</v>
      </c>
      <c r="X114" s="11">
        <v>138.0</v>
      </c>
      <c r="Y114" s="12"/>
      <c r="Z114" s="13">
        <v>0.8590277777777777</v>
      </c>
      <c r="AA114" s="20">
        <v>137.0</v>
      </c>
      <c r="AB114" s="21">
        <v>0.9333333333333333</v>
      </c>
      <c r="AC114" s="22">
        <v>0.9388888888888889</v>
      </c>
      <c r="AD114" s="18">
        <v>127.0</v>
      </c>
      <c r="AE114" s="12">
        <v>0.050694444444444445</v>
      </c>
      <c r="AF114" s="23">
        <v>0.08194444444444444</v>
      </c>
      <c r="AG114" s="11">
        <v>127.0</v>
      </c>
      <c r="AH114" s="12">
        <v>0.15208333333333332</v>
      </c>
      <c r="AI114" s="13">
        <v>0.16041666666666668</v>
      </c>
      <c r="AJ114" s="14">
        <v>124.0</v>
      </c>
      <c r="AK114" s="15">
        <v>0.25972222222222224</v>
      </c>
      <c r="AL114" s="53" t="s">
        <v>178</v>
      </c>
      <c r="AM114" s="11"/>
      <c r="AN114" s="12"/>
      <c r="AO114" s="38"/>
      <c r="AP114" s="11"/>
      <c r="AQ114" s="12"/>
      <c r="AR114" s="38"/>
      <c r="AS114" s="11"/>
      <c r="AT114" s="12"/>
      <c r="AU114" s="38"/>
      <c r="AV114" s="11"/>
      <c r="AW114" s="12"/>
      <c r="AX114" s="38"/>
      <c r="AY114" s="34" t="str">
        <f t="array" ref="AY114">XLOOKUP(B114,faclon_results_2022!$D:$D,faclon_results_2022!$A:$A,"DNF")</f>
        <v>DNF</v>
      </c>
      <c r="AZ114" s="12" t="str">
        <f t="shared" si="1"/>
        <v>#N/A</v>
      </c>
      <c r="BA114" s="18" t="str">
        <f t="array" ref="BA114">XLOOKUP(B114,faclon_results_2022!$D:$D,faclon_results_2022!$J:$J)</f>
        <v>#N/A</v>
      </c>
    </row>
    <row r="115" ht="15.75" customHeight="1">
      <c r="A115" s="7"/>
      <c r="B115" s="47">
        <v>629.0</v>
      </c>
      <c r="C115" s="11">
        <v>29.0</v>
      </c>
      <c r="D115" s="12">
        <v>0.25972222222222224</v>
      </c>
      <c r="E115" s="13">
        <v>0.2604166666666667</v>
      </c>
      <c r="F115" s="64">
        <v>27.0</v>
      </c>
      <c r="G115" s="65">
        <v>0.30694444444444446</v>
      </c>
      <c r="H115" s="66">
        <v>0.30694444444444446</v>
      </c>
      <c r="I115" s="11">
        <v>19.0</v>
      </c>
      <c r="J115" s="12">
        <v>0.3625</v>
      </c>
      <c r="K115" s="13">
        <v>0.36527777777777776</v>
      </c>
      <c r="L115" s="67">
        <v>17.0</v>
      </c>
      <c r="M115" s="12">
        <v>0.43472222222222223</v>
      </c>
      <c r="N115" s="13">
        <v>0.43680555555555556</v>
      </c>
      <c r="O115" s="38">
        <v>17.0</v>
      </c>
      <c r="P115" s="12">
        <v>0.4930555555555556</v>
      </c>
      <c r="Q115" s="13">
        <v>0.4965277777777778</v>
      </c>
      <c r="R115" s="11">
        <v>18.0</v>
      </c>
      <c r="S115" s="12">
        <v>0.5506944444444445</v>
      </c>
      <c r="T115" s="13">
        <v>0.5541666666666667</v>
      </c>
      <c r="U115" s="11">
        <v>15.0</v>
      </c>
      <c r="V115" s="12">
        <v>0.5902777777777778</v>
      </c>
      <c r="W115" s="13">
        <v>0.5958333333333333</v>
      </c>
      <c r="X115" s="11">
        <v>18.0</v>
      </c>
      <c r="Y115" s="12"/>
      <c r="Z115" s="13">
        <v>0.6916666666666667</v>
      </c>
      <c r="AA115" s="20">
        <v>20.0</v>
      </c>
      <c r="AB115" s="21">
        <v>0.7465277777777778</v>
      </c>
      <c r="AC115" s="22">
        <v>0.7506944444444444</v>
      </c>
      <c r="AD115" s="18">
        <v>17.0</v>
      </c>
      <c r="AE115" s="12">
        <v>0.8270833333333333</v>
      </c>
      <c r="AF115" s="23">
        <v>0.8388888888888889</v>
      </c>
      <c r="AG115" s="11">
        <v>18.0</v>
      </c>
      <c r="AH115" s="12">
        <v>0.8986111111111111</v>
      </c>
      <c r="AI115" s="13"/>
      <c r="AJ115" s="14">
        <v>19.0</v>
      </c>
      <c r="AK115" s="15">
        <v>0.9826388888888888</v>
      </c>
      <c r="AL115" s="16">
        <v>0.9881944444444445</v>
      </c>
      <c r="AM115" s="11">
        <v>18.0</v>
      </c>
      <c r="AN115" s="12">
        <v>0.0375</v>
      </c>
      <c r="AO115" s="13">
        <v>0.04722222222222222</v>
      </c>
      <c r="AP115" s="11">
        <v>17.0</v>
      </c>
      <c r="AQ115" s="12">
        <v>0.10833333333333334</v>
      </c>
      <c r="AR115" s="13">
        <v>0.11458333333333333</v>
      </c>
      <c r="AS115" s="11">
        <v>17.0</v>
      </c>
      <c r="AT115" s="12">
        <v>0.20972222222222223</v>
      </c>
      <c r="AU115" s="13">
        <v>0.21736111111111112</v>
      </c>
      <c r="AV115" s="11">
        <v>17.0</v>
      </c>
      <c r="AW115" s="12">
        <v>0.2861111111111111</v>
      </c>
      <c r="AX115" s="13">
        <v>0.2861111111111111</v>
      </c>
      <c r="AY115" s="34">
        <f t="array" ref="AY115">XLOOKUP(B115,faclon_results_2022!$D:$D,faclon_results_2022!$A:$A,"DNF")</f>
        <v>17</v>
      </c>
      <c r="AZ115" s="12">
        <f t="shared" si="1"/>
        <v>0.325</v>
      </c>
      <c r="BA115" s="18">
        <f t="array" ref="BA115">XLOOKUP(B115,faclon_results_2022!$D:$D,faclon_results_2022!$J:$J)</f>
        <v>26.80978</v>
      </c>
    </row>
    <row r="116" ht="15.75" customHeight="1">
      <c r="A116" s="7"/>
      <c r="B116" s="47">
        <v>630.0</v>
      </c>
      <c r="C116" s="11">
        <v>149.0</v>
      </c>
      <c r="D116" s="12">
        <v>0.27152777777777776</v>
      </c>
      <c r="E116" s="13">
        <v>0.2722222222222222</v>
      </c>
      <c r="F116" s="64">
        <v>154.0</v>
      </c>
      <c r="G116" s="65">
        <v>0.33819444444444446</v>
      </c>
      <c r="H116" s="66">
        <v>0.33819444444444446</v>
      </c>
      <c r="I116" s="11">
        <v>164.0</v>
      </c>
      <c r="J116" s="12">
        <v>0.41875</v>
      </c>
      <c r="K116" s="13">
        <v>0.43472222222222223</v>
      </c>
      <c r="L116" s="67">
        <v>167.0</v>
      </c>
      <c r="M116" s="12">
        <v>0.5291666666666667</v>
      </c>
      <c r="N116" s="13">
        <v>0.5333333333333333</v>
      </c>
      <c r="O116" s="38">
        <v>171.0</v>
      </c>
      <c r="P116" s="12">
        <v>0.6138888888888889</v>
      </c>
      <c r="Q116" s="13">
        <v>0.6222222222222222</v>
      </c>
      <c r="R116" s="11">
        <v>175.0</v>
      </c>
      <c r="S116" s="12">
        <v>0.7055555555555556</v>
      </c>
      <c r="T116" s="13">
        <v>0.7097222222222223</v>
      </c>
      <c r="U116" s="11">
        <v>172.0</v>
      </c>
      <c r="V116" s="12">
        <v>0.7625</v>
      </c>
      <c r="W116" s="13">
        <v>0.7819444444444444</v>
      </c>
      <c r="X116" s="11">
        <v>166.0</v>
      </c>
      <c r="Y116" s="12"/>
      <c r="Z116" s="13">
        <v>0.9125</v>
      </c>
      <c r="AA116" s="20">
        <v>170.0</v>
      </c>
      <c r="AB116" s="21">
        <v>0.008333333333333333</v>
      </c>
      <c r="AC116" s="56" t="s">
        <v>178</v>
      </c>
      <c r="AD116" s="18"/>
      <c r="AE116" s="18"/>
      <c r="AF116" s="47"/>
      <c r="AG116" s="11"/>
      <c r="AH116" s="18"/>
      <c r="AI116" s="38"/>
      <c r="AJ116" s="68"/>
      <c r="AK116" s="68"/>
      <c r="AL116" s="69"/>
      <c r="AM116" s="11"/>
      <c r="AN116" s="12"/>
      <c r="AO116" s="13"/>
      <c r="AP116" s="11"/>
      <c r="AQ116" s="12"/>
      <c r="AR116" s="13"/>
      <c r="AS116" s="11"/>
      <c r="AT116" s="12"/>
      <c r="AU116" s="13"/>
      <c r="AV116" s="11"/>
      <c r="AW116" s="12"/>
      <c r="AX116" s="13"/>
      <c r="AY116" s="34" t="str">
        <f t="array" ref="AY116">XLOOKUP(B116,faclon_results_2022!$D:$D,faclon_results_2022!$A:$A,"DNF")</f>
        <v>DNF</v>
      </c>
      <c r="AZ116" s="12" t="str">
        <f t="shared" si="1"/>
        <v>#N/A</v>
      </c>
      <c r="BA116" s="18" t="str">
        <f t="array" ref="BA116">XLOOKUP(B116,faclon_results_2022!$D:$D,faclon_results_2022!$J:$J)</f>
        <v>#N/A</v>
      </c>
    </row>
    <row r="117" ht="15.75" customHeight="1">
      <c r="A117" s="7"/>
      <c r="B117" s="47">
        <v>631.0</v>
      </c>
      <c r="C117" s="11">
        <v>33.0</v>
      </c>
      <c r="D117" s="12">
        <v>0.25972222222222224</v>
      </c>
      <c r="E117" s="13">
        <v>0.2604166666666667</v>
      </c>
      <c r="F117" s="64">
        <v>31.0</v>
      </c>
      <c r="G117" s="65">
        <v>0.30694444444444446</v>
      </c>
      <c r="H117" s="66">
        <v>0.30694444444444446</v>
      </c>
      <c r="I117" s="11">
        <v>32.0</v>
      </c>
      <c r="J117" s="12">
        <v>0.36875</v>
      </c>
      <c r="K117" s="13">
        <v>0.37083333333333335</v>
      </c>
      <c r="L117" s="67">
        <v>45.0</v>
      </c>
      <c r="M117" s="12">
        <v>0.4534722222222222</v>
      </c>
      <c r="N117" s="13">
        <v>0.45555555555555555</v>
      </c>
      <c r="O117" s="38">
        <v>51.0</v>
      </c>
      <c r="P117" s="12">
        <v>0.5222222222222223</v>
      </c>
      <c r="Q117" s="13">
        <v>0.5243055555555556</v>
      </c>
      <c r="R117" s="11">
        <v>56.0</v>
      </c>
      <c r="S117" s="12">
        <v>0.5909722222222222</v>
      </c>
      <c r="T117" s="13">
        <v>0.5923611111111111</v>
      </c>
      <c r="U117" s="11">
        <v>58.0</v>
      </c>
      <c r="V117" s="12">
        <v>0.6416666666666667</v>
      </c>
      <c r="W117" s="13">
        <v>0.6458333333333334</v>
      </c>
      <c r="X117" s="11">
        <v>55.0</v>
      </c>
      <c r="Y117" s="12"/>
      <c r="Z117" s="13">
        <v>0.7520833333333333</v>
      </c>
      <c r="AA117" s="20">
        <v>59.0</v>
      </c>
      <c r="AB117" s="21">
        <v>0.8173611111111111</v>
      </c>
      <c r="AC117" s="22">
        <v>0.8215277777777777</v>
      </c>
      <c r="AD117" s="18">
        <v>59.0</v>
      </c>
      <c r="AE117" s="12">
        <v>0.9208333333333333</v>
      </c>
      <c r="AF117" s="23">
        <v>0.9423611111111111</v>
      </c>
      <c r="AG117" s="11">
        <v>63.0</v>
      </c>
      <c r="AH117" s="30">
        <v>0.019444444444444445</v>
      </c>
      <c r="AI117" s="13">
        <v>0.029166666666666667</v>
      </c>
      <c r="AJ117" s="14">
        <v>64.0</v>
      </c>
      <c r="AK117" s="15">
        <v>0.1326388888888889</v>
      </c>
      <c r="AL117" s="16">
        <v>0.14305555555555555</v>
      </c>
      <c r="AM117" s="11">
        <v>68.0</v>
      </c>
      <c r="AN117" s="12">
        <v>0.22152777777777777</v>
      </c>
      <c r="AO117" s="13">
        <v>0.2534722222222222</v>
      </c>
      <c r="AP117" s="11">
        <v>71.0</v>
      </c>
      <c r="AQ117" s="12">
        <v>0.32430555555555557</v>
      </c>
      <c r="AR117" s="13">
        <v>0.3298611111111111</v>
      </c>
      <c r="AS117" s="11">
        <v>73.0</v>
      </c>
      <c r="AT117" s="12">
        <v>0.4423611111111111</v>
      </c>
      <c r="AU117" s="13">
        <v>0.4479166666666667</v>
      </c>
      <c r="AV117" s="11">
        <v>77.0</v>
      </c>
      <c r="AW117" s="12">
        <v>0.5347222222222222</v>
      </c>
      <c r="AX117" s="13">
        <v>0.5361111111111111</v>
      </c>
      <c r="AY117" s="34">
        <f t="array" ref="AY117">XLOOKUP(B117,faclon_results_2022!$D:$D,faclon_results_2022!$A:$A,"DNF")</f>
        <v>72</v>
      </c>
      <c r="AZ117" s="12">
        <f t="shared" si="1"/>
        <v>0.5854166667</v>
      </c>
      <c r="BA117" s="18">
        <f t="array" ref="BA117">XLOOKUP(B117,faclon_results_2022!$D:$D,faclon_results_2022!$J:$J)</f>
        <v>33.0571</v>
      </c>
    </row>
    <row r="118" ht="15.75" customHeight="1">
      <c r="A118" s="7"/>
      <c r="B118" s="47">
        <v>632.0</v>
      </c>
      <c r="C118" s="11">
        <v>179.0</v>
      </c>
      <c r="D118" s="12">
        <v>0.2763888888888889</v>
      </c>
      <c r="E118" s="13">
        <v>0.27708333333333335</v>
      </c>
      <c r="F118" s="64">
        <v>176.0</v>
      </c>
      <c r="G118" s="65">
        <v>0.34375</v>
      </c>
      <c r="H118" s="66">
        <v>0.34375</v>
      </c>
      <c r="I118" s="11">
        <v>172.0</v>
      </c>
      <c r="J118" s="12">
        <v>0.4236111111111111</v>
      </c>
      <c r="K118" s="13">
        <v>0.4284722222222222</v>
      </c>
      <c r="L118" s="67">
        <v>160.0</v>
      </c>
      <c r="M118" s="12">
        <v>0.5256944444444445</v>
      </c>
      <c r="N118" s="13">
        <v>0.5270833333333333</v>
      </c>
      <c r="O118" s="38">
        <v>158.0</v>
      </c>
      <c r="P118" s="12">
        <v>0.6055555555555555</v>
      </c>
      <c r="Q118" s="13">
        <v>0.6069444444444444</v>
      </c>
      <c r="R118" s="11">
        <v>150.0</v>
      </c>
      <c r="S118" s="12">
        <v>0.6805555555555556</v>
      </c>
      <c r="T118" s="13">
        <v>0.68125</v>
      </c>
      <c r="U118" s="11">
        <v>150.0</v>
      </c>
      <c r="V118" s="12">
        <v>0.7375</v>
      </c>
      <c r="W118" s="13">
        <v>0.7444444444444445</v>
      </c>
      <c r="X118" s="11">
        <v>135.0</v>
      </c>
      <c r="Y118" s="12"/>
      <c r="Z118" s="13">
        <v>0.8548611111111111</v>
      </c>
      <c r="AA118" s="20">
        <v>138.0</v>
      </c>
      <c r="AB118" s="21">
        <v>0.9381944444444444</v>
      </c>
      <c r="AC118" s="22">
        <v>0.9375</v>
      </c>
      <c r="AD118" s="18">
        <v>132.0</v>
      </c>
      <c r="AE118" s="12">
        <v>0.05763888888888889</v>
      </c>
      <c r="AF118" s="23">
        <v>0.07291666666666667</v>
      </c>
      <c r="AG118" s="11">
        <v>125.0</v>
      </c>
      <c r="AH118" s="12">
        <v>0.14722222222222223</v>
      </c>
      <c r="AI118" s="13">
        <v>0.15138888888888888</v>
      </c>
      <c r="AJ118" s="14">
        <v>121.0</v>
      </c>
      <c r="AK118" s="15">
        <v>0.25833333333333336</v>
      </c>
      <c r="AL118" s="16">
        <v>0.2604166666666667</v>
      </c>
      <c r="AM118" s="11">
        <v>116.0</v>
      </c>
      <c r="AN118" s="12">
        <v>0.31875</v>
      </c>
      <c r="AO118" s="13">
        <v>0.33125</v>
      </c>
      <c r="AP118" s="11">
        <v>115.0</v>
      </c>
      <c r="AQ118" s="12">
        <v>0.40694444444444444</v>
      </c>
      <c r="AR118" s="13">
        <v>0.40902777777777777</v>
      </c>
      <c r="AS118" s="11">
        <v>111.0</v>
      </c>
      <c r="AT118" s="12">
        <v>0.5145833333333333</v>
      </c>
      <c r="AU118" s="13">
        <v>0.51875</v>
      </c>
      <c r="AV118" s="11">
        <v>110.0</v>
      </c>
      <c r="AW118" s="12">
        <v>0.10625</v>
      </c>
      <c r="AX118" s="13">
        <v>0.10902777777777778</v>
      </c>
      <c r="AY118" s="34">
        <f t="array" ref="AY118">XLOOKUP(B118,faclon_results_2022!$D:$D,faclon_results_2022!$A:$A,"DNF")</f>
        <v>110</v>
      </c>
      <c r="AZ118" s="12">
        <f t="shared" si="1"/>
        <v>0.6673611111</v>
      </c>
      <c r="BA118" s="18">
        <f t="array" ref="BA118">XLOOKUP(B118,faclon_results_2022!$D:$D,faclon_results_2022!$J:$J)</f>
        <v>35.01899</v>
      </c>
    </row>
    <row r="119" ht="15.75" customHeight="1">
      <c r="A119" s="7"/>
      <c r="B119" s="47">
        <v>633.0</v>
      </c>
      <c r="C119" s="11">
        <v>183.0</v>
      </c>
      <c r="D119" s="12">
        <v>0.2777777777777778</v>
      </c>
      <c r="E119" s="13">
        <v>0.27847222222222223</v>
      </c>
      <c r="F119" s="64">
        <v>88.0</v>
      </c>
      <c r="G119" s="65">
        <v>0.32430555555555557</v>
      </c>
      <c r="H119" s="66">
        <v>0.32430555555555557</v>
      </c>
      <c r="I119" s="11">
        <v>186.0</v>
      </c>
      <c r="J119" s="12">
        <v>0.4284722222222222</v>
      </c>
      <c r="K119" s="13">
        <v>0.4326388888888889</v>
      </c>
      <c r="L119" s="67">
        <v>168.0</v>
      </c>
      <c r="M119" s="12">
        <v>0.5298611111111111</v>
      </c>
      <c r="N119" s="13">
        <v>0.5326388888888889</v>
      </c>
      <c r="O119" s="38">
        <v>164.0</v>
      </c>
      <c r="P119" s="12">
        <v>0.6083333333333333</v>
      </c>
      <c r="Q119" s="13">
        <v>0.6118055555555556</v>
      </c>
      <c r="R119" s="11">
        <v>157.0</v>
      </c>
      <c r="S119" s="12">
        <v>0.6854166666666667</v>
      </c>
      <c r="T119" s="13">
        <v>0.6888888888888889</v>
      </c>
      <c r="U119" s="11">
        <v>155.0</v>
      </c>
      <c r="V119" s="12">
        <v>0.7409722222222223</v>
      </c>
      <c r="W119" s="13">
        <v>0.7486111111111111</v>
      </c>
      <c r="X119" s="11">
        <v>152.0</v>
      </c>
      <c r="Y119" s="12"/>
      <c r="Z119" s="13">
        <v>0.8784722222222222</v>
      </c>
      <c r="AA119" s="20">
        <v>155.0</v>
      </c>
      <c r="AB119" s="21">
        <v>0.9604166666666667</v>
      </c>
      <c r="AC119" s="22">
        <v>0.9722222222222222</v>
      </c>
      <c r="AD119" s="18">
        <v>153.0</v>
      </c>
      <c r="AE119" s="12">
        <v>0.09791666666666667</v>
      </c>
      <c r="AF119" s="47" t="s">
        <v>178</v>
      </c>
      <c r="AG119" s="11"/>
      <c r="AH119" s="18"/>
      <c r="AI119" s="38"/>
      <c r="AJ119" s="68"/>
      <c r="AK119" s="68"/>
      <c r="AL119" s="69"/>
      <c r="AM119" s="11"/>
      <c r="AN119" s="12"/>
      <c r="AO119" s="13"/>
      <c r="AP119" s="11"/>
      <c r="AQ119" s="12"/>
      <c r="AR119" s="13"/>
      <c r="AS119" s="11"/>
      <c r="AT119" s="12"/>
      <c r="AU119" s="13"/>
      <c r="AV119" s="11"/>
      <c r="AW119" s="12"/>
      <c r="AX119" s="13"/>
      <c r="AY119" s="34" t="str">
        <f t="array" ref="AY119">XLOOKUP(B119,faclon_results_2022!$D:$D,faclon_results_2022!$A:$A,"DNF")</f>
        <v>DNF</v>
      </c>
      <c r="AZ119" s="12" t="str">
        <f t="shared" si="1"/>
        <v>#N/A</v>
      </c>
      <c r="BA119" s="18" t="str">
        <f t="array" ref="BA119">XLOOKUP(B119,faclon_results_2022!$D:$D,faclon_results_2022!$J:$J)</f>
        <v>#N/A</v>
      </c>
    </row>
    <row r="120" ht="15.75" customHeight="1">
      <c r="A120" s="7"/>
      <c r="B120" s="47">
        <v>637.0</v>
      </c>
      <c r="C120" s="11">
        <v>73.0</v>
      </c>
      <c r="D120" s="12">
        <v>0.26458333333333334</v>
      </c>
      <c r="E120" s="13">
        <v>0.2652777777777778</v>
      </c>
      <c r="F120" s="64"/>
      <c r="G120" s="65"/>
      <c r="H120" s="66"/>
      <c r="I120" s="11">
        <v>76.0</v>
      </c>
      <c r="J120" s="12">
        <v>0.38819444444444445</v>
      </c>
      <c r="K120" s="13">
        <v>0.3909722222222222</v>
      </c>
      <c r="L120" s="67">
        <v>72.0</v>
      </c>
      <c r="M120" s="12">
        <v>0.4736111111111111</v>
      </c>
      <c r="N120" s="13">
        <v>0.4756944444444444</v>
      </c>
      <c r="O120" s="38">
        <v>81.0</v>
      </c>
      <c r="P120" s="12">
        <v>0.55</v>
      </c>
      <c r="Q120" s="13">
        <v>0.5506944444444445</v>
      </c>
      <c r="R120" s="11">
        <v>76.0</v>
      </c>
      <c r="S120" s="12">
        <v>0.6131944444444445</v>
      </c>
      <c r="T120" s="13">
        <v>0.6145833333333334</v>
      </c>
      <c r="U120" s="11">
        <v>68.0</v>
      </c>
      <c r="V120" s="12">
        <v>0.6597222222222222</v>
      </c>
      <c r="W120" s="13">
        <v>0.6625</v>
      </c>
      <c r="X120" s="11">
        <v>64.0</v>
      </c>
      <c r="Y120" s="12"/>
      <c r="Z120" s="13">
        <v>0.7673611111111112</v>
      </c>
      <c r="AA120" s="20">
        <v>65.0</v>
      </c>
      <c r="AB120" s="21">
        <v>0.8326388888888889</v>
      </c>
      <c r="AC120" s="22">
        <v>0.8402777777777778</v>
      </c>
      <c r="AD120" s="18">
        <v>68.0</v>
      </c>
      <c r="AE120" s="12">
        <v>0.9381944444444444</v>
      </c>
      <c r="AF120" s="23">
        <v>0.9444444444444444</v>
      </c>
      <c r="AG120" s="11">
        <v>58.0</v>
      </c>
      <c r="AH120" s="12">
        <v>0.013194444444444444</v>
      </c>
      <c r="AI120" s="13">
        <v>0.015277777777777777</v>
      </c>
      <c r="AJ120" s="14">
        <v>56.0</v>
      </c>
      <c r="AK120" s="15">
        <v>0.1111111111111111</v>
      </c>
      <c r="AL120" s="16">
        <v>0.11388888888888889</v>
      </c>
      <c r="AM120" s="11">
        <v>53.0</v>
      </c>
      <c r="AN120" s="12">
        <v>0.17430555555555555</v>
      </c>
      <c r="AO120" s="13">
        <v>0.17777777777777778</v>
      </c>
      <c r="AP120" s="11">
        <v>47.0</v>
      </c>
      <c r="AQ120" s="12">
        <v>0.24930555555555556</v>
      </c>
      <c r="AR120" s="13">
        <v>0.25277777777777777</v>
      </c>
      <c r="AS120" s="11">
        <v>48.0</v>
      </c>
      <c r="AT120" s="12">
        <v>0.3506944444444444</v>
      </c>
      <c r="AU120" s="13">
        <v>0.3527777777777778</v>
      </c>
      <c r="AV120" s="11">
        <v>46.0</v>
      </c>
      <c r="AW120" s="12">
        <v>0.42291666666666666</v>
      </c>
      <c r="AX120" s="13">
        <v>0.4236111111111111</v>
      </c>
      <c r="AY120" s="34">
        <f t="array" ref="AY120">XLOOKUP(B120,faclon_results_2022!$D:$D,faclon_results_2022!$A:$A,"DNF")</f>
        <v>44</v>
      </c>
      <c r="AZ120" s="12">
        <f t="shared" si="1"/>
        <v>0.4680555556</v>
      </c>
      <c r="BA120" s="18">
        <f t="array" ref="BA120">XLOOKUP(B120,faclon_results_2022!$D:$D,faclon_results_2022!$J:$J)</f>
        <v>30.23645</v>
      </c>
    </row>
    <row r="121" ht="15.75" customHeight="1">
      <c r="A121" s="7"/>
      <c r="B121" s="47">
        <v>638.0</v>
      </c>
      <c r="C121" s="11">
        <v>161.0</v>
      </c>
      <c r="D121" s="12">
        <v>0.2743055555555556</v>
      </c>
      <c r="E121" s="13">
        <v>0.275</v>
      </c>
      <c r="F121" s="64"/>
      <c r="G121" s="65"/>
      <c r="H121" s="66"/>
      <c r="I121" s="11">
        <v>140.0</v>
      </c>
      <c r="J121" s="12">
        <v>0.4097222222222222</v>
      </c>
      <c r="K121" s="13">
        <v>0.4131944444444444</v>
      </c>
      <c r="L121" s="67">
        <v>113.0</v>
      </c>
      <c r="M121" s="12">
        <v>0.4986111111111111</v>
      </c>
      <c r="N121" s="13">
        <v>0.5006944444444444</v>
      </c>
      <c r="O121" s="38">
        <v>106.0</v>
      </c>
      <c r="P121" s="12">
        <v>0.56875</v>
      </c>
      <c r="Q121" s="13">
        <v>0.5715277777777777</v>
      </c>
      <c r="R121" s="11">
        <v>101.0</v>
      </c>
      <c r="S121" s="12">
        <v>0.6368055555555555</v>
      </c>
      <c r="T121" s="13">
        <v>0.6395833333333333</v>
      </c>
      <c r="U121" s="11">
        <v>97.0</v>
      </c>
      <c r="V121" s="12">
        <v>0.6854166666666667</v>
      </c>
      <c r="W121" s="13">
        <v>0.6895833333333333</v>
      </c>
      <c r="X121" s="11">
        <v>86.0</v>
      </c>
      <c r="Y121" s="12"/>
      <c r="Z121" s="13">
        <v>0.7930555555555555</v>
      </c>
      <c r="AA121" s="20">
        <v>87.0</v>
      </c>
      <c r="AB121" s="21">
        <v>0.8569444444444444</v>
      </c>
      <c r="AC121" s="22">
        <v>0.8604166666666667</v>
      </c>
      <c r="AD121" s="18">
        <v>83.0</v>
      </c>
      <c r="AE121" s="12">
        <v>0.9569444444444445</v>
      </c>
      <c r="AF121" s="23">
        <v>0.96875</v>
      </c>
      <c r="AG121" s="11">
        <v>81.0</v>
      </c>
      <c r="AH121" s="12">
        <v>0.04513888888888889</v>
      </c>
      <c r="AI121" s="13">
        <v>0.04722222222222222</v>
      </c>
      <c r="AJ121" s="14">
        <v>73.0</v>
      </c>
      <c r="AK121" s="15">
        <v>0.14652777777777778</v>
      </c>
      <c r="AL121" s="16">
        <v>0.1486111111111111</v>
      </c>
      <c r="AM121" s="11">
        <v>65.0</v>
      </c>
      <c r="AN121" s="12">
        <v>0.21458333333333332</v>
      </c>
      <c r="AO121" s="13">
        <v>0.2222222222222222</v>
      </c>
      <c r="AP121" s="11">
        <v>62.0</v>
      </c>
      <c r="AQ121" s="12">
        <v>0.29444444444444445</v>
      </c>
      <c r="AR121" s="13">
        <v>0.2965277777777778</v>
      </c>
      <c r="AS121" s="11">
        <v>62.0</v>
      </c>
      <c r="AT121" s="12">
        <v>0.4076388888888889</v>
      </c>
      <c r="AU121" s="13">
        <v>0.40902777777777777</v>
      </c>
      <c r="AV121" s="11">
        <v>62.0</v>
      </c>
      <c r="AW121" s="12">
        <v>0.5020833333333333</v>
      </c>
      <c r="AX121" s="13">
        <v>0.5034722222222222</v>
      </c>
      <c r="AY121" s="34">
        <f t="array" ref="AY121">XLOOKUP(B121,faclon_results_2022!$D:$D,faclon_results_2022!$A:$A,"DNF")</f>
        <v>65</v>
      </c>
      <c r="AZ121" s="12">
        <f t="shared" si="1"/>
        <v>0.5680555556</v>
      </c>
      <c r="BA121" s="18">
        <f t="array" ref="BA121">XLOOKUP(B121,faclon_results_2022!$D:$D,faclon_results_2022!$J:$J)</f>
        <v>32.64744</v>
      </c>
    </row>
    <row r="122" ht="15.75" customHeight="1">
      <c r="A122" s="7"/>
      <c r="B122" s="47">
        <v>639.0</v>
      </c>
      <c r="C122" s="11">
        <v>83.0</v>
      </c>
      <c r="D122" s="12">
        <v>0.2659722222222222</v>
      </c>
      <c r="E122" s="13">
        <v>0.26666666666666666</v>
      </c>
      <c r="F122" s="64">
        <v>69.0</v>
      </c>
      <c r="G122" s="65">
        <v>0.32013888888888886</v>
      </c>
      <c r="H122" s="66">
        <v>0.32013888888888886</v>
      </c>
      <c r="I122" s="11">
        <v>105.0</v>
      </c>
      <c r="J122" s="12">
        <v>0.3972222222222222</v>
      </c>
      <c r="K122" s="13">
        <v>0.4041666666666667</v>
      </c>
      <c r="L122" s="67">
        <v>120.0</v>
      </c>
      <c r="M122" s="12">
        <v>0.5006944444444444</v>
      </c>
      <c r="N122" s="13">
        <v>0.5041666666666667</v>
      </c>
      <c r="O122" s="38">
        <v>137.0</v>
      </c>
      <c r="P122" s="12">
        <v>0.5833333333333334</v>
      </c>
      <c r="Q122" s="13">
        <v>0.5875</v>
      </c>
      <c r="R122" s="11">
        <v>136.0</v>
      </c>
      <c r="S122" s="12">
        <v>0.6645833333333333</v>
      </c>
      <c r="T122" s="13">
        <v>0.6694444444444444</v>
      </c>
      <c r="U122" s="11">
        <v>145.0</v>
      </c>
      <c r="V122" s="12">
        <v>0.7284722222222222</v>
      </c>
      <c r="W122" s="13">
        <v>0.7402777777777778</v>
      </c>
      <c r="X122" s="11">
        <v>139.0</v>
      </c>
      <c r="Y122" s="12"/>
      <c r="Z122" s="13">
        <v>0.8625</v>
      </c>
      <c r="AA122" s="20">
        <v>139.0</v>
      </c>
      <c r="AB122" s="21">
        <v>0.9423611111111111</v>
      </c>
      <c r="AC122" s="22">
        <v>0.9451388888888889</v>
      </c>
      <c r="AD122" s="18"/>
      <c r="AE122" s="18"/>
      <c r="AF122" s="47"/>
      <c r="AG122" s="11"/>
      <c r="AH122" s="18"/>
      <c r="AI122" s="38"/>
      <c r="AJ122" s="68"/>
      <c r="AK122" s="68"/>
      <c r="AL122" s="69"/>
      <c r="AM122" s="11"/>
      <c r="AN122" s="12"/>
      <c r="AO122" s="13"/>
      <c r="AP122" s="11"/>
      <c r="AQ122" s="12"/>
      <c r="AR122" s="13"/>
      <c r="AS122" s="11"/>
      <c r="AT122" s="12"/>
      <c r="AU122" s="13"/>
      <c r="AV122" s="11"/>
      <c r="AW122" s="12"/>
      <c r="AX122" s="13"/>
      <c r="AY122" s="34" t="str">
        <f t="array" ref="AY122">XLOOKUP(B122,faclon_results_2022!$D:$D,faclon_results_2022!$A:$A,"DNF")</f>
        <v>DNF</v>
      </c>
      <c r="AZ122" s="12" t="str">
        <f t="shared" si="1"/>
        <v>#N/A</v>
      </c>
      <c r="BA122" s="18" t="str">
        <f t="array" ref="BA122">XLOOKUP(B122,faclon_results_2022!$D:$D,faclon_results_2022!$J:$J)</f>
        <v>#N/A</v>
      </c>
    </row>
    <row r="123" ht="15.75" customHeight="1">
      <c r="A123" s="7"/>
      <c r="B123" s="47">
        <v>640.0</v>
      </c>
      <c r="C123" s="11">
        <v>25.0</v>
      </c>
      <c r="D123" s="12">
        <v>0.2590277777777778</v>
      </c>
      <c r="E123" s="13">
        <v>0.25972222222222224</v>
      </c>
      <c r="F123" s="64">
        <v>30.0</v>
      </c>
      <c r="G123" s="65">
        <v>0.30694444444444446</v>
      </c>
      <c r="H123" s="66">
        <v>0.30694444444444446</v>
      </c>
      <c r="I123" s="11">
        <v>25.0</v>
      </c>
      <c r="J123" s="12">
        <v>0.3638888888888889</v>
      </c>
      <c r="K123" s="13">
        <v>0.3680555555555556</v>
      </c>
      <c r="L123" s="67">
        <v>28.0</v>
      </c>
      <c r="M123" s="12">
        <v>0.4444444444444444</v>
      </c>
      <c r="N123" s="13">
        <v>0.44722222222222224</v>
      </c>
      <c r="O123" s="38">
        <v>32.0</v>
      </c>
      <c r="P123" s="12">
        <v>0.5048611111111111</v>
      </c>
      <c r="Q123" s="13">
        <v>0.5069444444444444</v>
      </c>
      <c r="R123" s="11">
        <v>34.0</v>
      </c>
      <c r="S123" s="12">
        <v>0.5666666666666667</v>
      </c>
      <c r="T123" s="13">
        <v>0.5701388888888889</v>
      </c>
      <c r="U123" s="11">
        <v>42.0</v>
      </c>
      <c r="V123" s="12">
        <v>0.6145833333333334</v>
      </c>
      <c r="W123" s="38" t="s">
        <v>178</v>
      </c>
      <c r="X123" s="11"/>
      <c r="Y123" s="12"/>
      <c r="Z123" s="13"/>
      <c r="AA123" s="20"/>
      <c r="AB123" s="20"/>
      <c r="AC123" s="70"/>
      <c r="AD123" s="18"/>
      <c r="AE123" s="18"/>
      <c r="AF123" s="47"/>
      <c r="AG123" s="11"/>
      <c r="AH123" s="18"/>
      <c r="AI123" s="38"/>
      <c r="AJ123" s="68"/>
      <c r="AK123" s="68"/>
      <c r="AL123" s="69"/>
      <c r="AM123" s="11"/>
      <c r="AN123" s="12"/>
      <c r="AO123" s="13"/>
      <c r="AP123" s="11"/>
      <c r="AQ123" s="12"/>
      <c r="AR123" s="13"/>
      <c r="AS123" s="11"/>
      <c r="AT123" s="12"/>
      <c r="AU123" s="13"/>
      <c r="AV123" s="11"/>
      <c r="AW123" s="12"/>
      <c r="AX123" s="13"/>
      <c r="AY123" s="34" t="str">
        <f t="array" ref="AY123">XLOOKUP(B123,faclon_results_2022!$D:$D,faclon_results_2022!$A:$A,"DNF")</f>
        <v>DNF</v>
      </c>
      <c r="AZ123" s="12" t="str">
        <f t="shared" si="1"/>
        <v>#N/A</v>
      </c>
      <c r="BA123" s="18" t="str">
        <f t="array" ref="BA123">XLOOKUP(B123,faclon_results_2022!$D:$D,faclon_results_2022!$J:$J)</f>
        <v>#N/A</v>
      </c>
    </row>
    <row r="124" ht="15.75" customHeight="1">
      <c r="A124" s="7"/>
      <c r="B124" s="47">
        <v>641.0</v>
      </c>
      <c r="C124" s="11">
        <v>171.0</v>
      </c>
      <c r="D124" s="12">
        <v>0.2743055555555556</v>
      </c>
      <c r="E124" s="13">
        <v>0.275</v>
      </c>
      <c r="F124" s="64">
        <v>158.0</v>
      </c>
      <c r="G124" s="65">
        <v>0.3388888888888889</v>
      </c>
      <c r="H124" s="66">
        <v>0.3388888888888889</v>
      </c>
      <c r="I124" s="11">
        <v>150.0</v>
      </c>
      <c r="J124" s="12">
        <v>0.4125</v>
      </c>
      <c r="K124" s="13">
        <v>0.4305555555555556</v>
      </c>
      <c r="L124" s="67">
        <v>171.0</v>
      </c>
      <c r="M124" s="12">
        <v>0.53125</v>
      </c>
      <c r="N124" s="13">
        <v>0.5361111111111111</v>
      </c>
      <c r="O124" s="38">
        <v>185.0</v>
      </c>
      <c r="P124" s="12">
        <v>0.6326388888888889</v>
      </c>
      <c r="Q124" s="13">
        <v>0.6381944444444444</v>
      </c>
      <c r="R124" s="11">
        <v>187.0</v>
      </c>
      <c r="S124" s="12">
        <v>0.7319444444444444</v>
      </c>
      <c r="T124" s="13">
        <v>0.7354166666666667</v>
      </c>
      <c r="U124" s="11">
        <v>186.0</v>
      </c>
      <c r="V124" s="12">
        <v>0.7979166666666667</v>
      </c>
      <c r="W124" s="38" t="s">
        <v>178</v>
      </c>
      <c r="X124" s="11"/>
      <c r="Y124" s="12"/>
      <c r="Z124" s="13"/>
      <c r="AA124" s="20"/>
      <c r="AB124" s="71"/>
      <c r="AC124" s="56"/>
      <c r="AD124" s="18"/>
      <c r="AE124" s="18"/>
      <c r="AF124" s="47"/>
      <c r="AG124" s="11"/>
      <c r="AH124" s="12"/>
      <c r="AI124" s="13"/>
      <c r="AJ124" s="68"/>
      <c r="AK124" s="68"/>
      <c r="AL124" s="69"/>
      <c r="AM124" s="11"/>
      <c r="AN124" s="18"/>
      <c r="AO124" s="38"/>
      <c r="AP124" s="11"/>
      <c r="AQ124" s="18"/>
      <c r="AR124" s="38"/>
      <c r="AS124" s="11"/>
      <c r="AT124" s="18"/>
      <c r="AU124" s="38"/>
      <c r="AV124" s="11"/>
      <c r="AW124" s="18"/>
      <c r="AX124" s="38"/>
      <c r="AY124" s="34" t="str">
        <f t="array" ref="AY124">XLOOKUP(B124,faclon_results_2022!$D:$D,faclon_results_2022!$A:$A,"DNF")</f>
        <v>DNF</v>
      </c>
      <c r="AZ124" s="12" t="str">
        <f t="shared" si="1"/>
        <v>#N/A</v>
      </c>
      <c r="BA124" s="18" t="str">
        <f t="array" ref="BA124">XLOOKUP(B124,faclon_results_2022!$D:$D,faclon_results_2022!$J:$J)</f>
        <v>#N/A</v>
      </c>
    </row>
    <row r="125" ht="15.75" customHeight="1">
      <c r="A125" s="7"/>
      <c r="B125" s="47">
        <v>642.0</v>
      </c>
      <c r="C125" s="11">
        <v>39.0</v>
      </c>
      <c r="D125" s="12">
        <v>0.2604166666666667</v>
      </c>
      <c r="E125" s="13">
        <v>0.26180555555555557</v>
      </c>
      <c r="F125" s="64">
        <v>37.0</v>
      </c>
      <c r="G125" s="65">
        <v>0.31180555555555556</v>
      </c>
      <c r="H125" s="66">
        <v>0.31180555555555556</v>
      </c>
      <c r="I125" s="11">
        <v>45.0</v>
      </c>
      <c r="J125" s="12">
        <v>0.37430555555555556</v>
      </c>
      <c r="K125" s="13">
        <v>0.3763888888888889</v>
      </c>
      <c r="L125" s="67">
        <v>50.0</v>
      </c>
      <c r="M125" s="12">
        <v>0.45902777777777776</v>
      </c>
      <c r="N125" s="13">
        <v>0.46041666666666664</v>
      </c>
      <c r="O125" s="38">
        <v>52.0</v>
      </c>
      <c r="P125" s="12">
        <v>0.5229166666666667</v>
      </c>
      <c r="Q125" s="13">
        <v>0.525</v>
      </c>
      <c r="R125" s="11">
        <v>54.0</v>
      </c>
      <c r="S125" s="12">
        <v>0.5881944444444445</v>
      </c>
      <c r="T125" s="13">
        <v>0.5895833333333333</v>
      </c>
      <c r="U125" s="11">
        <v>54.0</v>
      </c>
      <c r="V125" s="12">
        <v>0.6333333333333333</v>
      </c>
      <c r="W125" s="13">
        <v>0.6381944444444444</v>
      </c>
      <c r="X125" s="11">
        <v>54.0</v>
      </c>
      <c r="Y125" s="12"/>
      <c r="Z125" s="13">
        <v>0.7513888888888889</v>
      </c>
      <c r="AA125" s="20">
        <v>58.0</v>
      </c>
      <c r="AB125" s="21">
        <v>0.8152777777777778</v>
      </c>
      <c r="AC125" s="22">
        <v>0.8215277777777777</v>
      </c>
      <c r="AD125" s="18">
        <v>58.0</v>
      </c>
      <c r="AE125" s="12">
        <v>0.9166666666666666</v>
      </c>
      <c r="AF125" s="23">
        <v>0.9305555555555556</v>
      </c>
      <c r="AG125" s="11">
        <v>53.0</v>
      </c>
      <c r="AH125" s="12">
        <v>1.0</v>
      </c>
      <c r="AI125" s="13">
        <v>0.007638888888888889</v>
      </c>
      <c r="AJ125" s="14">
        <v>46.0</v>
      </c>
      <c r="AK125" s="15">
        <v>0.09652777777777778</v>
      </c>
      <c r="AL125" s="16">
        <v>0.10555555555555556</v>
      </c>
      <c r="AM125" s="11">
        <v>44.0</v>
      </c>
      <c r="AN125" s="12">
        <v>0.15555555555555556</v>
      </c>
      <c r="AO125" s="13">
        <v>0.16805555555555557</v>
      </c>
      <c r="AP125" s="11">
        <v>44.0</v>
      </c>
      <c r="AQ125" s="12">
        <v>0.23958333333333334</v>
      </c>
      <c r="AR125" s="13">
        <v>0.24722222222222223</v>
      </c>
      <c r="AS125" s="11">
        <v>43.0</v>
      </c>
      <c r="AT125" s="12">
        <v>0.33819444444444446</v>
      </c>
      <c r="AU125" s="13">
        <v>0.34375</v>
      </c>
      <c r="AV125" s="11">
        <v>43.0</v>
      </c>
      <c r="AW125" s="12">
        <v>0.41180555555555554</v>
      </c>
      <c r="AX125" s="13">
        <v>0.41180555555555554</v>
      </c>
      <c r="AY125" s="34">
        <f t="array" ref="AY125">XLOOKUP(B125,faclon_results_2022!$D:$D,faclon_results_2022!$A:$A,"DNF")</f>
        <v>40</v>
      </c>
      <c r="AZ125" s="12">
        <f t="shared" si="1"/>
        <v>0.45</v>
      </c>
      <c r="BA125" s="18">
        <f t="array" ref="BA125">XLOOKUP(B125,faclon_results_2022!$D:$D,faclon_results_2022!$J:$J)</f>
        <v>29.81215</v>
      </c>
    </row>
    <row r="126" ht="15.75" customHeight="1">
      <c r="A126" s="7"/>
      <c r="B126" s="47">
        <v>643.0</v>
      </c>
      <c r="C126" s="11">
        <v>66.0</v>
      </c>
      <c r="D126" s="12">
        <v>0.26319444444444445</v>
      </c>
      <c r="E126" s="13">
        <v>0.2638888888888889</v>
      </c>
      <c r="F126" s="64">
        <v>84.0</v>
      </c>
      <c r="G126" s="65">
        <v>0.3229166666666667</v>
      </c>
      <c r="H126" s="66">
        <v>0.3229166666666667</v>
      </c>
      <c r="I126" s="11">
        <v>106.0</v>
      </c>
      <c r="J126" s="12">
        <v>0.3972222222222222</v>
      </c>
      <c r="K126" s="13">
        <v>0.40347222222222223</v>
      </c>
      <c r="L126" s="67">
        <v>106.0</v>
      </c>
      <c r="M126" s="12">
        <v>0.49166666666666664</v>
      </c>
      <c r="N126" s="13">
        <v>0.49583333333333335</v>
      </c>
      <c r="O126" s="38">
        <v>103.0</v>
      </c>
      <c r="P126" s="12">
        <v>0.5680555555555555</v>
      </c>
      <c r="Q126" s="13">
        <v>0.5722222222222222</v>
      </c>
      <c r="R126" s="11">
        <v>108.0</v>
      </c>
      <c r="S126" s="12">
        <v>0.6465277777777778</v>
      </c>
      <c r="T126" s="13">
        <v>0.65</v>
      </c>
      <c r="U126" s="11">
        <v>112.0</v>
      </c>
      <c r="V126" s="12">
        <v>0.7</v>
      </c>
      <c r="W126" s="13">
        <v>0.7180555555555556</v>
      </c>
      <c r="X126" s="11">
        <v>119.0</v>
      </c>
      <c r="Y126" s="12"/>
      <c r="Z126" s="13">
        <v>0.8409722222222222</v>
      </c>
      <c r="AA126" s="20">
        <v>126.0</v>
      </c>
      <c r="AB126" s="21">
        <v>0.9180555555555555</v>
      </c>
      <c r="AC126" s="22">
        <v>0.9215277777777777</v>
      </c>
      <c r="AD126" s="18">
        <v>128.0</v>
      </c>
      <c r="AE126" s="12">
        <v>0.05555555555555555</v>
      </c>
      <c r="AF126" s="47" t="s">
        <v>178</v>
      </c>
      <c r="AG126" s="11"/>
      <c r="AH126" s="12"/>
      <c r="AI126" s="38"/>
      <c r="AJ126" s="68"/>
      <c r="AK126" s="68"/>
      <c r="AL126" s="69"/>
      <c r="AM126" s="11"/>
      <c r="AN126" s="12"/>
      <c r="AO126" s="38"/>
      <c r="AP126" s="11"/>
      <c r="AQ126" s="12"/>
      <c r="AR126" s="38"/>
      <c r="AS126" s="11"/>
      <c r="AT126" s="12"/>
      <c r="AU126" s="38"/>
      <c r="AV126" s="11"/>
      <c r="AW126" s="12"/>
      <c r="AX126" s="38"/>
      <c r="AY126" s="34" t="str">
        <f t="array" ref="AY126">XLOOKUP(B126,faclon_results_2022!$D:$D,faclon_results_2022!$A:$A,"DNF")</f>
        <v>DNF</v>
      </c>
      <c r="AZ126" s="12" t="str">
        <f t="shared" si="1"/>
        <v>#N/A</v>
      </c>
      <c r="BA126" s="18" t="str">
        <f t="array" ref="BA126">XLOOKUP(B126,faclon_results_2022!$D:$D,faclon_results_2022!$J:$J)</f>
        <v>#N/A</v>
      </c>
    </row>
    <row r="127" ht="15.75" customHeight="1">
      <c r="A127" s="7"/>
      <c r="B127" s="47">
        <v>644.0</v>
      </c>
      <c r="C127" s="11">
        <v>13.0</v>
      </c>
      <c r="D127" s="12">
        <v>0.25416666666666665</v>
      </c>
      <c r="E127" s="13">
        <v>0.2548611111111111</v>
      </c>
      <c r="F127" s="64">
        <v>13.0</v>
      </c>
      <c r="G127" s="65">
        <v>0.3013888888888889</v>
      </c>
      <c r="H127" s="66">
        <v>0.3013888888888889</v>
      </c>
      <c r="I127" s="11">
        <v>16.0</v>
      </c>
      <c r="J127" s="12">
        <v>0.3590277777777778</v>
      </c>
      <c r="K127" s="13">
        <v>0.3625</v>
      </c>
      <c r="L127" s="67">
        <v>23.0</v>
      </c>
      <c r="M127" s="12">
        <v>0.43680555555555556</v>
      </c>
      <c r="N127" s="13">
        <v>0.43819444444444444</v>
      </c>
      <c r="O127" s="38">
        <v>22.0</v>
      </c>
      <c r="P127" s="12">
        <v>0.49722222222222223</v>
      </c>
      <c r="Q127" s="13">
        <v>0.5</v>
      </c>
      <c r="R127" s="11">
        <v>23.0</v>
      </c>
      <c r="S127" s="12">
        <v>0.5569444444444445</v>
      </c>
      <c r="T127" s="13">
        <v>0.5604166666666667</v>
      </c>
      <c r="U127" s="11">
        <v>25.0</v>
      </c>
      <c r="V127" s="12">
        <v>0.6006944444444444</v>
      </c>
      <c r="W127" s="13">
        <v>0.6083333333333333</v>
      </c>
      <c r="X127" s="11">
        <v>24.0</v>
      </c>
      <c r="Y127" s="12"/>
      <c r="Z127" s="13">
        <v>0.6986111111111111</v>
      </c>
      <c r="AA127" s="20">
        <v>26.0</v>
      </c>
      <c r="AB127" s="21">
        <v>0.7520833333333333</v>
      </c>
      <c r="AC127" s="22">
        <v>0.7541666666666667</v>
      </c>
      <c r="AD127" s="18">
        <v>26.0</v>
      </c>
      <c r="AE127" s="12">
        <v>0.83125</v>
      </c>
      <c r="AF127" s="23">
        <v>0.8430555555555556</v>
      </c>
      <c r="AG127" s="11">
        <v>24.0</v>
      </c>
      <c r="AH127" s="12">
        <v>0.9076388888888889</v>
      </c>
      <c r="AI127" s="13">
        <v>0.9125</v>
      </c>
      <c r="AJ127" s="14">
        <v>24.0</v>
      </c>
      <c r="AK127" s="15">
        <v>0.0</v>
      </c>
      <c r="AL127" s="16">
        <v>0.002777777777777778</v>
      </c>
      <c r="AM127" s="11">
        <v>22.0</v>
      </c>
      <c r="AN127" s="12">
        <v>0.06180555555555556</v>
      </c>
      <c r="AO127" s="13">
        <v>0.06944444444444445</v>
      </c>
      <c r="AP127" s="11">
        <v>20.0</v>
      </c>
      <c r="AQ127" s="12">
        <v>0.13333333333333333</v>
      </c>
      <c r="AR127" s="13">
        <v>0.13680555555555557</v>
      </c>
      <c r="AS127" s="11">
        <v>22.0</v>
      </c>
      <c r="AT127" s="12">
        <v>0.25</v>
      </c>
      <c r="AU127" s="13">
        <v>0.2534722222222222</v>
      </c>
      <c r="AV127" s="11">
        <v>23.0</v>
      </c>
      <c r="AW127" s="12">
        <v>0.33611111111111114</v>
      </c>
      <c r="AX127" s="13">
        <v>0.33819444444444446</v>
      </c>
      <c r="AY127" s="34">
        <f t="array" ref="AY127">XLOOKUP(B127,faclon_results_2022!$D:$D,faclon_results_2022!$A:$A,"DNF")</f>
        <v>24</v>
      </c>
      <c r="AZ127" s="12">
        <f t="shared" si="1"/>
        <v>0.3958333333</v>
      </c>
      <c r="BA127" s="18">
        <f t="array" ref="BA127">XLOOKUP(B127,faclon_results_2022!$D:$D,faclon_results_2022!$J:$J)</f>
        <v>28.50852</v>
      </c>
    </row>
    <row r="128" ht="15.75" customHeight="1">
      <c r="A128" s="7"/>
      <c r="B128" s="47">
        <v>645.0</v>
      </c>
      <c r="C128" s="11">
        <v>56.0</v>
      </c>
      <c r="D128" s="12">
        <v>0.26319444444444445</v>
      </c>
      <c r="E128" s="13">
        <v>0.2638888888888889</v>
      </c>
      <c r="F128" s="64">
        <v>72.0</v>
      </c>
      <c r="G128" s="65">
        <v>0.32083333333333336</v>
      </c>
      <c r="H128" s="66">
        <v>0.32083333333333336</v>
      </c>
      <c r="I128" s="11">
        <v>72.0</v>
      </c>
      <c r="J128" s="12">
        <v>0.38680555555555557</v>
      </c>
      <c r="K128" s="13">
        <v>0.38958333333333334</v>
      </c>
      <c r="L128" s="67">
        <v>61.0</v>
      </c>
      <c r="M128" s="12">
        <v>0.46458333333333335</v>
      </c>
      <c r="N128" s="13">
        <v>0.46597222222222223</v>
      </c>
      <c r="O128" s="38">
        <v>54.0</v>
      </c>
      <c r="P128" s="12">
        <v>0.525</v>
      </c>
      <c r="Q128" s="13">
        <v>0.5277777777777778</v>
      </c>
      <c r="R128" s="11">
        <v>50.0</v>
      </c>
      <c r="S128" s="12">
        <v>0.5875</v>
      </c>
      <c r="T128" s="13">
        <v>0.5902777777777778</v>
      </c>
      <c r="U128" s="11">
        <v>52.0</v>
      </c>
      <c r="V128" s="12">
        <v>0.63125</v>
      </c>
      <c r="W128" s="13">
        <v>0.6416666666666667</v>
      </c>
      <c r="X128" s="11">
        <v>47.0</v>
      </c>
      <c r="Y128" s="12"/>
      <c r="Z128" s="13">
        <v>0.7340277777777777</v>
      </c>
      <c r="AA128" s="20">
        <v>44.0</v>
      </c>
      <c r="AB128" s="21">
        <v>0.7902777777777777</v>
      </c>
      <c r="AC128" s="22">
        <v>0.79375</v>
      </c>
      <c r="AD128" s="18">
        <v>40.0</v>
      </c>
      <c r="AE128" s="12">
        <v>0.8770833333333333</v>
      </c>
      <c r="AF128" s="23">
        <v>0.8895833333333333</v>
      </c>
      <c r="AG128" s="11">
        <v>38.0</v>
      </c>
      <c r="AH128" s="12">
        <v>0.9493055555555555</v>
      </c>
      <c r="AI128" s="13">
        <v>0.9569444444444445</v>
      </c>
      <c r="AJ128" s="14">
        <v>36.0</v>
      </c>
      <c r="AK128" s="15">
        <v>0.04513888888888889</v>
      </c>
      <c r="AL128" s="16">
        <v>0.050694444444444445</v>
      </c>
      <c r="AM128" s="11">
        <v>32.0</v>
      </c>
      <c r="AN128" s="12">
        <v>0.10902777777777778</v>
      </c>
      <c r="AO128" s="13">
        <v>0.13333333333333333</v>
      </c>
      <c r="AP128" s="11">
        <v>35.0</v>
      </c>
      <c r="AQ128" s="12">
        <v>0.2</v>
      </c>
      <c r="AR128" s="13">
        <v>0.2076388888888889</v>
      </c>
      <c r="AS128" s="11">
        <v>33.0</v>
      </c>
      <c r="AT128" s="12">
        <v>0.3076388888888889</v>
      </c>
      <c r="AU128" s="13">
        <v>0.32222222222222224</v>
      </c>
      <c r="AV128" s="11">
        <v>37.0</v>
      </c>
      <c r="AW128" s="12">
        <v>0.3958333333333333</v>
      </c>
      <c r="AX128" s="13">
        <v>0.39791666666666664</v>
      </c>
      <c r="AY128" s="34">
        <f t="array" ref="AY128">XLOOKUP(B128,faclon_results_2022!$D:$D,faclon_results_2022!$A:$A,"DNF")</f>
        <v>38</v>
      </c>
      <c r="AZ128" s="12">
        <f t="shared" si="1"/>
        <v>0.4430555556</v>
      </c>
      <c r="BA128" s="18">
        <f t="array" ref="BA128">XLOOKUP(B128,faclon_results_2022!$D:$D,faclon_results_2022!$J:$J)</f>
        <v>29.6449</v>
      </c>
    </row>
    <row r="129" ht="15.75" customHeight="1">
      <c r="A129" s="7"/>
      <c r="B129" s="47">
        <v>647.0</v>
      </c>
      <c r="C129" s="11">
        <v>112.0</v>
      </c>
      <c r="D129" s="12">
        <v>0.26944444444444443</v>
      </c>
      <c r="E129" s="13">
        <v>0.2701388888888889</v>
      </c>
      <c r="F129" s="64">
        <v>107.0</v>
      </c>
      <c r="G129" s="65">
        <v>0.32569444444444445</v>
      </c>
      <c r="H129" s="66">
        <v>0.32569444444444445</v>
      </c>
      <c r="I129" s="11">
        <v>93.0</v>
      </c>
      <c r="J129" s="12">
        <v>0.39375</v>
      </c>
      <c r="K129" s="13">
        <v>0.39861111111111114</v>
      </c>
      <c r="L129" s="67">
        <v>89.0</v>
      </c>
      <c r="M129" s="12">
        <v>0.4840277777777778</v>
      </c>
      <c r="N129" s="13">
        <v>0.4875</v>
      </c>
      <c r="O129" s="38">
        <v>93.0</v>
      </c>
      <c r="P129" s="12">
        <v>0.5569444444444445</v>
      </c>
      <c r="Q129" s="13">
        <v>0.5597222222222222</v>
      </c>
      <c r="R129" s="11">
        <v>89.0</v>
      </c>
      <c r="S129" s="12">
        <v>0.625</v>
      </c>
      <c r="T129" s="13">
        <v>0.6291666666666667</v>
      </c>
      <c r="U129" s="11">
        <v>83.0</v>
      </c>
      <c r="V129" s="12">
        <v>0.6743055555555556</v>
      </c>
      <c r="W129" s="13">
        <v>0.6895833333333333</v>
      </c>
      <c r="X129" s="11">
        <v>92.0</v>
      </c>
      <c r="Y129" s="12"/>
      <c r="Z129" s="13">
        <v>0.7972222222222223</v>
      </c>
      <c r="AA129" s="20">
        <v>90.0</v>
      </c>
      <c r="AB129" s="21">
        <v>0.8597222222222223</v>
      </c>
      <c r="AC129" s="22">
        <v>0.8645833333333334</v>
      </c>
      <c r="AD129" s="18">
        <v>90.0</v>
      </c>
      <c r="AE129" s="12">
        <v>0.9736111111111111</v>
      </c>
      <c r="AF129" s="23">
        <v>0.003472222222222222</v>
      </c>
      <c r="AG129" s="11">
        <v>91.0</v>
      </c>
      <c r="AH129" s="12">
        <v>0.07847222222222222</v>
      </c>
      <c r="AI129" s="13">
        <v>0.08333333333333333</v>
      </c>
      <c r="AJ129" s="14">
        <v>88.0</v>
      </c>
      <c r="AK129" s="15">
        <v>0.1875</v>
      </c>
      <c r="AL129" s="16">
        <v>0.19930555555555557</v>
      </c>
      <c r="AM129" s="11">
        <v>78.0</v>
      </c>
      <c r="AN129" s="12">
        <v>0.2569444444444444</v>
      </c>
      <c r="AO129" s="13">
        <v>0.2743055555555556</v>
      </c>
      <c r="AP129" s="11">
        <v>80.0</v>
      </c>
      <c r="AQ129" s="12">
        <v>0.3402777777777778</v>
      </c>
      <c r="AR129" s="13">
        <v>0.34444444444444444</v>
      </c>
      <c r="AS129" s="11">
        <v>66.0</v>
      </c>
      <c r="AT129" s="12">
        <v>0.4284722222222222</v>
      </c>
      <c r="AU129" s="13">
        <v>0.42986111111111114</v>
      </c>
      <c r="AV129" s="11">
        <v>59.0</v>
      </c>
      <c r="AW129" s="12">
        <v>0.4930555555555556</v>
      </c>
      <c r="AX129" s="13">
        <v>0.4951388888888889</v>
      </c>
      <c r="AY129" s="34">
        <f t="array" ref="AY129">XLOOKUP(B129,faclon_results_2022!$D:$D,faclon_results_2022!$A:$A,"DNF")</f>
        <v>57</v>
      </c>
      <c r="AZ129" s="12">
        <f t="shared" si="1"/>
        <v>0.5395833333</v>
      </c>
      <c r="BA129" s="18">
        <f t="array" ref="BA129">XLOOKUP(B129,faclon_results_2022!$D:$D,faclon_results_2022!$J:$J)</f>
        <v>31.96561</v>
      </c>
    </row>
    <row r="130" ht="15.75" customHeight="1">
      <c r="A130" s="7"/>
      <c r="B130" s="47">
        <v>648.0</v>
      </c>
      <c r="C130" s="11">
        <v>99.0</v>
      </c>
      <c r="D130" s="12">
        <v>0.26805555555555555</v>
      </c>
      <c r="E130" s="13">
        <v>0.26875</v>
      </c>
      <c r="F130" s="64">
        <v>110.0</v>
      </c>
      <c r="G130" s="65">
        <v>0.32569444444444445</v>
      </c>
      <c r="H130" s="66">
        <v>0.32569444444444445</v>
      </c>
      <c r="I130" s="11">
        <v>103.0</v>
      </c>
      <c r="J130" s="12">
        <v>0.39652777777777776</v>
      </c>
      <c r="K130" s="13">
        <v>0.4048611111111111</v>
      </c>
      <c r="L130" s="67">
        <v>104.0</v>
      </c>
      <c r="M130" s="12">
        <v>0.49166666666666664</v>
      </c>
      <c r="N130" s="13">
        <v>0.5041666666666667</v>
      </c>
      <c r="O130" s="38">
        <v>115.0</v>
      </c>
      <c r="P130" s="12">
        <v>0.5777777777777777</v>
      </c>
      <c r="Q130" s="13">
        <v>0.5854166666666667</v>
      </c>
      <c r="R130" s="11">
        <v>133.0</v>
      </c>
      <c r="S130" s="12">
        <v>0.6625</v>
      </c>
      <c r="T130" s="13">
        <v>0.6666666666666666</v>
      </c>
      <c r="U130" s="11">
        <v>141.0</v>
      </c>
      <c r="V130" s="12">
        <v>0.7236111111111111</v>
      </c>
      <c r="W130" s="13">
        <v>0.7597222222222222</v>
      </c>
      <c r="X130" s="11">
        <v>148.0</v>
      </c>
      <c r="Y130" s="12"/>
      <c r="Z130" s="13">
        <v>0.8743055555555556</v>
      </c>
      <c r="AA130" s="20">
        <v>141.0</v>
      </c>
      <c r="AB130" s="21">
        <v>0.94375</v>
      </c>
      <c r="AC130" s="22">
        <v>0.9541666666666667</v>
      </c>
      <c r="AD130" s="18">
        <v>130.0</v>
      </c>
      <c r="AE130" s="12">
        <v>0.05555555555555555</v>
      </c>
      <c r="AF130" s="23">
        <v>0.08541666666666667</v>
      </c>
      <c r="AG130" s="11">
        <v>128.0</v>
      </c>
      <c r="AH130" s="12">
        <v>0.15625</v>
      </c>
      <c r="AI130" s="13">
        <v>0.15833333333333333</v>
      </c>
      <c r="AJ130" s="14">
        <v>119.0</v>
      </c>
      <c r="AK130" s="15">
        <v>0.2534722222222222</v>
      </c>
      <c r="AL130" s="16">
        <v>0.25763888888888886</v>
      </c>
      <c r="AM130" s="11">
        <v>117.0</v>
      </c>
      <c r="AN130" s="12">
        <v>0.3194444444444444</v>
      </c>
      <c r="AO130" s="13">
        <v>0.34375</v>
      </c>
      <c r="AP130" s="11">
        <v>114.0</v>
      </c>
      <c r="AQ130" s="12">
        <v>0.40625</v>
      </c>
      <c r="AR130" s="13">
        <v>0.4111111111111111</v>
      </c>
      <c r="AS130" s="11">
        <v>116.0</v>
      </c>
      <c r="AT130" s="12">
        <v>0.5256944444444445</v>
      </c>
      <c r="AU130" s="13">
        <v>0.5340277777777778</v>
      </c>
      <c r="AV130" s="11">
        <v>116.0</v>
      </c>
      <c r="AW130" s="12">
        <v>0.11805555555555555</v>
      </c>
      <c r="AX130" s="13">
        <v>0.12013888888888889</v>
      </c>
      <c r="AY130" s="34">
        <f t="array" ref="AY130">XLOOKUP(B130,faclon_results_2022!$D:$D,faclon_results_2022!$A:$A,"DNF")</f>
        <v>113</v>
      </c>
      <c r="AZ130" s="12">
        <f t="shared" si="1"/>
        <v>0.6784722222</v>
      </c>
      <c r="BA130" s="18">
        <f t="array" ref="BA130">XLOOKUP(B130,faclon_results_2022!$D:$D,faclon_results_2022!$J:$J)</f>
        <v>35.2869</v>
      </c>
    </row>
    <row r="131" ht="15.75" customHeight="1">
      <c r="A131" s="7"/>
      <c r="B131" s="47">
        <v>649.0</v>
      </c>
      <c r="C131" s="11">
        <v>119.0</v>
      </c>
      <c r="D131" s="12">
        <v>0.26944444444444443</v>
      </c>
      <c r="E131" s="13">
        <v>0.2701388888888889</v>
      </c>
      <c r="F131" s="64">
        <v>112.0</v>
      </c>
      <c r="G131" s="65">
        <v>0.32569444444444445</v>
      </c>
      <c r="H131" s="66">
        <v>0.32569444444444445</v>
      </c>
      <c r="I131" s="11">
        <v>115.0</v>
      </c>
      <c r="J131" s="12">
        <v>0.40069444444444446</v>
      </c>
      <c r="K131" s="13">
        <v>0.41180555555555554</v>
      </c>
      <c r="L131" s="67">
        <v>109.0</v>
      </c>
      <c r="M131" s="12">
        <v>0.49444444444444446</v>
      </c>
      <c r="N131" s="13">
        <v>0.49930555555555556</v>
      </c>
      <c r="O131" s="38">
        <v>112.0</v>
      </c>
      <c r="P131" s="12">
        <v>0.5729166666666666</v>
      </c>
      <c r="Q131" s="13">
        <v>0.5777777777777777</v>
      </c>
      <c r="R131" s="11">
        <v>112.0</v>
      </c>
      <c r="S131" s="12">
        <v>0.6479166666666667</v>
      </c>
      <c r="T131" s="13">
        <v>0.6513888888888889</v>
      </c>
      <c r="U131" s="11">
        <v>133.0</v>
      </c>
      <c r="V131" s="12">
        <v>0.7180555555555556</v>
      </c>
      <c r="W131" s="13">
        <v>0.7319444444444444</v>
      </c>
      <c r="X131" s="11">
        <v>132.0</v>
      </c>
      <c r="Y131" s="12"/>
      <c r="Z131" s="13">
        <v>0.8506944444444444</v>
      </c>
      <c r="AA131" s="20">
        <v>132.0</v>
      </c>
      <c r="AB131" s="21">
        <v>0.9270833333333334</v>
      </c>
      <c r="AC131" s="22">
        <v>0.9298611111111111</v>
      </c>
      <c r="AD131" s="18">
        <v>123.0</v>
      </c>
      <c r="AE131" s="12">
        <v>0.041666666666666664</v>
      </c>
      <c r="AF131" s="23">
        <v>0.05</v>
      </c>
      <c r="AG131" s="11">
        <v>118.0</v>
      </c>
      <c r="AH131" s="12">
        <v>0.12777777777777777</v>
      </c>
      <c r="AI131" s="13">
        <v>0.13333333333333333</v>
      </c>
      <c r="AJ131" s="14">
        <v>114.0</v>
      </c>
      <c r="AK131" s="15">
        <v>0.2375</v>
      </c>
      <c r="AL131" s="16">
        <v>0.2465277777777778</v>
      </c>
      <c r="AM131" s="11">
        <v>112.0</v>
      </c>
      <c r="AN131" s="12">
        <v>0.3125</v>
      </c>
      <c r="AO131" s="13">
        <v>0.33194444444444443</v>
      </c>
      <c r="AP131" s="11">
        <v>113.0</v>
      </c>
      <c r="AQ131" s="12">
        <v>0.40625</v>
      </c>
      <c r="AR131" s="13">
        <v>0.4111111111111111</v>
      </c>
      <c r="AS131" s="11">
        <v>112.0</v>
      </c>
      <c r="AT131" s="12">
        <v>0.5173611111111112</v>
      </c>
      <c r="AU131" s="13">
        <v>0.5222222222222223</v>
      </c>
      <c r="AV131" s="11">
        <v>112.0</v>
      </c>
      <c r="AW131" s="12">
        <v>0.1111111111111111</v>
      </c>
      <c r="AX131" s="13">
        <v>0.1125</v>
      </c>
      <c r="AY131" s="34">
        <f t="array" ref="AY131">XLOOKUP(B131,faclon_results_2022!$D:$D,faclon_results_2022!$A:$A,"DNF")</f>
        <v>112</v>
      </c>
      <c r="AZ131" s="12">
        <f t="shared" si="1"/>
        <v>0.6763888889</v>
      </c>
      <c r="BA131" s="18">
        <f t="array" ref="BA131">XLOOKUP(B131,faclon_results_2022!$D:$D,faclon_results_2022!$J:$J)</f>
        <v>35.23577</v>
      </c>
    </row>
    <row r="132" ht="15.75" customHeight="1">
      <c r="A132" s="7"/>
      <c r="B132" s="47">
        <v>650.0</v>
      </c>
      <c r="C132" s="11">
        <v>28.0</v>
      </c>
      <c r="D132" s="12">
        <v>0.25972222222222224</v>
      </c>
      <c r="E132" s="13">
        <v>0.2604166666666667</v>
      </c>
      <c r="F132" s="64">
        <v>36.0</v>
      </c>
      <c r="G132" s="65">
        <v>0.31180555555555556</v>
      </c>
      <c r="H132" s="66">
        <v>0.31180555555555556</v>
      </c>
      <c r="I132" s="11">
        <v>31.0</v>
      </c>
      <c r="J132" s="12">
        <v>0.36875</v>
      </c>
      <c r="K132" s="13">
        <v>0.3701388888888889</v>
      </c>
      <c r="L132" s="67">
        <v>24.0</v>
      </c>
      <c r="M132" s="30">
        <v>0.44027777777777777</v>
      </c>
      <c r="N132" s="35">
        <v>0.4409722222222222</v>
      </c>
      <c r="O132" s="38">
        <v>24.0</v>
      </c>
      <c r="P132" s="12">
        <v>0.4986111111111111</v>
      </c>
      <c r="Q132" s="13">
        <v>0.5</v>
      </c>
      <c r="R132" s="11">
        <v>19.0</v>
      </c>
      <c r="S132" s="12">
        <v>0.5520833333333334</v>
      </c>
      <c r="T132" s="13">
        <v>0.5534722222222223</v>
      </c>
      <c r="U132" s="11">
        <v>18.0</v>
      </c>
      <c r="V132" s="12">
        <v>0.5909722222222222</v>
      </c>
      <c r="W132" s="13">
        <v>0.59375</v>
      </c>
      <c r="X132" s="11">
        <v>15.0</v>
      </c>
      <c r="Y132" s="12"/>
      <c r="Z132" s="13">
        <v>0.6861111111111111</v>
      </c>
      <c r="AA132" s="20">
        <v>17.0</v>
      </c>
      <c r="AB132" s="21">
        <v>0.7430555555555556</v>
      </c>
      <c r="AC132" s="22">
        <v>0.7458333333333333</v>
      </c>
      <c r="AD132" s="18">
        <v>22.0</v>
      </c>
      <c r="AE132" s="12">
        <v>0.8305555555555556</v>
      </c>
      <c r="AF132" s="23">
        <v>0.8423611111111111</v>
      </c>
      <c r="AG132" s="11">
        <v>22.0</v>
      </c>
      <c r="AH132" s="12">
        <v>0.9048611111111111</v>
      </c>
      <c r="AI132" s="13">
        <v>0.9076388888888889</v>
      </c>
      <c r="AJ132" s="14">
        <v>21.0</v>
      </c>
      <c r="AK132" s="15">
        <v>0.9965277777777778</v>
      </c>
      <c r="AL132" s="16">
        <v>0.9986111111111111</v>
      </c>
      <c r="AM132" s="11">
        <v>21.0</v>
      </c>
      <c r="AN132" s="12">
        <v>0.059722222222222225</v>
      </c>
      <c r="AO132" s="13">
        <v>0.06597222222222222</v>
      </c>
      <c r="AP132" s="11">
        <v>22.0</v>
      </c>
      <c r="AQ132" s="12">
        <v>0.13819444444444445</v>
      </c>
      <c r="AR132" s="13">
        <v>0.1451388888888889</v>
      </c>
      <c r="AS132" s="11">
        <v>25.0</v>
      </c>
      <c r="AT132" s="12">
        <v>0.2604166666666667</v>
      </c>
      <c r="AU132" s="13">
        <v>0.2625</v>
      </c>
      <c r="AV132" s="11">
        <v>24.0</v>
      </c>
      <c r="AW132" s="12">
        <v>0.3375</v>
      </c>
      <c r="AX132" s="13">
        <v>0.3375</v>
      </c>
      <c r="AY132" s="34">
        <f t="array" ref="AY132">XLOOKUP(B132,faclon_results_2022!$D:$D,faclon_results_2022!$A:$A,"DNF")</f>
        <v>23</v>
      </c>
      <c r="AZ132" s="12">
        <f t="shared" si="1"/>
        <v>0.3791666667</v>
      </c>
      <c r="BA132" s="18">
        <f t="array" ref="BA132">XLOOKUP(B132,faclon_results_2022!$D:$D,faclon_results_2022!$J:$J)</f>
        <v>28.11235</v>
      </c>
    </row>
    <row r="133" ht="15.75" customHeight="1">
      <c r="A133" s="7"/>
      <c r="B133" s="47">
        <v>651.0</v>
      </c>
      <c r="C133" s="11">
        <v>123.0</v>
      </c>
      <c r="D133" s="12">
        <v>0.2701388888888889</v>
      </c>
      <c r="E133" s="13">
        <v>0.2708333333333333</v>
      </c>
      <c r="F133" s="64">
        <v>70.0</v>
      </c>
      <c r="G133" s="65">
        <v>0.32083333333333336</v>
      </c>
      <c r="H133" s="66">
        <v>0.32083333333333336</v>
      </c>
      <c r="I133" s="11">
        <v>67.0</v>
      </c>
      <c r="J133" s="12">
        <v>0.3854166666666667</v>
      </c>
      <c r="K133" s="13">
        <v>0.39305555555555555</v>
      </c>
      <c r="L133" s="67">
        <v>73.0</v>
      </c>
      <c r="M133" s="12">
        <v>0.4736111111111111</v>
      </c>
      <c r="N133" s="13">
        <v>0.475</v>
      </c>
      <c r="O133" s="38">
        <v>74.0</v>
      </c>
      <c r="P133" s="12">
        <v>0.5451388888888888</v>
      </c>
      <c r="Q133" s="13">
        <v>0.5472222222222223</v>
      </c>
      <c r="R133" s="11">
        <v>75.0</v>
      </c>
      <c r="S133" s="12">
        <v>0.6125</v>
      </c>
      <c r="T133" s="13">
        <v>0.6131944444444445</v>
      </c>
      <c r="U133" s="11">
        <v>66.0</v>
      </c>
      <c r="V133" s="12">
        <v>0.65625</v>
      </c>
      <c r="W133" s="13">
        <v>0.6722222222222223</v>
      </c>
      <c r="X133" s="11">
        <v>66.0</v>
      </c>
      <c r="Y133" s="12"/>
      <c r="Z133" s="13">
        <v>0.7715277777777778</v>
      </c>
      <c r="AA133" s="20">
        <v>67.0</v>
      </c>
      <c r="AB133" s="21">
        <v>0.8375</v>
      </c>
      <c r="AC133" s="22">
        <v>0.8395833333333333</v>
      </c>
      <c r="AD133" s="18">
        <v>67.0</v>
      </c>
      <c r="AE133" s="12">
        <v>0.9375</v>
      </c>
      <c r="AF133" s="23">
        <v>0.9479166666666666</v>
      </c>
      <c r="AG133" s="11">
        <v>70.0</v>
      </c>
      <c r="AH133" s="12">
        <v>0.02847222222222222</v>
      </c>
      <c r="AI133" s="13">
        <v>0.03194444444444444</v>
      </c>
      <c r="AJ133" s="14">
        <v>65.0</v>
      </c>
      <c r="AK133" s="15">
        <v>0.13333333333333333</v>
      </c>
      <c r="AL133" s="16">
        <v>0.13472222222222222</v>
      </c>
      <c r="AM133" s="11">
        <v>59.0</v>
      </c>
      <c r="AN133" s="12">
        <v>0.2013888888888889</v>
      </c>
      <c r="AO133" s="13">
        <v>0.2152777777777778</v>
      </c>
      <c r="AP133" s="11">
        <v>60.0</v>
      </c>
      <c r="AQ133" s="12">
        <v>0.29375</v>
      </c>
      <c r="AR133" s="13">
        <v>0.2951388888888889</v>
      </c>
      <c r="AS133" s="11">
        <v>55.0</v>
      </c>
      <c r="AT133" s="12">
        <v>0.39791666666666664</v>
      </c>
      <c r="AU133" s="13">
        <v>0.40625</v>
      </c>
      <c r="AV133" s="11">
        <v>58.0</v>
      </c>
      <c r="AW133" s="12">
        <v>0.4930555555555556</v>
      </c>
      <c r="AX133" s="13">
        <v>0.4951388888888889</v>
      </c>
      <c r="AY133" s="34">
        <f t="array" ref="AY133">XLOOKUP(B133,faclon_results_2022!$D:$D,faclon_results_2022!$A:$A,"DNF")</f>
        <v>61</v>
      </c>
      <c r="AZ133" s="12">
        <f t="shared" si="1"/>
        <v>0.5548611111</v>
      </c>
      <c r="BA133" s="18">
        <f t="array" ref="BA133">XLOOKUP(B133,faclon_results_2022!$D:$D,faclon_results_2022!$J:$J)</f>
        <v>32.33026</v>
      </c>
    </row>
    <row r="134" ht="15.75" customHeight="1">
      <c r="A134" s="7"/>
      <c r="B134" s="47">
        <v>653.0</v>
      </c>
      <c r="C134" s="11">
        <v>41.0</v>
      </c>
      <c r="D134" s="12">
        <v>0.2604166666666667</v>
      </c>
      <c r="E134" s="13">
        <v>0.26180555555555557</v>
      </c>
      <c r="F134" s="64">
        <v>45.0</v>
      </c>
      <c r="G134" s="65">
        <v>0.3138888888888889</v>
      </c>
      <c r="H134" s="66">
        <v>0.3138888888888889</v>
      </c>
      <c r="I134" s="11">
        <v>47.0</v>
      </c>
      <c r="J134" s="12">
        <v>0.375</v>
      </c>
      <c r="K134" s="13">
        <v>0.38125</v>
      </c>
      <c r="L134" s="67">
        <v>54.0</v>
      </c>
      <c r="M134" s="12">
        <v>0.46111111111111114</v>
      </c>
      <c r="N134" s="13">
        <v>0.4652777777777778</v>
      </c>
      <c r="O134" s="38">
        <v>60.0</v>
      </c>
      <c r="P134" s="12">
        <v>0.53125</v>
      </c>
      <c r="Q134" s="13">
        <v>0.5368055555555555</v>
      </c>
      <c r="R134" s="11">
        <v>61.0</v>
      </c>
      <c r="S134" s="12">
        <v>0.5986111111111111</v>
      </c>
      <c r="T134" s="13">
        <v>0.6020833333333333</v>
      </c>
      <c r="U134" s="11">
        <v>62.0</v>
      </c>
      <c r="V134" s="12">
        <v>0.6458333333333334</v>
      </c>
      <c r="W134" s="13">
        <v>0.6597222222222222</v>
      </c>
      <c r="X134" s="11">
        <v>63.0</v>
      </c>
      <c r="Y134" s="12"/>
      <c r="Z134" s="13">
        <v>0.7645833333333333</v>
      </c>
      <c r="AA134" s="20">
        <v>64.0</v>
      </c>
      <c r="AB134" s="21">
        <v>0.8277777777777777</v>
      </c>
      <c r="AC134" s="22">
        <v>0.8326388888888889</v>
      </c>
      <c r="AD134" s="18">
        <v>64.0</v>
      </c>
      <c r="AE134" s="12">
        <v>0.93125</v>
      </c>
      <c r="AF134" s="23">
        <v>0.9465277777777777</v>
      </c>
      <c r="AG134" s="11">
        <v>69.0</v>
      </c>
      <c r="AH134" s="12">
        <v>0.024305555555555556</v>
      </c>
      <c r="AI134" s="13">
        <v>0.03194444444444444</v>
      </c>
      <c r="AJ134" s="14">
        <v>69.0</v>
      </c>
      <c r="AK134" s="15">
        <v>0.14097222222222222</v>
      </c>
      <c r="AL134" s="16">
        <v>0.1527777777777778</v>
      </c>
      <c r="AM134" s="11">
        <v>66.0</v>
      </c>
      <c r="AN134" s="12">
        <v>0.21666666666666667</v>
      </c>
      <c r="AO134" s="13">
        <v>0.22916666666666666</v>
      </c>
      <c r="AP134" s="11">
        <v>66.0</v>
      </c>
      <c r="AQ134" s="12">
        <v>0.3138888888888889</v>
      </c>
      <c r="AR134" s="13">
        <v>0.32013888888888886</v>
      </c>
      <c r="AS134" s="11">
        <v>65.0</v>
      </c>
      <c r="AT134" s="12">
        <v>0.42430555555555555</v>
      </c>
      <c r="AU134" s="13">
        <v>0.4305555555555556</v>
      </c>
      <c r="AV134" s="11">
        <v>66.0</v>
      </c>
      <c r="AW134" s="12">
        <v>0.5152777777777777</v>
      </c>
      <c r="AX134" s="13">
        <v>0.5180555555555556</v>
      </c>
      <c r="AY134" s="34">
        <f t="array" ref="AY134">XLOOKUP(B134,faclon_results_2022!$D:$D,faclon_results_2022!$A:$A,"DNF")</f>
        <v>67</v>
      </c>
      <c r="AZ134" s="12">
        <f t="shared" si="1"/>
        <v>0.5736111111</v>
      </c>
      <c r="BA134" s="18">
        <f t="array" ref="BA134">XLOOKUP(B134,faclon_results_2022!$D:$D,faclon_results_2022!$J:$J)</f>
        <v>32.77693</v>
      </c>
    </row>
    <row r="135" ht="15.75" customHeight="1">
      <c r="A135" s="7"/>
      <c r="B135" s="47">
        <v>654.0</v>
      </c>
      <c r="C135" s="11">
        <v>192.0</v>
      </c>
      <c r="D135" s="12">
        <v>0.28125</v>
      </c>
      <c r="E135" s="13">
        <v>0.28194444444444444</v>
      </c>
      <c r="F135" s="64">
        <v>194.0</v>
      </c>
      <c r="G135" s="65">
        <v>0.35555555555555557</v>
      </c>
      <c r="H135" s="66">
        <v>0.35555555555555557</v>
      </c>
      <c r="I135" s="11">
        <v>198.0</v>
      </c>
      <c r="J135" s="12">
        <v>0.44722222222222224</v>
      </c>
      <c r="K135" s="13">
        <v>0.45416666666666666</v>
      </c>
      <c r="L135" s="67">
        <v>194.0</v>
      </c>
      <c r="M135" s="12">
        <v>0.5736111111111111</v>
      </c>
      <c r="N135" s="13">
        <v>0.5958333333333333</v>
      </c>
      <c r="O135" s="38">
        <v>194.0</v>
      </c>
      <c r="P135" s="12">
        <v>0.6923611111111111</v>
      </c>
      <c r="Q135" s="38" t="s">
        <v>178</v>
      </c>
      <c r="R135" s="11"/>
      <c r="S135" s="18"/>
      <c r="T135" s="13"/>
      <c r="U135" s="11"/>
      <c r="V135" s="12"/>
      <c r="W135" s="13"/>
      <c r="X135" s="11"/>
      <c r="Y135" s="12"/>
      <c r="Z135" s="13"/>
      <c r="AA135" s="20"/>
      <c r="AB135" s="20"/>
      <c r="AC135" s="70"/>
      <c r="AD135" s="18"/>
      <c r="AE135" s="18"/>
      <c r="AF135" s="47"/>
      <c r="AG135" s="11"/>
      <c r="AH135" s="12"/>
      <c r="AI135" s="13"/>
      <c r="AJ135" s="68"/>
      <c r="AK135" s="68"/>
      <c r="AL135" s="69"/>
      <c r="AM135" s="11"/>
      <c r="AN135" s="12"/>
      <c r="AO135" s="13"/>
      <c r="AP135" s="11"/>
      <c r="AQ135" s="12"/>
      <c r="AR135" s="13"/>
      <c r="AS135" s="11"/>
      <c r="AT135" s="12"/>
      <c r="AU135" s="13"/>
      <c r="AV135" s="11"/>
      <c r="AW135" s="12"/>
      <c r="AX135" s="13"/>
      <c r="AY135" s="34" t="str">
        <f t="array" ref="AY135">XLOOKUP(B135,faclon_results_2022!$D:$D,faclon_results_2022!$A:$A,"DNF")</f>
        <v>DNF</v>
      </c>
      <c r="AZ135" s="12" t="str">
        <f t="shared" si="1"/>
        <v>#N/A</v>
      </c>
      <c r="BA135" s="18" t="str">
        <f t="array" ref="BA135">XLOOKUP(B135,faclon_results_2022!$D:$D,faclon_results_2022!$J:$J)</f>
        <v>#N/A</v>
      </c>
    </row>
    <row r="136" ht="15.75" customHeight="1">
      <c r="A136" s="7"/>
      <c r="B136" s="47">
        <v>655.0</v>
      </c>
      <c r="C136" s="11">
        <v>54.0</v>
      </c>
      <c r="D136" s="12">
        <v>0.26319444444444445</v>
      </c>
      <c r="E136" s="13">
        <v>0.2638888888888889</v>
      </c>
      <c r="F136" s="64">
        <v>43.0</v>
      </c>
      <c r="G136" s="65">
        <v>0.3138888888888889</v>
      </c>
      <c r="H136" s="66">
        <v>0.3138888888888889</v>
      </c>
      <c r="I136" s="11">
        <v>40.0</v>
      </c>
      <c r="J136" s="12">
        <v>0.3715277777777778</v>
      </c>
      <c r="K136" s="13">
        <v>0.37569444444444444</v>
      </c>
      <c r="L136" s="67">
        <v>31.0</v>
      </c>
      <c r="M136" s="12">
        <v>0.44583333333333336</v>
      </c>
      <c r="N136" s="13">
        <v>0.44722222222222224</v>
      </c>
      <c r="O136" s="38">
        <v>27.0</v>
      </c>
      <c r="P136" s="12">
        <v>0.5020833333333333</v>
      </c>
      <c r="Q136" s="13">
        <v>0.5041666666666667</v>
      </c>
      <c r="R136" s="11">
        <v>27.0</v>
      </c>
      <c r="S136" s="12">
        <v>0.5604166666666667</v>
      </c>
      <c r="T136" s="13">
        <v>0.5625</v>
      </c>
      <c r="U136" s="11">
        <v>26.0</v>
      </c>
      <c r="V136" s="12">
        <v>0.6020833333333333</v>
      </c>
      <c r="W136" s="13">
        <v>0.6097222222222223</v>
      </c>
      <c r="X136" s="11">
        <v>26.0</v>
      </c>
      <c r="Y136" s="12"/>
      <c r="Z136" s="13">
        <v>0.6993055555555555</v>
      </c>
      <c r="AA136" s="20">
        <v>22.0</v>
      </c>
      <c r="AB136" s="21">
        <v>0.7486111111111111</v>
      </c>
      <c r="AC136" s="22">
        <v>0.7534722222222222</v>
      </c>
      <c r="AD136" s="18">
        <v>21.0</v>
      </c>
      <c r="AE136" s="12">
        <v>0.8305555555555556</v>
      </c>
      <c r="AF136" s="23">
        <v>0.84375</v>
      </c>
      <c r="AG136" s="11">
        <v>21.0</v>
      </c>
      <c r="AH136" s="12">
        <v>0.9020833333333333</v>
      </c>
      <c r="AI136" s="13">
        <v>0.9048611111111111</v>
      </c>
      <c r="AJ136" s="14">
        <v>20.0</v>
      </c>
      <c r="AK136" s="15">
        <v>0.9902777777777778</v>
      </c>
      <c r="AL136" s="16">
        <v>0.9930555555555556</v>
      </c>
      <c r="AM136" s="11">
        <v>19.0</v>
      </c>
      <c r="AN136" s="12">
        <v>0.049305555555555554</v>
      </c>
      <c r="AO136" s="13">
        <v>0.059722222222222225</v>
      </c>
      <c r="AP136" s="11">
        <v>19.0</v>
      </c>
      <c r="AQ136" s="12">
        <v>0.12361111111111112</v>
      </c>
      <c r="AR136" s="13">
        <v>0.12777777777777777</v>
      </c>
      <c r="AS136" s="11">
        <v>19.0</v>
      </c>
      <c r="AT136" s="12">
        <v>0.23194444444444445</v>
      </c>
      <c r="AU136" s="13">
        <v>0.23819444444444443</v>
      </c>
      <c r="AV136" s="11">
        <v>18.0</v>
      </c>
      <c r="AW136" s="12">
        <v>0.30625</v>
      </c>
      <c r="AX136" s="13">
        <v>0.30625</v>
      </c>
      <c r="AY136" s="34">
        <f t="array" ref="AY136">XLOOKUP(B136,faclon_results_2022!$D:$D,faclon_results_2022!$A:$A,"DNF")</f>
        <v>18</v>
      </c>
      <c r="AZ136" s="12">
        <f t="shared" si="1"/>
        <v>0.3548611111</v>
      </c>
      <c r="BA136" s="18">
        <f t="array" ref="BA136">XLOOKUP(B136,faclon_results_2022!$D:$D,faclon_results_2022!$J:$J)</f>
        <v>27.52263</v>
      </c>
    </row>
    <row r="137" ht="15.75" customHeight="1">
      <c r="A137" s="7"/>
      <c r="B137" s="47">
        <v>657.0</v>
      </c>
      <c r="C137" s="11">
        <v>198.0</v>
      </c>
      <c r="D137" s="12">
        <v>0.2833333333333333</v>
      </c>
      <c r="E137" s="13">
        <v>0.28402777777777777</v>
      </c>
      <c r="F137" s="64"/>
      <c r="G137" s="65"/>
      <c r="H137" s="66"/>
      <c r="I137" s="11">
        <v>185.0</v>
      </c>
      <c r="J137" s="12">
        <v>0.4284722222222222</v>
      </c>
      <c r="K137" s="13">
        <v>0.4361111111111111</v>
      </c>
      <c r="L137" s="67">
        <v>175.0</v>
      </c>
      <c r="M137" s="12">
        <v>0.5347222222222222</v>
      </c>
      <c r="N137" s="13">
        <v>0.5402777777777777</v>
      </c>
      <c r="O137" s="38">
        <v>170.0</v>
      </c>
      <c r="P137" s="12">
        <v>0.6138888888888889</v>
      </c>
      <c r="Q137" s="13">
        <v>0.6166666666666667</v>
      </c>
      <c r="R137" s="11">
        <v>167.0</v>
      </c>
      <c r="S137" s="12">
        <v>0.6944444444444444</v>
      </c>
      <c r="T137" s="13">
        <v>0.6979166666666666</v>
      </c>
      <c r="U137" s="11">
        <v>167.0</v>
      </c>
      <c r="V137" s="12">
        <v>0.7534722222222222</v>
      </c>
      <c r="W137" s="13">
        <v>0.7722222222222223</v>
      </c>
      <c r="X137" s="11">
        <v>165.0</v>
      </c>
      <c r="Y137" s="12"/>
      <c r="Z137" s="13">
        <v>0.90625</v>
      </c>
      <c r="AA137" s="20">
        <v>165.0</v>
      </c>
      <c r="AB137" s="21">
        <v>0.9881944444444445</v>
      </c>
      <c r="AC137" s="22">
        <v>0.9930555555555556</v>
      </c>
      <c r="AD137" s="18">
        <v>155.0</v>
      </c>
      <c r="AE137" s="12">
        <v>0.10347222222222222</v>
      </c>
      <c r="AF137" s="23">
        <v>0.11875</v>
      </c>
      <c r="AG137" s="11">
        <v>139.0</v>
      </c>
      <c r="AH137" s="12">
        <v>0.18541666666666667</v>
      </c>
      <c r="AI137" s="13">
        <v>0.18888888888888888</v>
      </c>
      <c r="AJ137" s="14">
        <v>128.0</v>
      </c>
      <c r="AK137" s="15">
        <v>0.2861111111111111</v>
      </c>
      <c r="AL137" s="16">
        <v>0.2875</v>
      </c>
      <c r="AM137" s="11">
        <v>120.0</v>
      </c>
      <c r="AN137" s="12">
        <v>0.3368055555555556</v>
      </c>
      <c r="AO137" s="13">
        <v>0.34375</v>
      </c>
      <c r="AP137" s="11">
        <v>116.0</v>
      </c>
      <c r="AQ137" s="12">
        <v>0.41458333333333336</v>
      </c>
      <c r="AR137" s="13">
        <v>0.41944444444444445</v>
      </c>
      <c r="AS137" s="11">
        <v>115.0</v>
      </c>
      <c r="AT137" s="12">
        <v>0.5236111111111111</v>
      </c>
      <c r="AU137" s="13">
        <v>0.5347222222222222</v>
      </c>
      <c r="AV137" s="11">
        <v>114.0</v>
      </c>
      <c r="AW137" s="12">
        <v>0.11666666666666667</v>
      </c>
      <c r="AX137" s="13">
        <v>0.11736111111111111</v>
      </c>
      <c r="AY137" s="34">
        <f t="array" ref="AY137">XLOOKUP(B137,faclon_results_2022!$D:$D,faclon_results_2022!$A:$A,"DNF")</f>
        <v>114</v>
      </c>
      <c r="AZ137" s="12">
        <f t="shared" si="1"/>
        <v>0.6826388889</v>
      </c>
      <c r="BA137" s="18">
        <f t="array" ref="BA137">XLOOKUP(B137,faclon_results_2022!$D:$D,faclon_results_2022!$J:$J)</f>
        <v>35.39941</v>
      </c>
    </row>
    <row r="138" ht="15.75" customHeight="1">
      <c r="A138" s="7"/>
      <c r="B138" s="47">
        <v>662.0</v>
      </c>
      <c r="C138" s="11">
        <v>53.0</v>
      </c>
      <c r="D138" s="12">
        <v>0.26319444444444445</v>
      </c>
      <c r="E138" s="13">
        <v>0.2638888888888889</v>
      </c>
      <c r="F138" s="64">
        <v>187.0</v>
      </c>
      <c r="G138" s="65">
        <v>0.3527777777777778</v>
      </c>
      <c r="H138" s="66">
        <v>0.3527777777777778</v>
      </c>
      <c r="I138" s="11">
        <v>46.0</v>
      </c>
      <c r="J138" s="12">
        <v>0.375</v>
      </c>
      <c r="K138" s="13">
        <v>0.3784722222222222</v>
      </c>
      <c r="L138" s="67">
        <v>43.0</v>
      </c>
      <c r="M138" s="12">
        <v>0.4527777777777778</v>
      </c>
      <c r="N138" s="13">
        <v>0.4548611111111111</v>
      </c>
      <c r="O138" s="38">
        <v>43.0</v>
      </c>
      <c r="P138" s="12">
        <v>0.5125</v>
      </c>
      <c r="Q138" s="13">
        <v>0.5152777777777777</v>
      </c>
      <c r="R138" s="11">
        <v>41.0</v>
      </c>
      <c r="S138" s="12">
        <v>0.5708333333333333</v>
      </c>
      <c r="T138" s="13">
        <v>0.5729166666666666</v>
      </c>
      <c r="U138" s="11">
        <v>35.0</v>
      </c>
      <c r="V138" s="12">
        <v>0.6111111111111112</v>
      </c>
      <c r="W138" s="13">
        <v>0.6166666666666667</v>
      </c>
      <c r="X138" s="11">
        <v>31.0</v>
      </c>
      <c r="Y138" s="12"/>
      <c r="Z138" s="13">
        <v>0.7111111111111111</v>
      </c>
      <c r="AA138" s="20">
        <v>30.0</v>
      </c>
      <c r="AB138" s="21">
        <v>0.7666666666666667</v>
      </c>
      <c r="AC138" s="22">
        <v>0.7694444444444445</v>
      </c>
      <c r="AD138" s="18">
        <v>29.0</v>
      </c>
      <c r="AE138" s="12">
        <v>0.8493055555555555</v>
      </c>
      <c r="AF138" s="23">
        <v>0.85625</v>
      </c>
      <c r="AG138" s="11">
        <v>28.0</v>
      </c>
      <c r="AH138" s="12">
        <v>0.9291666666666667</v>
      </c>
      <c r="AI138" s="13">
        <v>0.9319444444444445</v>
      </c>
      <c r="AJ138" s="14">
        <v>26.0</v>
      </c>
      <c r="AK138" s="15">
        <v>0.021527777777777778</v>
      </c>
      <c r="AL138" s="16">
        <v>0.025</v>
      </c>
      <c r="AM138" s="11">
        <v>24.0</v>
      </c>
      <c r="AN138" s="12">
        <v>0.07847222222222222</v>
      </c>
      <c r="AO138" s="13">
        <v>0.08819444444444445</v>
      </c>
      <c r="AP138" s="11">
        <v>25.0</v>
      </c>
      <c r="AQ138" s="12">
        <v>0.15416666666666667</v>
      </c>
      <c r="AR138" s="13">
        <v>0.15694444444444444</v>
      </c>
      <c r="AS138" s="11">
        <v>23.0</v>
      </c>
      <c r="AT138" s="12">
        <v>0.25972222222222224</v>
      </c>
      <c r="AU138" s="13">
        <v>0.2604166666666667</v>
      </c>
      <c r="AV138" s="11">
        <v>25.0</v>
      </c>
      <c r="AW138" s="12">
        <v>0.3451388888888889</v>
      </c>
      <c r="AX138" s="13">
        <v>0.34652777777777777</v>
      </c>
      <c r="AY138" s="34">
        <f t="array" ref="AY138">XLOOKUP(B138,faclon_results_2022!$D:$D,faclon_results_2022!$A:$A,"DNF")</f>
        <v>27</v>
      </c>
      <c r="AZ138" s="12">
        <f t="shared" si="1"/>
        <v>0.4076388889</v>
      </c>
      <c r="BA138" s="18">
        <f t="array" ref="BA138">XLOOKUP(B138,faclon_results_2022!$D:$D,faclon_results_2022!$J:$J)</f>
        <v>28.79938</v>
      </c>
    </row>
    <row r="139" ht="15.75" customHeight="1">
      <c r="A139" s="7"/>
      <c r="B139" s="47">
        <v>663.0</v>
      </c>
      <c r="C139" s="11">
        <v>74.0</v>
      </c>
      <c r="D139" s="12">
        <v>0.26458333333333334</v>
      </c>
      <c r="E139" s="13">
        <v>0.2652777777777778</v>
      </c>
      <c r="F139" s="64">
        <v>91.0</v>
      </c>
      <c r="G139" s="65">
        <v>0.32430555555555557</v>
      </c>
      <c r="H139" s="66">
        <v>0.32430555555555557</v>
      </c>
      <c r="I139" s="11">
        <v>95.0</v>
      </c>
      <c r="J139" s="12">
        <v>0.3951388888888889</v>
      </c>
      <c r="K139" s="13">
        <v>0.3972222222222222</v>
      </c>
      <c r="L139" s="67">
        <v>95.0</v>
      </c>
      <c r="M139" s="12">
        <v>0.48541666666666666</v>
      </c>
      <c r="N139" s="13">
        <v>0.48680555555555555</v>
      </c>
      <c r="O139" s="38">
        <v>92.0</v>
      </c>
      <c r="P139" s="12">
        <v>0.5569444444444445</v>
      </c>
      <c r="Q139" s="13">
        <v>0.5576388888888889</v>
      </c>
      <c r="R139" s="11">
        <v>87.0</v>
      </c>
      <c r="S139" s="12">
        <v>0.625</v>
      </c>
      <c r="T139" s="13">
        <v>0.6270833333333333</v>
      </c>
      <c r="U139" s="11">
        <v>85.0</v>
      </c>
      <c r="V139" s="12">
        <v>0.6743055555555556</v>
      </c>
      <c r="W139" s="13">
        <v>0.6791666666666667</v>
      </c>
      <c r="X139" s="11">
        <v>71.0</v>
      </c>
      <c r="Y139" s="12"/>
      <c r="Z139" s="13">
        <v>0.7784722222222222</v>
      </c>
      <c r="AA139" s="20">
        <v>66.0</v>
      </c>
      <c r="AB139" s="21">
        <v>0.8368055555555556</v>
      </c>
      <c r="AC139" s="22">
        <v>0.8388888888888889</v>
      </c>
      <c r="AD139" s="18">
        <v>65.0</v>
      </c>
      <c r="AE139" s="12">
        <v>0.9340277777777778</v>
      </c>
      <c r="AF139" s="23">
        <v>0.9381944444444444</v>
      </c>
      <c r="AG139" s="11">
        <v>55.0</v>
      </c>
      <c r="AH139" s="12">
        <v>0.009027777777777777</v>
      </c>
      <c r="AI139" s="13">
        <v>0.011805555555555555</v>
      </c>
      <c r="AJ139" s="14">
        <v>51.0</v>
      </c>
      <c r="AK139" s="15">
        <v>0.10416666666666667</v>
      </c>
      <c r="AL139" s="16">
        <v>0.10486111111111111</v>
      </c>
      <c r="AM139" s="11">
        <v>47.0</v>
      </c>
      <c r="AN139" s="12">
        <v>0.16458333333333333</v>
      </c>
      <c r="AO139" s="13">
        <v>0.16875</v>
      </c>
      <c r="AP139" s="11">
        <v>43.0</v>
      </c>
      <c r="AQ139" s="12">
        <v>0.2388888888888889</v>
      </c>
      <c r="AR139" s="13">
        <v>0.24027777777777778</v>
      </c>
      <c r="AS139" s="11">
        <v>45.0</v>
      </c>
      <c r="AT139" s="12">
        <v>0.34444444444444444</v>
      </c>
      <c r="AU139" s="13">
        <v>0.34652777777777777</v>
      </c>
      <c r="AV139" s="11">
        <v>45.0</v>
      </c>
      <c r="AW139" s="12">
        <v>0.4222222222222222</v>
      </c>
      <c r="AX139" s="13">
        <v>0.42291666666666666</v>
      </c>
      <c r="AY139" s="34">
        <f t="array" ref="AY139">XLOOKUP(B139,faclon_results_2022!$D:$D,faclon_results_2022!$A:$A,"DNF")</f>
        <v>45</v>
      </c>
      <c r="AZ139" s="12">
        <f t="shared" si="1"/>
        <v>0.4722222222</v>
      </c>
      <c r="BA139" s="18">
        <f t="array" ref="BA139">XLOOKUP(B139,faclon_results_2022!$D:$D,faclon_results_2022!$J:$J)</f>
        <v>30.34619</v>
      </c>
    </row>
    <row r="140" ht="15.75" customHeight="1">
      <c r="A140" s="7"/>
      <c r="B140" s="47">
        <v>664.0</v>
      </c>
      <c r="C140" s="11">
        <v>158.0</v>
      </c>
      <c r="D140" s="12">
        <v>0.2743055555555556</v>
      </c>
      <c r="E140" s="13">
        <v>0.275</v>
      </c>
      <c r="F140" s="64"/>
      <c r="G140" s="65"/>
      <c r="H140" s="66"/>
      <c r="I140" s="11">
        <v>170.0</v>
      </c>
      <c r="J140" s="12">
        <v>0.4222222222222222</v>
      </c>
      <c r="K140" s="13">
        <v>0.42986111111111114</v>
      </c>
      <c r="L140" s="67">
        <v>162.0</v>
      </c>
      <c r="M140" s="12">
        <v>0.5270833333333333</v>
      </c>
      <c r="N140" s="13">
        <v>0.5305555555555556</v>
      </c>
      <c r="O140" s="38">
        <v>161.0</v>
      </c>
      <c r="P140" s="12">
        <v>0.60625</v>
      </c>
      <c r="Q140" s="13">
        <v>0.6097222222222223</v>
      </c>
      <c r="R140" s="11">
        <v>152.0</v>
      </c>
      <c r="S140" s="12">
        <v>0.68125</v>
      </c>
      <c r="T140" s="13">
        <v>0.6847222222222222</v>
      </c>
      <c r="U140" s="11">
        <v>152.0</v>
      </c>
      <c r="V140" s="12">
        <v>0.7395833333333334</v>
      </c>
      <c r="W140" s="13">
        <v>0.75625</v>
      </c>
      <c r="X140" s="11">
        <v>140.0</v>
      </c>
      <c r="Y140" s="12"/>
      <c r="Z140" s="13">
        <v>0.8673611111111111</v>
      </c>
      <c r="AA140" s="20">
        <v>144.0</v>
      </c>
      <c r="AB140" s="21">
        <v>0.9444444444444444</v>
      </c>
      <c r="AC140" s="22">
        <v>0.95</v>
      </c>
      <c r="AD140" s="18">
        <v>148.0</v>
      </c>
      <c r="AE140" s="12">
        <v>0.08611111111111111</v>
      </c>
      <c r="AF140" s="47" t="s">
        <v>178</v>
      </c>
      <c r="AG140" s="11"/>
      <c r="AH140" s="12"/>
      <c r="AI140" s="38"/>
      <c r="AJ140" s="68"/>
      <c r="AK140" s="68"/>
      <c r="AL140" s="69"/>
      <c r="AM140" s="11"/>
      <c r="AN140" s="12"/>
      <c r="AO140" s="38"/>
      <c r="AP140" s="11"/>
      <c r="AQ140" s="12"/>
      <c r="AR140" s="38"/>
      <c r="AS140" s="11"/>
      <c r="AT140" s="12"/>
      <c r="AU140" s="38"/>
      <c r="AV140" s="11"/>
      <c r="AW140" s="12"/>
      <c r="AX140" s="38"/>
      <c r="AY140" s="34" t="str">
        <f t="array" ref="AY140">XLOOKUP(B140,faclon_results_2022!$D:$D,faclon_results_2022!$A:$A,"DNF")</f>
        <v>DNF</v>
      </c>
      <c r="AZ140" s="12" t="str">
        <f t="shared" si="1"/>
        <v>#N/A</v>
      </c>
      <c r="BA140" s="18" t="str">
        <f t="array" ref="BA140">XLOOKUP(B140,faclon_results_2022!$D:$D,faclon_results_2022!$J:$J)</f>
        <v>#N/A</v>
      </c>
    </row>
    <row r="141" ht="15.75" customHeight="1">
      <c r="A141" s="7"/>
      <c r="B141" s="47">
        <v>665.0</v>
      </c>
      <c r="C141" s="11">
        <v>159.0</v>
      </c>
      <c r="D141" s="12">
        <v>0.2743055555555556</v>
      </c>
      <c r="E141" s="13">
        <v>0.275</v>
      </c>
      <c r="F141" s="64"/>
      <c r="G141" s="65"/>
      <c r="H141" s="66"/>
      <c r="I141" s="11">
        <v>169.0</v>
      </c>
      <c r="J141" s="12">
        <v>0.4222222222222222</v>
      </c>
      <c r="K141" s="13">
        <v>0.42986111111111114</v>
      </c>
      <c r="L141" s="67">
        <v>161.0</v>
      </c>
      <c r="M141" s="12">
        <v>0.5270833333333333</v>
      </c>
      <c r="N141" s="12">
        <v>0.53125</v>
      </c>
      <c r="O141" s="38">
        <v>162.0</v>
      </c>
      <c r="P141" s="12">
        <v>0.60625</v>
      </c>
      <c r="Q141" s="13">
        <v>0.6097222222222223</v>
      </c>
      <c r="R141" s="11">
        <v>151.0</v>
      </c>
      <c r="S141" s="12">
        <v>0.68125</v>
      </c>
      <c r="T141" s="13">
        <v>0.6847222222222222</v>
      </c>
      <c r="U141" s="11">
        <v>151.0</v>
      </c>
      <c r="V141" s="12">
        <v>0.7395833333333334</v>
      </c>
      <c r="W141" s="13">
        <v>0.75625</v>
      </c>
      <c r="X141" s="11">
        <v>141.0</v>
      </c>
      <c r="Y141" s="12"/>
      <c r="Z141" s="13">
        <v>0.8673611111111111</v>
      </c>
      <c r="AA141" s="20">
        <v>145.0</v>
      </c>
      <c r="AB141" s="21">
        <v>0.9444444444444444</v>
      </c>
      <c r="AC141" s="22">
        <v>0.95</v>
      </c>
      <c r="AD141" s="18">
        <v>141.0</v>
      </c>
      <c r="AE141" s="12">
        <v>0.06875</v>
      </c>
      <c r="AF141" s="23">
        <v>0.09513888888888888</v>
      </c>
      <c r="AG141" s="11">
        <v>129.0</v>
      </c>
      <c r="AH141" s="12">
        <v>0.15833333333333333</v>
      </c>
      <c r="AI141" s="13">
        <v>0.16041666666666668</v>
      </c>
      <c r="AJ141" s="14">
        <v>118.0</v>
      </c>
      <c r="AK141" s="15">
        <v>0.2520833333333333</v>
      </c>
      <c r="AL141" s="16">
        <v>0.2534722222222222</v>
      </c>
      <c r="AM141" s="11">
        <v>109.0</v>
      </c>
      <c r="AN141" s="12">
        <v>0.3076388888888889</v>
      </c>
      <c r="AO141" s="13">
        <v>0.31527777777777777</v>
      </c>
      <c r="AP141" s="11">
        <v>98.0</v>
      </c>
      <c r="AQ141" s="12">
        <v>0.36666666666666664</v>
      </c>
      <c r="AR141" s="13">
        <v>0.37083333333333335</v>
      </c>
      <c r="AS141" s="11">
        <v>70.0</v>
      </c>
      <c r="AT141" s="12">
        <v>0.4395833333333333</v>
      </c>
      <c r="AU141" s="13">
        <v>0.44166666666666665</v>
      </c>
      <c r="AV141" s="11">
        <v>56.0</v>
      </c>
      <c r="AW141" s="12">
        <v>0.4895833333333333</v>
      </c>
      <c r="AX141" s="13">
        <v>0.49027777777777776</v>
      </c>
      <c r="AY141" s="34">
        <f t="array" ref="AY141">XLOOKUP(B141,faclon_results_2022!$D:$D,faclon_results_2022!$A:$A,"DNF")</f>
        <v>53</v>
      </c>
      <c r="AZ141" s="12">
        <f t="shared" si="1"/>
        <v>0.5194444444</v>
      </c>
      <c r="BA141" s="18">
        <f t="array" ref="BA141">XLOOKUP(B141,faclon_results_2022!$D:$D,faclon_results_2022!$J:$J)</f>
        <v>31.48081</v>
      </c>
    </row>
    <row r="142" ht="15.75" customHeight="1">
      <c r="A142" s="7"/>
      <c r="B142" s="47">
        <v>667.0</v>
      </c>
      <c r="C142" s="11">
        <v>188.0</v>
      </c>
      <c r="D142" s="12">
        <v>0.2798611111111111</v>
      </c>
      <c r="E142" s="13">
        <v>0.28055555555555556</v>
      </c>
      <c r="F142" s="64">
        <v>174.0</v>
      </c>
      <c r="G142" s="65">
        <v>0.3416666666666667</v>
      </c>
      <c r="H142" s="66">
        <v>0.3416666666666667</v>
      </c>
      <c r="I142" s="11">
        <v>180.0</v>
      </c>
      <c r="J142" s="12">
        <v>0.425</v>
      </c>
      <c r="K142" s="13">
        <v>0.43472222222222223</v>
      </c>
      <c r="L142" s="67">
        <v>180.0</v>
      </c>
      <c r="M142" s="12">
        <v>0.5388888888888889</v>
      </c>
      <c r="N142" s="12">
        <v>0.54375</v>
      </c>
      <c r="O142" s="38">
        <v>181.0</v>
      </c>
      <c r="P142" s="12">
        <v>0.6243055555555556</v>
      </c>
      <c r="Q142" s="13">
        <v>0.6291666666666667</v>
      </c>
      <c r="R142" s="11">
        <v>182.0</v>
      </c>
      <c r="S142" s="12">
        <v>0.7173611111111111</v>
      </c>
      <c r="T142" s="13">
        <v>0.7236111111111111</v>
      </c>
      <c r="U142" s="11">
        <v>188.0</v>
      </c>
      <c r="V142" s="12">
        <v>0.8034722222222223</v>
      </c>
      <c r="W142" s="13">
        <v>0.8104166666666667</v>
      </c>
      <c r="X142" s="11"/>
      <c r="Y142" s="12"/>
      <c r="Z142" s="13"/>
      <c r="AA142" s="20"/>
      <c r="AB142" s="71"/>
      <c r="AC142" s="56"/>
      <c r="AD142" s="18"/>
      <c r="AE142" s="18"/>
      <c r="AF142" s="47"/>
      <c r="AG142" s="11"/>
      <c r="AH142" s="18"/>
      <c r="AI142" s="38"/>
      <c r="AJ142" s="68"/>
      <c r="AK142" s="68"/>
      <c r="AL142" s="69"/>
      <c r="AM142" s="11"/>
      <c r="AN142" s="12"/>
      <c r="AO142" s="13"/>
      <c r="AP142" s="11"/>
      <c r="AQ142" s="12"/>
      <c r="AR142" s="13"/>
      <c r="AS142" s="11"/>
      <c r="AT142" s="12"/>
      <c r="AU142" s="13"/>
      <c r="AV142" s="11"/>
      <c r="AW142" s="12"/>
      <c r="AX142" s="13"/>
      <c r="AY142" s="34" t="str">
        <f t="array" ref="AY142">XLOOKUP(B142,faclon_results_2022!$D:$D,faclon_results_2022!$A:$A,"DNF")</f>
        <v>DNF</v>
      </c>
      <c r="AZ142" s="12" t="str">
        <f t="shared" si="1"/>
        <v>#N/A</v>
      </c>
      <c r="BA142" s="18" t="str">
        <f t="array" ref="BA142">XLOOKUP(B142,faclon_results_2022!$D:$D,faclon_results_2022!$J:$J)</f>
        <v>#N/A</v>
      </c>
    </row>
    <row r="143" ht="15.75" customHeight="1">
      <c r="A143" s="7"/>
      <c r="B143" s="47">
        <v>669.0</v>
      </c>
      <c r="C143" s="11">
        <v>194.0</v>
      </c>
      <c r="D143" s="12">
        <v>0.28125</v>
      </c>
      <c r="E143" s="13">
        <v>0.28194444444444444</v>
      </c>
      <c r="F143" s="64">
        <v>188.0</v>
      </c>
      <c r="G143" s="65">
        <v>0.3527777777777778</v>
      </c>
      <c r="H143" s="66">
        <v>0.3527777777777778</v>
      </c>
      <c r="I143" s="11">
        <v>190.0</v>
      </c>
      <c r="J143" s="12">
        <v>0.43472222222222223</v>
      </c>
      <c r="K143" s="13">
        <v>0.44305555555555554</v>
      </c>
      <c r="L143" s="67">
        <v>183.0</v>
      </c>
      <c r="M143" s="12">
        <v>0.5409722222222222</v>
      </c>
      <c r="N143" s="13">
        <v>0.5430555555555555</v>
      </c>
      <c r="O143" s="38">
        <v>172.0</v>
      </c>
      <c r="P143" s="12">
        <v>0.6159722222222223</v>
      </c>
      <c r="Q143" s="13">
        <v>0.6208333333333333</v>
      </c>
      <c r="R143" s="11">
        <v>169.0</v>
      </c>
      <c r="S143" s="12">
        <v>0.6979166666666666</v>
      </c>
      <c r="T143" s="13">
        <v>0.6993055555555555</v>
      </c>
      <c r="U143" s="11">
        <v>166.0</v>
      </c>
      <c r="V143" s="12">
        <v>0.7527777777777778</v>
      </c>
      <c r="W143" s="13">
        <v>0.7694444444444445</v>
      </c>
      <c r="X143" s="11">
        <v>157.0</v>
      </c>
      <c r="Y143" s="12"/>
      <c r="Z143" s="13">
        <v>0.8868055555555555</v>
      </c>
      <c r="AA143" s="20" t="s">
        <v>178</v>
      </c>
      <c r="AB143" s="71"/>
      <c r="AC143" s="56"/>
      <c r="AD143" s="18">
        <v>145.0</v>
      </c>
      <c r="AE143" s="12">
        <v>0.08125</v>
      </c>
      <c r="AF143" s="23">
        <v>0.0875</v>
      </c>
      <c r="AG143" s="11">
        <v>130.0</v>
      </c>
      <c r="AH143" s="12">
        <v>0.15833333333333333</v>
      </c>
      <c r="AI143" s="13">
        <v>0.16319444444444445</v>
      </c>
      <c r="AJ143" s="68"/>
      <c r="AK143" s="68"/>
      <c r="AL143" s="69"/>
      <c r="AM143" s="11">
        <v>118.0</v>
      </c>
      <c r="AN143" s="12">
        <v>0.32013888888888886</v>
      </c>
      <c r="AO143" s="13">
        <v>0.33194444444444443</v>
      </c>
      <c r="AP143" s="11">
        <v>111.0</v>
      </c>
      <c r="AQ143" s="12">
        <v>0.4027777777777778</v>
      </c>
      <c r="AR143" s="13">
        <v>0.4076388888888889</v>
      </c>
      <c r="AS143" s="11">
        <v>113.0</v>
      </c>
      <c r="AT143" s="12">
        <v>0.5180555555555556</v>
      </c>
      <c r="AU143" s="13">
        <v>0.5229166666666667</v>
      </c>
      <c r="AV143" s="11">
        <v>113.0</v>
      </c>
      <c r="AW143" s="12">
        <v>0.11388888888888889</v>
      </c>
      <c r="AX143" s="13">
        <v>0.11736111111111111</v>
      </c>
      <c r="AY143" s="34">
        <f t="array" ref="AY143">XLOOKUP(B143,faclon_results_2022!$D:$D,faclon_results_2022!$A:$A,"DNF")</f>
        <v>115</v>
      </c>
      <c r="AZ143" s="12">
        <f t="shared" si="1"/>
        <v>0.6833333333</v>
      </c>
      <c r="BA143" s="18">
        <f t="array" ref="BA143">XLOOKUP(B143,faclon_results_2022!$D:$D,faclon_results_2022!$J:$J)</f>
        <v>35.40107</v>
      </c>
    </row>
    <row r="144" ht="15.75" customHeight="1">
      <c r="A144" s="7"/>
      <c r="B144" s="47">
        <v>670.0</v>
      </c>
      <c r="C144" s="11">
        <v>96.0</v>
      </c>
      <c r="D144" s="12">
        <v>0.26805555555555555</v>
      </c>
      <c r="E144" s="13">
        <v>0.26875</v>
      </c>
      <c r="F144" s="64"/>
      <c r="G144" s="65"/>
      <c r="H144" s="66"/>
      <c r="I144" s="11"/>
      <c r="J144" s="18"/>
      <c r="K144" s="38"/>
      <c r="L144" s="67">
        <v>75.0</v>
      </c>
      <c r="M144" s="12">
        <v>0.47430555555555554</v>
      </c>
      <c r="N144" s="13">
        <v>0.47638888888888886</v>
      </c>
      <c r="O144" s="38">
        <v>73.0</v>
      </c>
      <c r="P144" s="12">
        <v>0.54375</v>
      </c>
      <c r="Q144" s="13">
        <v>0.5479166666666667</v>
      </c>
      <c r="R144" s="11">
        <v>71.0</v>
      </c>
      <c r="S144" s="12">
        <v>0.6097222222222223</v>
      </c>
      <c r="T144" s="13">
        <v>0.6118055555555556</v>
      </c>
      <c r="U144" s="11">
        <v>78.0</v>
      </c>
      <c r="V144" s="12">
        <v>0.6694444444444444</v>
      </c>
      <c r="W144" s="13">
        <v>0.6736111111111112</v>
      </c>
      <c r="X144" s="11">
        <v>70.0</v>
      </c>
      <c r="Y144" s="12"/>
      <c r="Z144" s="13">
        <v>0.7777777777777778</v>
      </c>
      <c r="AA144" s="20">
        <v>68.0</v>
      </c>
      <c r="AB144" s="21">
        <v>0.8381944444444445</v>
      </c>
      <c r="AC144" s="22">
        <v>0.8423611111111111</v>
      </c>
      <c r="AD144" s="18">
        <v>73.0</v>
      </c>
      <c r="AE144" s="12">
        <v>0.9458333333333333</v>
      </c>
      <c r="AF144" s="23">
        <v>0.9645833333333333</v>
      </c>
      <c r="AG144" s="11">
        <v>80.0</v>
      </c>
      <c r="AH144" s="12">
        <v>0.043055555555555555</v>
      </c>
      <c r="AI144" s="13">
        <v>0.04722222222222222</v>
      </c>
      <c r="AJ144" s="14">
        <v>77.0</v>
      </c>
      <c r="AK144" s="15">
        <v>0.15416666666666667</v>
      </c>
      <c r="AL144" s="16">
        <v>0.16319444444444445</v>
      </c>
      <c r="AM144" s="11">
        <v>75.0</v>
      </c>
      <c r="AN144" s="12">
        <v>0.2388888888888889</v>
      </c>
      <c r="AO144" s="13">
        <v>0.2520833333333333</v>
      </c>
      <c r="AP144" s="11">
        <v>73.0</v>
      </c>
      <c r="AQ144" s="12">
        <v>0.3298611111111111</v>
      </c>
      <c r="AR144" s="13">
        <v>0.3375</v>
      </c>
      <c r="AS144" s="11">
        <v>88.0</v>
      </c>
      <c r="AT144" s="12">
        <v>0.46319444444444446</v>
      </c>
      <c r="AU144" s="13">
        <v>0.46805555555555556</v>
      </c>
      <c r="AV144" s="11">
        <v>84.0</v>
      </c>
      <c r="AW144" s="12">
        <v>0.04722222222222222</v>
      </c>
      <c r="AX144" s="13">
        <v>0.050694444444444445</v>
      </c>
      <c r="AY144" s="34">
        <f t="array" ref="AY144">XLOOKUP(B144,faclon_results_2022!$D:$D,faclon_results_2022!$A:$A,"DNF")</f>
        <v>90</v>
      </c>
      <c r="AZ144" s="12">
        <f t="shared" si="1"/>
        <v>0.6222222222</v>
      </c>
      <c r="BA144" s="18">
        <f t="array" ref="BA144">XLOOKUP(B144,faclon_results_2022!$D:$D,faclon_results_2022!$J:$J)</f>
        <v>33.93544</v>
      </c>
    </row>
    <row r="145" ht="15.75" customHeight="1">
      <c r="A145" s="7"/>
      <c r="B145" s="47">
        <v>673.0</v>
      </c>
      <c r="C145" s="11">
        <v>181.0</v>
      </c>
      <c r="D145" s="12">
        <v>0.2777777777777778</v>
      </c>
      <c r="E145" s="13">
        <v>0.27847222222222223</v>
      </c>
      <c r="F145" s="64">
        <v>181.0</v>
      </c>
      <c r="G145" s="65">
        <v>0.34444444444444444</v>
      </c>
      <c r="H145" s="66">
        <v>0.34444444444444444</v>
      </c>
      <c r="I145" s="11">
        <v>173.0</v>
      </c>
      <c r="J145" s="12">
        <v>0.4236111111111111</v>
      </c>
      <c r="K145" s="13">
        <v>0.43333333333333335</v>
      </c>
      <c r="L145" s="67">
        <v>165.0</v>
      </c>
      <c r="M145" s="12">
        <v>0.5284722222222222</v>
      </c>
      <c r="N145" s="13">
        <v>0.5319444444444444</v>
      </c>
      <c r="O145" s="38">
        <v>165.0</v>
      </c>
      <c r="P145" s="12">
        <v>0.6083333333333333</v>
      </c>
      <c r="Q145" s="13">
        <v>0.6125</v>
      </c>
      <c r="R145" s="11">
        <v>162.0</v>
      </c>
      <c r="S145" s="12">
        <v>0.6888888888888889</v>
      </c>
      <c r="T145" s="13">
        <v>0.6944444444444444</v>
      </c>
      <c r="U145" s="11">
        <v>160.0</v>
      </c>
      <c r="V145" s="12">
        <v>0.7472222222222222</v>
      </c>
      <c r="W145" s="13">
        <v>0.7569444444444444</v>
      </c>
      <c r="X145" s="11">
        <v>151.0</v>
      </c>
      <c r="Y145" s="12"/>
      <c r="Z145" s="13">
        <v>0.8777777777777778</v>
      </c>
      <c r="AA145" s="20">
        <v>152.0</v>
      </c>
      <c r="AB145" s="21">
        <v>0.95625</v>
      </c>
      <c r="AC145" s="22">
        <v>0.9611111111111111</v>
      </c>
      <c r="AD145" s="18">
        <v>149.0</v>
      </c>
      <c r="AE145" s="12">
        <v>0.08680555555555555</v>
      </c>
      <c r="AF145" s="23">
        <v>0.11458333333333333</v>
      </c>
      <c r="AG145" s="11">
        <v>142.0</v>
      </c>
      <c r="AH145" s="12">
        <v>0.1951388888888889</v>
      </c>
      <c r="AI145" s="13">
        <v>0.19722222222222222</v>
      </c>
      <c r="AJ145" s="14">
        <v>135.0</v>
      </c>
      <c r="AK145" s="15">
        <v>0.30277777777777776</v>
      </c>
      <c r="AL145" s="16">
        <v>0.3034722222222222</v>
      </c>
      <c r="AM145" s="11">
        <v>127.0</v>
      </c>
      <c r="AN145" s="12">
        <v>0.3701388888888889</v>
      </c>
      <c r="AO145" s="13">
        <v>0.3784722222222222</v>
      </c>
      <c r="AP145" s="11">
        <v>121.0</v>
      </c>
      <c r="AQ145" s="12">
        <v>0.4465277777777778</v>
      </c>
      <c r="AR145" s="13">
        <v>0.44722222222222224</v>
      </c>
      <c r="AS145" s="11">
        <v>122.0</v>
      </c>
      <c r="AT145" s="18" t="s">
        <v>178</v>
      </c>
      <c r="AU145" s="13"/>
      <c r="AV145" s="11"/>
      <c r="AW145" s="18"/>
      <c r="AX145" s="13"/>
      <c r="AY145" s="34" t="str">
        <f t="array" ref="AY145">XLOOKUP(B145,faclon_results_2022!$D:$D,faclon_results_2022!$A:$A,"DNF")</f>
        <v>DNF</v>
      </c>
      <c r="AZ145" s="12" t="str">
        <f t="shared" si="1"/>
        <v>#N/A</v>
      </c>
      <c r="BA145" s="18" t="str">
        <f t="array" ref="BA145">XLOOKUP(B145,faclon_results_2022!$D:$D,faclon_results_2022!$J:$J)</f>
        <v>#N/A</v>
      </c>
    </row>
    <row r="146" ht="15.75" customHeight="1">
      <c r="A146" s="7"/>
      <c r="B146" s="47">
        <v>674.0</v>
      </c>
      <c r="C146" s="11">
        <v>199.0</v>
      </c>
      <c r="D146" s="12">
        <v>0.28680555555555554</v>
      </c>
      <c r="E146" s="13">
        <v>0.2875</v>
      </c>
      <c r="F146" s="64">
        <v>199.0</v>
      </c>
      <c r="G146" s="65">
        <v>0.38333333333333336</v>
      </c>
      <c r="H146" s="66">
        <v>0.38333333333333336</v>
      </c>
      <c r="I146" s="11">
        <v>201.0</v>
      </c>
      <c r="J146" s="12">
        <v>0.4930555555555556</v>
      </c>
      <c r="K146" s="38" t="s">
        <v>178</v>
      </c>
      <c r="M146" s="12"/>
      <c r="N146" s="13"/>
      <c r="O146" s="38"/>
      <c r="Q146" s="72"/>
      <c r="R146" s="11"/>
      <c r="S146" s="18"/>
      <c r="T146" s="13"/>
      <c r="U146" s="11"/>
      <c r="V146" s="12"/>
      <c r="W146" s="13"/>
      <c r="X146" s="11"/>
      <c r="Y146" s="12"/>
      <c r="Z146" s="13"/>
      <c r="AA146" s="20"/>
      <c r="AB146" s="68"/>
      <c r="AC146" s="70"/>
      <c r="AD146" s="18"/>
      <c r="AE146" s="18"/>
      <c r="AF146" s="47"/>
      <c r="AG146" s="11"/>
      <c r="AH146" s="12"/>
      <c r="AI146" s="13"/>
      <c r="AJ146" s="68"/>
      <c r="AK146" s="68"/>
      <c r="AL146" s="69"/>
      <c r="AM146" s="11"/>
      <c r="AN146" s="12"/>
      <c r="AO146" s="13"/>
      <c r="AP146" s="11"/>
      <c r="AQ146" s="12"/>
      <c r="AR146" s="13"/>
      <c r="AS146" s="11"/>
      <c r="AT146" s="12"/>
      <c r="AU146" s="13"/>
      <c r="AV146" s="11"/>
      <c r="AW146" s="12"/>
      <c r="AX146" s="13"/>
      <c r="AY146" s="34" t="str">
        <f t="array" ref="AY146">XLOOKUP(B146,faclon_results_2022!$D:$D,faclon_results_2022!$A:$A,"DNF")</f>
        <v>DNF</v>
      </c>
      <c r="AZ146" s="12" t="str">
        <f t="shared" si="1"/>
        <v>#N/A</v>
      </c>
      <c r="BA146" s="18" t="str">
        <f t="array" ref="BA146">XLOOKUP(B146,faclon_results_2022!$D:$D,faclon_results_2022!$J:$J)</f>
        <v>#N/A</v>
      </c>
    </row>
    <row r="147" ht="15.75" customHeight="1">
      <c r="A147" s="7"/>
      <c r="B147" s="47">
        <v>675.0</v>
      </c>
      <c r="C147" s="11">
        <v>94.0</v>
      </c>
      <c r="D147" s="12">
        <v>0.2673611111111111</v>
      </c>
      <c r="E147" s="13">
        <v>0.26805555555555555</v>
      </c>
      <c r="F147" s="64">
        <v>108.0</v>
      </c>
      <c r="G147" s="65">
        <v>0.32569444444444445</v>
      </c>
      <c r="H147" s="66">
        <v>0.32569444444444445</v>
      </c>
      <c r="I147" s="11">
        <v>88.0</v>
      </c>
      <c r="J147" s="18" t="s">
        <v>183</v>
      </c>
      <c r="K147" s="13">
        <v>0.3951388888888889</v>
      </c>
      <c r="L147" s="67">
        <v>79.0</v>
      </c>
      <c r="M147" s="12">
        <v>0.4756944444444444</v>
      </c>
      <c r="N147" s="13">
        <v>0.48055555555555557</v>
      </c>
      <c r="O147" s="38">
        <v>77.0</v>
      </c>
      <c r="P147" s="12">
        <v>0.5465277777777777</v>
      </c>
      <c r="Q147" s="13">
        <v>0.5479166666666667</v>
      </c>
      <c r="R147" s="11">
        <v>65.0</v>
      </c>
      <c r="S147" s="12">
        <v>0.60625</v>
      </c>
      <c r="T147" s="13">
        <v>0.6076388888888888</v>
      </c>
      <c r="U147" s="11">
        <v>64.0</v>
      </c>
      <c r="V147" s="12">
        <v>0.6493055555555556</v>
      </c>
      <c r="W147" s="13">
        <v>0.6576388888888889</v>
      </c>
      <c r="X147" s="11">
        <v>56.0</v>
      </c>
      <c r="Y147" s="12"/>
      <c r="Z147" s="13">
        <v>0.7534722222222222</v>
      </c>
      <c r="AA147" s="20">
        <v>54.0</v>
      </c>
      <c r="AB147" s="21">
        <v>0.8125</v>
      </c>
      <c r="AC147" s="22">
        <v>0.81875</v>
      </c>
      <c r="AD147" s="18">
        <v>55.0</v>
      </c>
      <c r="AE147" s="12">
        <v>0.9111111111111111</v>
      </c>
      <c r="AF147" s="23">
        <v>0.91875</v>
      </c>
      <c r="AG147" s="11">
        <v>46.0</v>
      </c>
      <c r="AH147" s="12">
        <v>0.9909722222222223</v>
      </c>
      <c r="AI147" s="13">
        <v>0.9916666666666667</v>
      </c>
      <c r="AJ147" s="14">
        <v>44.0</v>
      </c>
      <c r="AK147" s="15">
        <v>0.08402777777777778</v>
      </c>
      <c r="AL147" s="16">
        <v>0.08958333333333333</v>
      </c>
      <c r="AM147" s="11">
        <v>41.0</v>
      </c>
      <c r="AN147" s="12">
        <v>0.14375</v>
      </c>
      <c r="AO147" s="13">
        <v>0.1527777777777778</v>
      </c>
      <c r="AP147" s="11">
        <v>39.0</v>
      </c>
      <c r="AQ147" s="12">
        <v>0.22291666666666668</v>
      </c>
      <c r="AR147" s="13">
        <v>0.225</v>
      </c>
      <c r="AS147" s="11">
        <v>39.0</v>
      </c>
      <c r="AT147" s="12">
        <v>0.3277777777777778</v>
      </c>
      <c r="AU147" s="13">
        <v>0.3347222222222222</v>
      </c>
      <c r="AV147" s="11">
        <v>41.0</v>
      </c>
      <c r="AW147" s="12">
        <v>0.4076388888888889</v>
      </c>
      <c r="AX147" s="13">
        <v>0.4083333333333333</v>
      </c>
      <c r="AY147" s="34">
        <f t="array" ref="AY147">XLOOKUP(B147,faclon_results_2022!$D:$D,faclon_results_2022!$A:$A,"DNF")</f>
        <v>42</v>
      </c>
      <c r="AZ147" s="12">
        <f t="shared" si="1"/>
        <v>0.4576388889</v>
      </c>
      <c r="BA147" s="18">
        <f t="array" ref="BA147">XLOOKUP(B147,faclon_results_2022!$D:$D,faclon_results_2022!$J:$J)</f>
        <v>29.98561</v>
      </c>
    </row>
    <row r="148" ht="15.75" customHeight="1">
      <c r="A148" s="7"/>
      <c r="B148" s="47">
        <v>676.0</v>
      </c>
      <c r="C148" s="11">
        <v>130.0</v>
      </c>
      <c r="D148" s="12">
        <v>0.2708333333333333</v>
      </c>
      <c r="E148" s="13">
        <v>0.27152777777777776</v>
      </c>
      <c r="F148" s="64">
        <v>131.0</v>
      </c>
      <c r="G148" s="65">
        <v>0.3326388888888889</v>
      </c>
      <c r="H148" s="66">
        <v>0.3326388888888889</v>
      </c>
      <c r="I148" s="11">
        <v>127.0</v>
      </c>
      <c r="J148" s="12">
        <v>0.40555555555555556</v>
      </c>
      <c r="K148" s="13">
        <v>0.4076388888888889</v>
      </c>
      <c r="L148" s="67">
        <v>125.0</v>
      </c>
      <c r="M148" s="12">
        <v>0.5027777777777778</v>
      </c>
      <c r="N148" s="13">
        <v>0.5048611111111111</v>
      </c>
      <c r="O148" s="38">
        <v>132.0</v>
      </c>
      <c r="P148" s="12">
        <v>0.5805555555555556</v>
      </c>
      <c r="Q148" s="13">
        <v>0.5833333333333334</v>
      </c>
      <c r="R148" s="11">
        <v>138.0</v>
      </c>
      <c r="S148" s="12">
        <v>0.6652777777777777</v>
      </c>
      <c r="T148" s="13">
        <v>0.6673611111111111</v>
      </c>
      <c r="U148" s="11">
        <v>136.0</v>
      </c>
      <c r="V148" s="12">
        <v>0.71875</v>
      </c>
      <c r="W148" s="13">
        <v>0.7256944444444444</v>
      </c>
      <c r="X148" s="11">
        <v>127.0</v>
      </c>
      <c r="Y148" s="12"/>
      <c r="Z148" s="13">
        <v>0.8472222222222222</v>
      </c>
      <c r="AA148" s="20">
        <v>128.0</v>
      </c>
      <c r="AB148" s="21">
        <v>0.9194444444444444</v>
      </c>
      <c r="AC148" s="22">
        <v>0.9222222222222223</v>
      </c>
      <c r="AD148" s="18">
        <v>125.0</v>
      </c>
      <c r="AE148" s="12">
        <v>0.04652777777777778</v>
      </c>
      <c r="AF148" s="23">
        <v>0.05</v>
      </c>
      <c r="AG148" s="11">
        <v>121.0</v>
      </c>
      <c r="AH148" s="12">
        <v>0.13402777777777777</v>
      </c>
      <c r="AI148" s="13">
        <v>0.1361111111111111</v>
      </c>
      <c r="AJ148" s="14">
        <v>123.0</v>
      </c>
      <c r="AK148" s="15">
        <v>0.25833333333333336</v>
      </c>
      <c r="AL148" s="16">
        <v>0.2604166666666667</v>
      </c>
      <c r="AM148" s="11">
        <v>119.0</v>
      </c>
      <c r="AN148" s="12">
        <v>0.33055555555555555</v>
      </c>
      <c r="AO148" s="13">
        <v>0.33611111111111114</v>
      </c>
      <c r="AP148" s="11">
        <v>118.0</v>
      </c>
      <c r="AQ148" s="12">
        <v>0.41597222222222224</v>
      </c>
      <c r="AR148" s="13">
        <v>0.41875</v>
      </c>
      <c r="AS148" s="11">
        <v>117.0</v>
      </c>
      <c r="AT148" s="12">
        <v>0.5375</v>
      </c>
      <c r="AU148" s="13">
        <v>0.5388888888888889</v>
      </c>
      <c r="AV148" s="11">
        <v>119.0</v>
      </c>
      <c r="AW148" s="12">
        <v>0.12986111111111112</v>
      </c>
      <c r="AX148" s="13">
        <v>0.13055555555555556</v>
      </c>
      <c r="AY148" s="34">
        <f t="array" ref="AY148">XLOOKUP(B148,faclon_results_2022!$D:$D,faclon_results_2022!$A:$A,"DNF")</f>
        <v>119</v>
      </c>
      <c r="AZ148" s="12">
        <f t="shared" si="1"/>
        <v>0.6895833333</v>
      </c>
      <c r="BA148" s="18">
        <f t="array" ref="BA148">XLOOKUP(B148,faclon_results_2022!$D:$D,faclon_results_2022!$J:$J)</f>
        <v>35.55681</v>
      </c>
    </row>
    <row r="149" ht="15.75" customHeight="1">
      <c r="A149" s="7"/>
      <c r="B149" s="47">
        <v>677.0</v>
      </c>
      <c r="C149" s="11">
        <v>35.0</v>
      </c>
      <c r="D149" s="12">
        <v>0.2604166666666667</v>
      </c>
      <c r="E149" s="13">
        <v>0.26180555555555557</v>
      </c>
      <c r="F149" s="64">
        <v>53.0</v>
      </c>
      <c r="G149" s="65">
        <v>0.3145833333333333</v>
      </c>
      <c r="H149" s="66">
        <v>0.3145833333333333</v>
      </c>
      <c r="I149" s="11">
        <v>78.0</v>
      </c>
      <c r="J149" s="12">
        <v>0.38819444444444445</v>
      </c>
      <c r="K149" s="13">
        <v>0.3923611111111111</v>
      </c>
      <c r="L149" s="67">
        <v>98.0</v>
      </c>
      <c r="M149" s="12">
        <v>0.4875</v>
      </c>
      <c r="N149" s="13">
        <v>0.4930555555555556</v>
      </c>
      <c r="O149" s="38">
        <v>105.0</v>
      </c>
      <c r="P149" s="12">
        <v>0.5680555555555555</v>
      </c>
      <c r="Q149" s="12">
        <v>0.5770833333333333</v>
      </c>
      <c r="R149" s="11">
        <v>116.0</v>
      </c>
      <c r="S149" s="12">
        <v>0.6527777777777778</v>
      </c>
      <c r="T149" s="13">
        <v>0.6576388888888889</v>
      </c>
      <c r="U149" s="11">
        <v>129.0</v>
      </c>
      <c r="V149" s="12">
        <v>0.7138888888888889</v>
      </c>
      <c r="W149" s="13">
        <v>0.7194444444444444</v>
      </c>
      <c r="X149" s="11">
        <v>150.0</v>
      </c>
      <c r="Y149" s="12"/>
      <c r="Z149" s="13">
        <v>0.8770833333333333</v>
      </c>
      <c r="AA149" s="20">
        <v>154.0</v>
      </c>
      <c r="AB149" s="21">
        <v>0.9597222222222223</v>
      </c>
      <c r="AC149" s="70" t="s">
        <v>178</v>
      </c>
      <c r="AD149" s="18"/>
      <c r="AE149" s="18"/>
      <c r="AF149" s="47"/>
      <c r="AG149" s="11"/>
      <c r="AH149" s="18"/>
      <c r="AI149" s="38"/>
      <c r="AJ149" s="68"/>
      <c r="AK149" s="68"/>
      <c r="AL149" s="69"/>
      <c r="AM149" s="11"/>
      <c r="AN149" s="12"/>
      <c r="AO149" s="13"/>
      <c r="AP149" s="11"/>
      <c r="AQ149" s="12"/>
      <c r="AR149" s="13"/>
      <c r="AS149" s="11"/>
      <c r="AT149" s="12"/>
      <c r="AU149" s="13"/>
      <c r="AV149" s="11"/>
      <c r="AW149" s="12"/>
      <c r="AX149" s="13"/>
      <c r="AY149" s="34" t="str">
        <f t="array" ref="AY149">XLOOKUP(B149,faclon_results_2022!$D:$D,faclon_results_2022!$A:$A,"DNF")</f>
        <v>DNF</v>
      </c>
      <c r="AZ149" s="12" t="str">
        <f t="shared" si="1"/>
        <v>#N/A</v>
      </c>
      <c r="BA149" s="18" t="str">
        <f t="array" ref="BA149">XLOOKUP(B149,faclon_results_2022!$D:$D,faclon_results_2022!$J:$J)</f>
        <v>#N/A</v>
      </c>
    </row>
    <row r="150" ht="15.75" customHeight="1">
      <c r="A150" s="7"/>
      <c r="B150" s="47">
        <v>678.0</v>
      </c>
      <c r="C150" s="11">
        <v>195.0</v>
      </c>
      <c r="D150" s="12">
        <v>0.28125</v>
      </c>
      <c r="E150" s="13">
        <v>0.28194444444444444</v>
      </c>
      <c r="F150" s="64">
        <v>193.0</v>
      </c>
      <c r="G150" s="65">
        <v>0.3541666666666667</v>
      </c>
      <c r="H150" s="66">
        <v>0.3541666666666667</v>
      </c>
      <c r="I150" s="11">
        <v>193.0</v>
      </c>
      <c r="J150" s="12">
        <v>0.4409722222222222</v>
      </c>
      <c r="K150" s="13">
        <v>0.45</v>
      </c>
      <c r="L150" s="67">
        <v>191.0</v>
      </c>
      <c r="M150" s="12">
        <v>0.5638888888888889</v>
      </c>
      <c r="N150" s="13">
        <v>0.5659722222222222</v>
      </c>
      <c r="O150" s="38">
        <v>187.0</v>
      </c>
      <c r="P150" s="12">
        <v>0.6486111111111111</v>
      </c>
      <c r="Q150" s="13">
        <v>0.6513888888888889</v>
      </c>
      <c r="R150" s="11">
        <v>186.0</v>
      </c>
      <c r="S150" s="12">
        <v>0.7319444444444444</v>
      </c>
      <c r="T150" s="13">
        <v>0.7340277777777777</v>
      </c>
      <c r="U150" s="11">
        <v>183.0</v>
      </c>
      <c r="V150" s="12">
        <v>0.7951388888888888</v>
      </c>
      <c r="W150" s="13">
        <v>0.8145833333333333</v>
      </c>
      <c r="X150" s="11">
        <v>173.0</v>
      </c>
      <c r="Y150" s="12"/>
      <c r="Z150" s="13">
        <v>0.9513888888888888</v>
      </c>
      <c r="AA150" s="20"/>
      <c r="AB150" s="71"/>
      <c r="AC150" s="70"/>
      <c r="AD150" s="18"/>
      <c r="AE150" s="18"/>
      <c r="AF150" s="47"/>
      <c r="AG150" s="11"/>
      <c r="AH150" s="18"/>
      <c r="AI150" s="38"/>
      <c r="AJ150" s="68"/>
      <c r="AK150" s="68"/>
      <c r="AL150" s="69"/>
      <c r="AM150" s="11"/>
      <c r="AN150" s="18"/>
      <c r="AO150" s="38"/>
      <c r="AP150" s="11"/>
      <c r="AQ150" s="18"/>
      <c r="AR150" s="38"/>
      <c r="AS150" s="11"/>
      <c r="AT150" s="18"/>
      <c r="AU150" s="38"/>
      <c r="AV150" s="11"/>
      <c r="AW150" s="18"/>
      <c r="AX150" s="38"/>
      <c r="AY150" s="34" t="str">
        <f t="array" ref="AY150">XLOOKUP(B150,faclon_results_2022!$D:$D,faclon_results_2022!$A:$A,"DNF")</f>
        <v>DNF</v>
      </c>
      <c r="AZ150" s="12" t="str">
        <f t="shared" si="1"/>
        <v>#N/A</v>
      </c>
      <c r="BA150" s="18" t="str">
        <f t="array" ref="BA150">XLOOKUP(B150,faclon_results_2022!$D:$D,faclon_results_2022!$J:$J)</f>
        <v>#N/A</v>
      </c>
    </row>
    <row r="151" ht="15.75" customHeight="1">
      <c r="A151" s="7"/>
      <c r="B151" s="47">
        <v>680.0</v>
      </c>
      <c r="C151" s="11">
        <v>191.0</v>
      </c>
      <c r="D151" s="12">
        <v>0.28055555555555556</v>
      </c>
      <c r="E151" s="13">
        <v>0.28125</v>
      </c>
      <c r="F151" s="64">
        <v>177.0</v>
      </c>
      <c r="G151" s="65">
        <v>0.34444444444444444</v>
      </c>
      <c r="H151" s="66">
        <v>0.34444444444444444</v>
      </c>
      <c r="I151" s="11">
        <v>179.0</v>
      </c>
      <c r="J151" s="12">
        <v>0.425</v>
      </c>
      <c r="K151" s="13">
        <v>0.4388888888888889</v>
      </c>
      <c r="L151" s="67">
        <v>178.0</v>
      </c>
      <c r="M151" s="12">
        <v>0.5375</v>
      </c>
      <c r="N151" s="13">
        <v>0.5416666666666666</v>
      </c>
      <c r="O151" s="38">
        <v>173.0</v>
      </c>
      <c r="P151" s="12">
        <v>0.6166666666666667</v>
      </c>
      <c r="Q151" s="13">
        <v>0.6222222222222222</v>
      </c>
      <c r="R151" s="11">
        <v>168.0</v>
      </c>
      <c r="S151" s="12">
        <v>0.6958333333333333</v>
      </c>
      <c r="T151" s="13">
        <v>0.6993055555555555</v>
      </c>
      <c r="U151" s="11">
        <v>164.0</v>
      </c>
      <c r="V151" s="12">
        <v>0.75</v>
      </c>
      <c r="W151" s="13">
        <v>0.7541666666666667</v>
      </c>
      <c r="X151" s="11">
        <v>154.0</v>
      </c>
      <c r="Y151" s="12"/>
      <c r="Z151" s="13">
        <v>0.8805555555555555</v>
      </c>
      <c r="AA151" s="20">
        <v>151.0</v>
      </c>
      <c r="AB151" s="21">
        <v>0.95625</v>
      </c>
      <c r="AC151" s="22">
        <v>0.9611111111111111</v>
      </c>
      <c r="AD151" s="18">
        <v>147.0</v>
      </c>
      <c r="AE151" s="12">
        <v>0.08333333333333333</v>
      </c>
      <c r="AF151" s="23">
        <v>0.10416666666666667</v>
      </c>
      <c r="AG151" s="11">
        <v>147.0</v>
      </c>
      <c r="AH151" s="12">
        <v>0.2013888888888889</v>
      </c>
      <c r="AI151" s="38" t="s">
        <v>178</v>
      </c>
      <c r="AJ151" s="68"/>
      <c r="AK151" s="68"/>
      <c r="AL151" s="69"/>
      <c r="AM151" s="11"/>
      <c r="AN151" s="18"/>
      <c r="AO151" s="38"/>
      <c r="AP151" s="11"/>
      <c r="AQ151" s="18"/>
      <c r="AR151" s="38"/>
      <c r="AS151" s="11"/>
      <c r="AT151" s="18"/>
      <c r="AU151" s="38"/>
      <c r="AV151" s="11"/>
      <c r="AW151" s="18"/>
      <c r="AX151" s="38"/>
      <c r="AY151" s="34" t="str">
        <f t="array" ref="AY151">XLOOKUP(B151,faclon_results_2022!$D:$D,faclon_results_2022!$A:$A,"DNF")</f>
        <v>DNF</v>
      </c>
      <c r="AZ151" s="12" t="str">
        <f t="shared" si="1"/>
        <v>#N/A</v>
      </c>
      <c r="BA151" s="18" t="str">
        <f t="array" ref="BA151">XLOOKUP(B151,faclon_results_2022!$D:$D,faclon_results_2022!$J:$J)</f>
        <v>#N/A</v>
      </c>
    </row>
    <row r="152" ht="15.75" customHeight="1">
      <c r="A152" s="7"/>
      <c r="B152" s="47">
        <v>681.0</v>
      </c>
      <c r="C152" s="11">
        <v>175.0</v>
      </c>
      <c r="D152" s="12">
        <v>0.275</v>
      </c>
      <c r="E152" s="13">
        <v>0.27569444444444446</v>
      </c>
      <c r="F152" s="64">
        <v>150.0</v>
      </c>
      <c r="G152" s="65">
        <v>0.3368055555555556</v>
      </c>
      <c r="H152" s="66">
        <v>0.3368055555555556</v>
      </c>
      <c r="I152" s="11">
        <v>143.0</v>
      </c>
      <c r="J152" s="12">
        <v>0.41180555555555554</v>
      </c>
      <c r="K152" s="13">
        <v>0.4270833333333333</v>
      </c>
      <c r="L152" s="67">
        <v>156.0</v>
      </c>
      <c r="M152" s="12">
        <v>0.51875</v>
      </c>
      <c r="N152" s="13">
        <v>0.5208333333333334</v>
      </c>
      <c r="O152" s="38">
        <v>156.0</v>
      </c>
      <c r="P152" s="12">
        <v>0.5986111111111111</v>
      </c>
      <c r="Q152" s="13">
        <v>0.60625</v>
      </c>
      <c r="R152" s="11">
        <v>154.0</v>
      </c>
      <c r="S152" s="12">
        <v>0.68125</v>
      </c>
      <c r="T152" s="13">
        <v>0.6847222222222222</v>
      </c>
      <c r="U152" s="11">
        <v>153.0</v>
      </c>
      <c r="V152" s="12">
        <v>0.7395833333333334</v>
      </c>
      <c r="W152" s="13">
        <v>0.7541666666666667</v>
      </c>
      <c r="X152" s="11">
        <v>145.0</v>
      </c>
      <c r="Y152" s="12"/>
      <c r="Z152" s="13">
        <v>0.8715277777777778</v>
      </c>
      <c r="AA152" s="20">
        <v>142.0</v>
      </c>
      <c r="AB152" s="21">
        <v>0.94375</v>
      </c>
      <c r="AC152" s="22">
        <v>0.95</v>
      </c>
      <c r="AD152" s="18">
        <v>139.0</v>
      </c>
      <c r="AE152" s="12">
        <v>0.06597222222222222</v>
      </c>
      <c r="AF152" s="23">
        <v>0.09166666666666666</v>
      </c>
      <c r="AG152" s="11">
        <v>134.0</v>
      </c>
      <c r="AH152" s="12">
        <v>0.17083333333333334</v>
      </c>
      <c r="AI152" s="13">
        <v>0.175</v>
      </c>
      <c r="AJ152" s="14">
        <v>127.0</v>
      </c>
      <c r="AK152" s="15">
        <v>0.275</v>
      </c>
      <c r="AL152" s="16">
        <v>0.2875</v>
      </c>
      <c r="AM152" s="11">
        <v>121.0</v>
      </c>
      <c r="AN152" s="12">
        <v>0.33958333333333335</v>
      </c>
      <c r="AO152" s="13">
        <v>0.35347222222222224</v>
      </c>
      <c r="AP152" s="11">
        <v>119.0</v>
      </c>
      <c r="AQ152" s="12">
        <v>0.4222222222222222</v>
      </c>
      <c r="AR152" s="13">
        <v>0.42986111111111114</v>
      </c>
      <c r="AS152" s="11">
        <v>118.0</v>
      </c>
      <c r="AT152" s="12">
        <v>0.5388888888888889</v>
      </c>
      <c r="AU152" s="13">
        <v>0.5423611111111111</v>
      </c>
      <c r="AV152" s="11">
        <v>118.0</v>
      </c>
      <c r="AW152" s="12">
        <v>0.12430555555555556</v>
      </c>
      <c r="AX152" s="13">
        <v>0.12638888888888888</v>
      </c>
      <c r="AY152" s="34">
        <f t="array" ref="AY152">XLOOKUP(B152,faclon_results_2022!$D:$D,faclon_results_2022!$A:$A,"DNF")</f>
        <v>117</v>
      </c>
      <c r="AZ152" s="12">
        <f t="shared" si="1"/>
        <v>0.6875</v>
      </c>
      <c r="BA152" s="18">
        <f t="array" ref="BA152">XLOOKUP(B152,faclon_results_2022!$D:$D,faclon_results_2022!$J:$J)</f>
        <v>35.50083</v>
      </c>
    </row>
    <row r="153" ht="15.75" customHeight="1">
      <c r="A153" s="7"/>
      <c r="B153" s="47">
        <v>683.0</v>
      </c>
      <c r="C153" s="11">
        <v>38.0</v>
      </c>
      <c r="D153" s="12">
        <v>0.2604166666666667</v>
      </c>
      <c r="E153" s="13">
        <v>0.26180555555555557</v>
      </c>
      <c r="F153" s="64">
        <v>25.0</v>
      </c>
      <c r="G153" s="65">
        <v>0.30694444444444446</v>
      </c>
      <c r="H153" s="66">
        <v>0.30694444444444446</v>
      </c>
      <c r="I153" s="11">
        <v>26.0</v>
      </c>
      <c r="J153" s="12">
        <v>0.36527777777777776</v>
      </c>
      <c r="K153" s="13">
        <v>0.3680555555555556</v>
      </c>
      <c r="L153" s="67">
        <v>27.0</v>
      </c>
      <c r="M153" s="12">
        <v>0.44166666666666665</v>
      </c>
      <c r="N153" s="13">
        <v>0.44375</v>
      </c>
      <c r="O153" s="38">
        <v>28.0</v>
      </c>
      <c r="P153" s="12">
        <v>0.5020833333333333</v>
      </c>
      <c r="Q153" s="13">
        <v>0.5048611111111111</v>
      </c>
      <c r="R153" s="11">
        <v>37.0</v>
      </c>
      <c r="S153" s="12">
        <v>0.56875</v>
      </c>
      <c r="T153" s="13">
        <v>0.5722222222222222</v>
      </c>
      <c r="U153" s="11">
        <v>43.0</v>
      </c>
      <c r="V153" s="12">
        <v>0.6194444444444445</v>
      </c>
      <c r="W153" s="13">
        <v>0.6270833333333333</v>
      </c>
      <c r="X153" s="11">
        <v>53.0</v>
      </c>
      <c r="Y153" s="12"/>
      <c r="Z153" s="13">
        <v>0.7458333333333333</v>
      </c>
      <c r="AA153" s="20">
        <v>53.0</v>
      </c>
      <c r="AB153" s="21">
        <v>0.8125</v>
      </c>
      <c r="AC153" s="22">
        <v>0.8201388888888889</v>
      </c>
      <c r="AD153" s="18">
        <v>69.0</v>
      </c>
      <c r="AE153" s="12">
        <v>0.9402777777777778</v>
      </c>
      <c r="AF153" s="23">
        <v>0.9604166666666667</v>
      </c>
      <c r="AG153" s="11">
        <v>76.0</v>
      </c>
      <c r="AH153" s="12">
        <v>0.03888888888888889</v>
      </c>
      <c r="AI153" s="13">
        <v>0.04722222222222222</v>
      </c>
      <c r="AJ153" s="14">
        <v>72.0</v>
      </c>
      <c r="AK153" s="15">
        <v>0.14652777777777778</v>
      </c>
      <c r="AL153" s="16">
        <v>0.15347222222222223</v>
      </c>
      <c r="AM153" s="11">
        <v>69.0</v>
      </c>
      <c r="AN153" s="12">
        <v>0.22916666666666666</v>
      </c>
      <c r="AO153" s="13">
        <v>0.24791666666666667</v>
      </c>
      <c r="AP153" s="11">
        <v>68.0</v>
      </c>
      <c r="AQ153" s="12">
        <v>0.31875</v>
      </c>
      <c r="AR153" s="13">
        <v>0.32916666666666666</v>
      </c>
      <c r="AS153" s="11">
        <v>76.0</v>
      </c>
      <c r="AT153" s="12">
        <v>0.45069444444444445</v>
      </c>
      <c r="AU153" s="13">
        <v>0.4625</v>
      </c>
      <c r="AV153" s="11">
        <v>83.0</v>
      </c>
      <c r="AW153" s="12">
        <v>0.04652777777777778</v>
      </c>
      <c r="AX153" s="13">
        <v>0.04791666666666667</v>
      </c>
      <c r="AY153" s="34">
        <f t="array" ref="AY153">XLOOKUP(B153,faclon_results_2022!$D:$D,faclon_results_2022!$A:$A,"DNF")</f>
        <v>78</v>
      </c>
      <c r="AZ153" s="12">
        <f t="shared" si="1"/>
        <v>0.5972222222</v>
      </c>
      <c r="BA153" s="18">
        <f t="array" ref="BA153">XLOOKUP(B153,faclon_results_2022!$D:$D,faclon_results_2022!$J:$J)</f>
        <v>33.33495</v>
      </c>
    </row>
    <row r="154" ht="15.75" customHeight="1">
      <c r="A154" s="7"/>
      <c r="B154" s="47">
        <v>684.0</v>
      </c>
      <c r="C154" s="11">
        <v>121.0</v>
      </c>
      <c r="D154" s="12">
        <v>0.2701388888888889</v>
      </c>
      <c r="E154" s="13">
        <v>0.2708333333333333</v>
      </c>
      <c r="F154" s="64">
        <v>102.0</v>
      </c>
      <c r="G154" s="65">
        <v>0.32569444444444445</v>
      </c>
      <c r="H154" s="66">
        <v>0.32569444444444445</v>
      </c>
      <c r="I154" s="11">
        <v>66.0</v>
      </c>
      <c r="J154" s="12">
        <v>0.3854166666666667</v>
      </c>
      <c r="K154" s="13">
        <v>0.3875</v>
      </c>
      <c r="L154" s="67">
        <v>53.0</v>
      </c>
      <c r="M154" s="12">
        <v>0.4597222222222222</v>
      </c>
      <c r="N154" s="13">
        <v>0.46111111111111114</v>
      </c>
      <c r="O154" s="38">
        <v>47.0</v>
      </c>
      <c r="P154" s="12">
        <v>0.5180555555555556</v>
      </c>
      <c r="Q154" s="13">
        <v>0.5236111111111111</v>
      </c>
      <c r="R154" s="11">
        <v>47.0</v>
      </c>
      <c r="S154" s="12">
        <v>0.5826388888888889</v>
      </c>
      <c r="T154" s="13">
        <v>0.5854166666666667</v>
      </c>
      <c r="U154" s="11">
        <v>46.0</v>
      </c>
      <c r="V154" s="12">
        <v>0.6236111111111111</v>
      </c>
      <c r="W154" s="13">
        <v>0.6375</v>
      </c>
      <c r="X154" s="11">
        <v>42.0</v>
      </c>
      <c r="Y154" s="12"/>
      <c r="Z154" s="13">
        <v>0.7263888888888889</v>
      </c>
      <c r="AA154" s="20">
        <v>36.0</v>
      </c>
      <c r="AB154" s="21">
        <v>0.7756944444444445</v>
      </c>
      <c r="AC154" s="22">
        <v>0.78125</v>
      </c>
      <c r="AD154" s="18">
        <v>35.0</v>
      </c>
      <c r="AE154" s="12">
        <v>0.8645833333333334</v>
      </c>
      <c r="AF154" s="23">
        <v>0.8833333333333333</v>
      </c>
      <c r="AG154" s="11">
        <v>36.0</v>
      </c>
      <c r="AH154" s="12">
        <v>0.9451388888888889</v>
      </c>
      <c r="AI154" s="13">
        <v>0.9493055555555555</v>
      </c>
      <c r="AJ154" s="14">
        <v>31.0</v>
      </c>
      <c r="AK154" s="15">
        <v>0.034722222222222224</v>
      </c>
      <c r="AL154" s="16">
        <v>0.03888888888888889</v>
      </c>
      <c r="AM154" s="11">
        <v>28.0</v>
      </c>
      <c r="AN154" s="12">
        <v>0.09722222222222222</v>
      </c>
      <c r="AO154" s="13">
        <v>0.11805555555555555</v>
      </c>
      <c r="AP154" s="11">
        <v>28.0</v>
      </c>
      <c r="AQ154" s="12">
        <v>0.18055555555555555</v>
      </c>
      <c r="AR154" s="13">
        <v>0.1875</v>
      </c>
      <c r="AS154" s="11">
        <v>32.0</v>
      </c>
      <c r="AT154" s="12">
        <v>0.29791666666666666</v>
      </c>
      <c r="AU154" s="13">
        <v>0.30277777777777776</v>
      </c>
      <c r="AV154" s="11">
        <v>35.0</v>
      </c>
      <c r="AW154" s="12">
        <v>0.3861111111111111</v>
      </c>
      <c r="AX154" s="13">
        <v>0.3861111111111111</v>
      </c>
      <c r="AY154" s="34">
        <f t="array" ref="AY154">XLOOKUP(B154,faclon_results_2022!$D:$D,faclon_results_2022!$A:$A,"DNF")</f>
        <v>35</v>
      </c>
      <c r="AZ154" s="12">
        <f t="shared" si="1"/>
        <v>0.4402777778</v>
      </c>
      <c r="BA154" s="18">
        <f t="array" ref="BA154">XLOOKUP(B154,faclon_results_2022!$D:$D,faclon_results_2022!$J:$J)</f>
        <v>29.57081</v>
      </c>
    </row>
    <row r="155" ht="15.75" customHeight="1">
      <c r="A155" s="7"/>
      <c r="B155" s="47">
        <v>685.0</v>
      </c>
      <c r="C155" s="11">
        <v>31.0</v>
      </c>
      <c r="D155" s="12">
        <v>0.25972222222222224</v>
      </c>
      <c r="E155" s="13">
        <v>0.2604166666666667</v>
      </c>
      <c r="F155" s="64">
        <v>33.0</v>
      </c>
      <c r="G155" s="65">
        <v>0.3090277777777778</v>
      </c>
      <c r="H155" s="66">
        <v>0.3090277777777778</v>
      </c>
      <c r="I155" s="11">
        <v>33.0</v>
      </c>
      <c r="J155" s="12">
        <v>0.36875</v>
      </c>
      <c r="K155" s="13">
        <v>0.37083333333333335</v>
      </c>
      <c r="L155" s="67">
        <v>29.0</v>
      </c>
      <c r="M155" s="30">
        <v>0.44513888888888886</v>
      </c>
      <c r="N155" s="35">
        <v>0.44583333333333336</v>
      </c>
      <c r="O155" s="38">
        <v>26.0</v>
      </c>
      <c r="P155" s="12">
        <v>0.5020833333333333</v>
      </c>
      <c r="Q155" s="13">
        <v>0.5041666666666667</v>
      </c>
      <c r="R155" s="11">
        <v>28.0</v>
      </c>
      <c r="S155" s="12">
        <v>0.5618055555555556</v>
      </c>
      <c r="T155" s="13">
        <v>0.5631944444444444</v>
      </c>
      <c r="U155" s="11">
        <v>28.0</v>
      </c>
      <c r="V155" s="12">
        <v>0.6027777777777777</v>
      </c>
      <c r="W155" s="13">
        <v>0.60625</v>
      </c>
      <c r="X155" s="11">
        <v>22.0</v>
      </c>
      <c r="Y155" s="12"/>
      <c r="Z155" s="13">
        <v>0.6965277777777777</v>
      </c>
      <c r="AA155" s="20">
        <v>21.0</v>
      </c>
      <c r="AB155" s="21">
        <v>0.7486111111111111</v>
      </c>
      <c r="AC155" s="22">
        <v>0.7534722222222222</v>
      </c>
      <c r="AD155" s="18">
        <v>19.0</v>
      </c>
      <c r="AE155" s="12">
        <v>0.8291666666666667</v>
      </c>
      <c r="AF155" s="23">
        <v>0.8354166666666667</v>
      </c>
      <c r="AG155" s="11">
        <v>17.0</v>
      </c>
      <c r="AH155" s="12">
        <v>0.8958333333333334</v>
      </c>
      <c r="AI155" s="13">
        <v>0.8993055555555556</v>
      </c>
      <c r="AJ155" s="14">
        <v>14.0</v>
      </c>
      <c r="AK155" s="15">
        <v>0.9673611111111111</v>
      </c>
      <c r="AL155" s="16">
        <v>0.9715277777777778</v>
      </c>
      <c r="AM155" s="11">
        <v>11.0</v>
      </c>
      <c r="AN155" s="12">
        <v>0.0125</v>
      </c>
      <c r="AO155" s="13">
        <v>0.015277777777777777</v>
      </c>
      <c r="AP155" s="11">
        <v>11.0</v>
      </c>
      <c r="AQ155" s="12">
        <v>0.07222222222222222</v>
      </c>
      <c r="AR155" s="13">
        <v>0.0763888888888889</v>
      </c>
      <c r="AS155" s="11">
        <v>10.0</v>
      </c>
      <c r="AT155" s="12">
        <v>0.16597222222222222</v>
      </c>
      <c r="AU155" s="13">
        <v>0.16944444444444445</v>
      </c>
      <c r="AV155" s="11">
        <v>10.0</v>
      </c>
      <c r="AW155" s="12">
        <v>0.24097222222222223</v>
      </c>
      <c r="AX155" s="13">
        <v>0.2423611111111111</v>
      </c>
      <c r="AY155" s="34">
        <f t="array" ref="AY155">XLOOKUP(B155,faclon_results_2022!$D:$D,faclon_results_2022!$A:$A,"DNF")</f>
        <v>9</v>
      </c>
      <c r="AZ155" s="12">
        <f t="shared" si="1"/>
        <v>0.2826388889</v>
      </c>
      <c r="BA155" s="18">
        <f t="array" ref="BA155">XLOOKUP(B155,faclon_results_2022!$D:$D,faclon_results_2022!$J:$J)</f>
        <v>25.78716</v>
      </c>
    </row>
    <row r="156" ht="15.75" customHeight="1">
      <c r="A156" s="7"/>
      <c r="B156" s="47">
        <v>686.0</v>
      </c>
      <c r="C156" s="11">
        <v>43.0</v>
      </c>
      <c r="D156" s="12">
        <v>0.2604166666666667</v>
      </c>
      <c r="E156" s="13">
        <v>0.26180555555555557</v>
      </c>
      <c r="F156" s="64">
        <v>49.0</v>
      </c>
      <c r="G156" s="65">
        <v>0.3138888888888889</v>
      </c>
      <c r="H156" s="66">
        <v>0.3138888888888889</v>
      </c>
      <c r="I156" s="11">
        <v>55.0</v>
      </c>
      <c r="J156" s="12">
        <v>0.3770833333333333</v>
      </c>
      <c r="K156" s="13">
        <v>0.3798611111111111</v>
      </c>
      <c r="L156" s="67">
        <v>51.0</v>
      </c>
      <c r="M156" s="12">
        <v>0.45902777777777776</v>
      </c>
      <c r="N156" s="13">
        <v>0.46041666666666664</v>
      </c>
      <c r="O156" s="38">
        <v>53.0</v>
      </c>
      <c r="P156" s="12">
        <v>0.5229166666666667</v>
      </c>
      <c r="Q156" s="13">
        <v>0.5256944444444445</v>
      </c>
      <c r="R156" s="11">
        <v>55.0</v>
      </c>
      <c r="S156" s="12">
        <v>0.5888888888888889</v>
      </c>
      <c r="T156" s="13">
        <v>0.5909722222222222</v>
      </c>
      <c r="U156" s="11">
        <v>53.0</v>
      </c>
      <c r="V156" s="12">
        <v>0.6333333333333333</v>
      </c>
      <c r="W156" s="13">
        <v>0.6361111111111111</v>
      </c>
      <c r="X156" s="11">
        <v>44.0</v>
      </c>
      <c r="Y156" s="12"/>
      <c r="Z156" s="13">
        <v>0.7284722222222222</v>
      </c>
      <c r="AA156" s="20">
        <v>42.0</v>
      </c>
      <c r="AB156" s="21">
        <v>0.7854166666666667</v>
      </c>
      <c r="AC156" s="22">
        <v>0.7875</v>
      </c>
      <c r="AD156" s="18">
        <v>38.0</v>
      </c>
      <c r="AE156" s="12">
        <v>0.8715277777777778</v>
      </c>
      <c r="AF156" s="23">
        <v>0.8756944444444444</v>
      </c>
      <c r="AG156" s="11">
        <v>34.0</v>
      </c>
      <c r="AH156" s="12">
        <v>0.9416666666666667</v>
      </c>
      <c r="AI156" s="13">
        <v>0.9451388888888889</v>
      </c>
      <c r="AJ156" s="14">
        <v>28.0</v>
      </c>
      <c r="AK156" s="15">
        <v>0.03125</v>
      </c>
      <c r="AL156" s="16">
        <v>0.03263888888888889</v>
      </c>
      <c r="AM156" s="11">
        <v>27.0</v>
      </c>
      <c r="AN156" s="12">
        <v>0.08888888888888889</v>
      </c>
      <c r="AO156" s="13">
        <v>0.09236111111111112</v>
      </c>
      <c r="AP156" s="11">
        <v>27.0</v>
      </c>
      <c r="AQ156" s="12">
        <v>0.16319444444444445</v>
      </c>
      <c r="AR156" s="13">
        <v>0.16597222222222222</v>
      </c>
      <c r="AS156" s="11">
        <v>27.0</v>
      </c>
      <c r="AT156" s="12">
        <v>0.2763888888888889</v>
      </c>
      <c r="AU156" s="13">
        <v>0.2798611111111111</v>
      </c>
      <c r="AV156" s="11">
        <v>30.0</v>
      </c>
      <c r="AW156" s="12">
        <v>0.3680555555555556</v>
      </c>
      <c r="AX156" s="13">
        <v>0.36180555555555555</v>
      </c>
      <c r="AY156" s="34">
        <f t="array" ref="AY156">XLOOKUP(B156,faclon_results_2022!$D:$D,faclon_results_2022!$A:$A,"DNF")</f>
        <v>34</v>
      </c>
      <c r="AZ156" s="12">
        <f t="shared" si="1"/>
        <v>0.4375</v>
      </c>
      <c r="BA156" s="18">
        <f t="array" ref="BA156">XLOOKUP(B156,faclon_results_2022!$D:$D,faclon_results_2022!$J:$J)</f>
        <v>29.51656</v>
      </c>
    </row>
    <row r="157" ht="15.75" customHeight="1">
      <c r="A157" s="7"/>
      <c r="B157" s="47">
        <v>687.0</v>
      </c>
      <c r="C157" s="11">
        <v>65.0</v>
      </c>
      <c r="D157" s="12">
        <v>0.26319444444444445</v>
      </c>
      <c r="E157" s="13">
        <v>0.2638888888888889</v>
      </c>
      <c r="F157" s="64">
        <v>56.0</v>
      </c>
      <c r="G157" s="65">
        <v>0.3145833333333333</v>
      </c>
      <c r="H157" s="66">
        <v>0.3145833333333333</v>
      </c>
      <c r="I157" s="11">
        <v>43.0</v>
      </c>
      <c r="J157" s="12">
        <v>0.3729166666666667</v>
      </c>
      <c r="K157" s="13">
        <v>0.3784722222222222</v>
      </c>
      <c r="L157" s="67">
        <v>42.0</v>
      </c>
      <c r="M157" s="12">
        <v>0.45</v>
      </c>
      <c r="N157" s="13">
        <v>0.4527777777777778</v>
      </c>
      <c r="O157" s="38">
        <v>39.0</v>
      </c>
      <c r="P157" s="12">
        <v>0.5097222222222222</v>
      </c>
      <c r="Q157" s="38" t="s">
        <v>122</v>
      </c>
      <c r="R157" s="11">
        <v>39.0</v>
      </c>
      <c r="S157" s="12">
        <v>0.5701388888888889</v>
      </c>
      <c r="T157" s="13">
        <v>0.5708333333333333</v>
      </c>
      <c r="U157" s="11">
        <v>36.0</v>
      </c>
      <c r="V157" s="12">
        <v>0.6111111111111112</v>
      </c>
      <c r="W157" s="13">
        <v>0.625</v>
      </c>
      <c r="X157" s="11">
        <v>38.0</v>
      </c>
      <c r="Y157" s="12"/>
      <c r="Z157" s="13">
        <v>0.7215277777777778</v>
      </c>
      <c r="AA157" s="20">
        <v>40.0</v>
      </c>
      <c r="AB157" s="21">
        <v>0.7819444444444444</v>
      </c>
      <c r="AC157" s="22">
        <v>0.7868055555555555</v>
      </c>
      <c r="AD157" s="18">
        <v>42.0</v>
      </c>
      <c r="AE157" s="12">
        <v>0.8784722222222222</v>
      </c>
      <c r="AF157" s="23">
        <v>0.8972222222222223</v>
      </c>
      <c r="AG157" s="11">
        <v>40.0</v>
      </c>
      <c r="AH157" s="12">
        <v>0.9701388888888889</v>
      </c>
      <c r="AI157" s="13">
        <v>0.9763888888888889</v>
      </c>
      <c r="AJ157" s="14">
        <v>45.0</v>
      </c>
      <c r="AK157" s="15">
        <v>0.08611111111111111</v>
      </c>
      <c r="AL157" s="16">
        <v>0.09027777777777778</v>
      </c>
      <c r="AM157" s="11">
        <v>49.0</v>
      </c>
      <c r="AN157" s="12">
        <v>0.16597222222222222</v>
      </c>
      <c r="AO157" s="13">
        <v>0.18958333333333333</v>
      </c>
      <c r="AP157" s="11">
        <v>55.0</v>
      </c>
      <c r="AQ157" s="12">
        <v>0.2743055555555556</v>
      </c>
      <c r="AR157" s="13">
        <v>0.28402777777777777</v>
      </c>
      <c r="AS157" s="11">
        <v>60.0</v>
      </c>
      <c r="AT157" s="12">
        <v>0.4041666666666667</v>
      </c>
      <c r="AU157" s="13">
        <v>0.4083333333333333</v>
      </c>
      <c r="AV157" s="11">
        <v>65.0</v>
      </c>
      <c r="AW157" s="12">
        <v>0.5083333333333333</v>
      </c>
      <c r="AX157" s="13">
        <v>0.5111111111111111</v>
      </c>
      <c r="AY157" s="34">
        <f t="array" ref="AY157">XLOOKUP(B157,faclon_results_2022!$D:$D,faclon_results_2022!$A:$A,"DNF")</f>
        <v>66</v>
      </c>
      <c r="AZ157" s="12">
        <f t="shared" si="1"/>
        <v>0.5708333333</v>
      </c>
      <c r="BA157" s="18">
        <f t="array" ref="BA157">XLOOKUP(B157,faclon_results_2022!$D:$D,faclon_results_2022!$J:$J)</f>
        <v>32.70545</v>
      </c>
    </row>
    <row r="158" ht="15.75" customHeight="1">
      <c r="A158" s="7"/>
      <c r="B158" s="47">
        <v>688.0</v>
      </c>
      <c r="C158" s="11">
        <v>152.0</v>
      </c>
      <c r="D158" s="12">
        <v>0.2743055555555556</v>
      </c>
      <c r="E158" s="13">
        <v>0.275</v>
      </c>
      <c r="F158" s="64">
        <v>140.0</v>
      </c>
      <c r="G158" s="65">
        <v>0.33611111111111114</v>
      </c>
      <c r="H158" s="66">
        <v>0.33611111111111114</v>
      </c>
      <c r="I158" s="11">
        <v>148.0</v>
      </c>
      <c r="J158" s="12">
        <v>0.4125</v>
      </c>
      <c r="K158" s="13">
        <v>0.42083333333333334</v>
      </c>
      <c r="L158" s="67">
        <v>128.0</v>
      </c>
      <c r="M158" s="12">
        <v>0.5041666666666667</v>
      </c>
      <c r="N158" s="13">
        <v>0.5076388888888889</v>
      </c>
      <c r="O158" s="38">
        <v>125.0</v>
      </c>
      <c r="P158" s="12">
        <v>0.5798611111111112</v>
      </c>
      <c r="Q158" s="13">
        <v>0.5826388888888889</v>
      </c>
      <c r="R158" s="11">
        <v>113.0</v>
      </c>
      <c r="S158" s="12">
        <v>0.6479166666666667</v>
      </c>
      <c r="T158" s="13">
        <v>0.65</v>
      </c>
      <c r="U158" s="11">
        <v>104.0</v>
      </c>
      <c r="V158" s="12">
        <v>0.6958333333333333</v>
      </c>
      <c r="W158" s="13">
        <v>0.70625</v>
      </c>
      <c r="X158" s="11">
        <v>104.0</v>
      </c>
      <c r="Y158" s="12"/>
      <c r="Z158" s="13">
        <v>0.8180555555555555</v>
      </c>
      <c r="AA158" s="20">
        <v>104.0</v>
      </c>
      <c r="AB158" s="21">
        <v>0.8881944444444444</v>
      </c>
      <c r="AC158" s="22">
        <v>0.8930555555555556</v>
      </c>
      <c r="AD158" s="18">
        <v>99.0</v>
      </c>
      <c r="AE158" s="12">
        <v>0.9965277777777778</v>
      </c>
      <c r="AF158" s="23">
        <v>0.004166666666666667</v>
      </c>
      <c r="AG158" s="11">
        <v>93.0</v>
      </c>
      <c r="AH158" s="12">
        <v>0.08402777777777778</v>
      </c>
      <c r="AI158" s="13">
        <v>0.08819444444444445</v>
      </c>
      <c r="AJ158" s="14">
        <v>94.0</v>
      </c>
      <c r="AK158" s="15">
        <v>0.2013888888888889</v>
      </c>
      <c r="AL158" s="16">
        <v>0.2048611111111111</v>
      </c>
      <c r="AM158" s="11">
        <v>91.0</v>
      </c>
      <c r="AN158" s="12">
        <v>0.27152777777777776</v>
      </c>
      <c r="AO158" s="13">
        <v>0.2777777777777778</v>
      </c>
      <c r="AP158" s="11">
        <v>87.0</v>
      </c>
      <c r="AQ158" s="12">
        <v>0.35208333333333336</v>
      </c>
      <c r="AR158" s="13">
        <v>0.3611111111111111</v>
      </c>
      <c r="AS158" s="11">
        <v>90.0</v>
      </c>
      <c r="AT158" s="12">
        <v>0.46597222222222223</v>
      </c>
      <c r="AU158" s="13">
        <v>0.4722222222222222</v>
      </c>
      <c r="AV158" s="11">
        <v>92.0</v>
      </c>
      <c r="AW158" s="12">
        <v>0.06319444444444444</v>
      </c>
      <c r="AX158" s="13">
        <v>0.06527777777777778</v>
      </c>
      <c r="AY158" s="34">
        <f t="array" ref="AY158">XLOOKUP(B158,faclon_results_2022!$D:$D,faclon_results_2022!$A:$A,"DNF")</f>
        <v>94</v>
      </c>
      <c r="AZ158" s="12">
        <f t="shared" si="1"/>
        <v>0.6270833333</v>
      </c>
      <c r="BA158" s="18">
        <f t="array" ref="BA158">XLOOKUP(B158,faclon_results_2022!$D:$D,faclon_results_2022!$J:$J)</f>
        <v>34.05683</v>
      </c>
    </row>
    <row r="159" ht="15.75" customHeight="1">
      <c r="A159" s="7"/>
      <c r="B159" s="47">
        <v>689.0</v>
      </c>
      <c r="C159" s="11">
        <v>12.0</v>
      </c>
      <c r="D159" s="12">
        <v>0.25416666666666665</v>
      </c>
      <c r="E159" s="13">
        <v>0.25416666666666665</v>
      </c>
      <c r="F159" s="64"/>
      <c r="G159" s="65"/>
      <c r="H159" s="66"/>
      <c r="I159" s="11">
        <v>13.0</v>
      </c>
      <c r="J159" s="12">
        <v>0.35555555555555557</v>
      </c>
      <c r="K159" s="13">
        <v>0.3590277777777778</v>
      </c>
      <c r="L159" s="67">
        <v>14.0</v>
      </c>
      <c r="M159" s="12">
        <v>0.4284722222222222</v>
      </c>
      <c r="N159" s="13">
        <v>0.42916666666666664</v>
      </c>
      <c r="O159" s="38">
        <v>14.0</v>
      </c>
      <c r="P159" s="12">
        <v>0.4895833333333333</v>
      </c>
      <c r="Q159" s="13">
        <v>0.4909722222222222</v>
      </c>
      <c r="R159" s="11">
        <v>13.0</v>
      </c>
      <c r="S159" s="12">
        <v>0.54375</v>
      </c>
      <c r="T159" s="13">
        <v>0.5444444444444444</v>
      </c>
      <c r="U159" s="11">
        <v>13.0</v>
      </c>
      <c r="V159" s="12">
        <v>0.5791666666666667</v>
      </c>
      <c r="W159" s="13">
        <v>0.5868055555555556</v>
      </c>
      <c r="X159" s="11">
        <v>10.0</v>
      </c>
      <c r="Y159" s="12"/>
      <c r="Z159" s="13">
        <v>0.6701388888888888</v>
      </c>
      <c r="AA159" s="20">
        <v>10.0</v>
      </c>
      <c r="AB159" s="21">
        <v>0.7173611111111111</v>
      </c>
      <c r="AC159" s="22">
        <v>0.7194444444444444</v>
      </c>
      <c r="AD159" s="18">
        <v>9.0</v>
      </c>
      <c r="AE159" s="12">
        <v>0.7916666666666666</v>
      </c>
      <c r="AF159" s="23">
        <v>0.7993055555555556</v>
      </c>
      <c r="AG159" s="11">
        <v>9.0</v>
      </c>
      <c r="AH159" s="12">
        <v>0.8541666666666666</v>
      </c>
      <c r="AI159" s="13">
        <v>0.8576388888888888</v>
      </c>
      <c r="AJ159" s="14">
        <v>6.0</v>
      </c>
      <c r="AK159" s="15">
        <v>0.9229166666666667</v>
      </c>
      <c r="AL159" s="16">
        <v>0.925</v>
      </c>
      <c r="AM159" s="11">
        <v>5.0</v>
      </c>
      <c r="AN159" s="12">
        <v>0.9625</v>
      </c>
      <c r="AO159" s="13">
        <v>0.9680555555555556</v>
      </c>
      <c r="AP159" s="11">
        <v>5.0</v>
      </c>
      <c r="AQ159" s="12">
        <v>0.022222222222222223</v>
      </c>
      <c r="AR159" s="13">
        <v>0.025694444444444443</v>
      </c>
      <c r="AS159" s="11">
        <v>5.0</v>
      </c>
      <c r="AT159" s="12">
        <v>0.10694444444444444</v>
      </c>
      <c r="AU159" s="13">
        <v>0.1125</v>
      </c>
      <c r="AV159" s="11">
        <v>5.0</v>
      </c>
      <c r="AW159" s="12">
        <v>0.1763888888888889</v>
      </c>
      <c r="AX159" s="13">
        <v>0.17708333333333334</v>
      </c>
      <c r="AY159" s="34">
        <f t="array" ref="AY159">XLOOKUP(B159,faclon_results_2022!$D:$D,faclon_results_2022!$A:$A,"DNF")</f>
        <v>5</v>
      </c>
      <c r="AZ159" s="12">
        <f t="shared" si="1"/>
        <v>0.2125</v>
      </c>
      <c r="BA159" s="18">
        <f t="array" ref="BA159">XLOOKUP(B159,faclon_results_2022!$D:$D,faclon_results_2022!$J:$J)</f>
        <v>24.11553</v>
      </c>
    </row>
    <row r="160" ht="15.75" customHeight="1">
      <c r="A160" s="7"/>
      <c r="B160" s="47">
        <v>690.0</v>
      </c>
      <c r="C160" s="11">
        <v>97.0</v>
      </c>
      <c r="D160" s="12">
        <v>0.26805555555555555</v>
      </c>
      <c r="E160" s="13">
        <v>0.26875</v>
      </c>
      <c r="F160" s="64">
        <v>95.0</v>
      </c>
      <c r="G160" s="65">
        <v>0.32430555555555557</v>
      </c>
      <c r="H160" s="66">
        <v>0.32430555555555557</v>
      </c>
      <c r="I160" s="11">
        <v>89.0</v>
      </c>
      <c r="J160" s="12">
        <v>0.3902777777777778</v>
      </c>
      <c r="K160" s="13">
        <v>0.39305555555555555</v>
      </c>
      <c r="L160" s="67">
        <v>84.0</v>
      </c>
      <c r="M160" s="12">
        <v>0.48055555555555557</v>
      </c>
      <c r="N160" s="13">
        <v>0.48333333333333334</v>
      </c>
      <c r="O160" s="38">
        <v>90.0</v>
      </c>
      <c r="P160" s="12">
        <v>0.5555555555555556</v>
      </c>
      <c r="Q160" s="13">
        <v>0.55625</v>
      </c>
      <c r="R160" s="11">
        <v>86.0</v>
      </c>
      <c r="S160" s="12">
        <v>0.625</v>
      </c>
      <c r="T160" s="13">
        <v>0.6263888888888889</v>
      </c>
      <c r="U160" s="11">
        <v>88.0</v>
      </c>
      <c r="V160" s="12">
        <v>0.6784722222222223</v>
      </c>
      <c r="W160" s="13">
        <v>0.6902777777777778</v>
      </c>
      <c r="X160" s="11">
        <v>161.0</v>
      </c>
      <c r="Y160" s="18"/>
      <c r="Z160" s="13">
        <v>0.8958333333333334</v>
      </c>
      <c r="AA160" s="20">
        <v>162.0</v>
      </c>
      <c r="AB160" s="21">
        <v>0.9729166666666667</v>
      </c>
      <c r="AC160" s="70" t="s">
        <v>178</v>
      </c>
      <c r="AD160" s="18"/>
      <c r="AE160" s="18"/>
      <c r="AF160" s="47"/>
      <c r="AG160" s="11"/>
      <c r="AH160" s="18"/>
      <c r="AI160" s="38"/>
      <c r="AJ160" s="68"/>
      <c r="AK160" s="68"/>
      <c r="AL160" s="69"/>
      <c r="AM160" s="11"/>
      <c r="AN160" s="18"/>
      <c r="AO160" s="38"/>
      <c r="AP160" s="11"/>
      <c r="AQ160" s="18"/>
      <c r="AR160" s="38"/>
      <c r="AS160" s="11"/>
      <c r="AT160" s="18"/>
      <c r="AU160" s="38"/>
      <c r="AV160" s="11"/>
      <c r="AW160" s="18"/>
      <c r="AX160" s="38"/>
      <c r="AY160" s="34" t="str">
        <f t="array" ref="AY160">XLOOKUP(B160,faclon_results_2022!$D:$D,faclon_results_2022!$A:$A,"DNF")</f>
        <v>DNF</v>
      </c>
      <c r="AZ160" s="12" t="str">
        <f t="shared" si="1"/>
        <v>#N/A</v>
      </c>
      <c r="BA160" s="18" t="str">
        <f t="array" ref="BA160">XLOOKUP(B160,faclon_results_2022!$D:$D,faclon_results_2022!$J:$J)</f>
        <v>#N/A</v>
      </c>
    </row>
    <row r="161" ht="15.75" customHeight="1">
      <c r="A161" s="7"/>
      <c r="B161" s="47">
        <v>691.0</v>
      </c>
      <c r="C161" s="11">
        <v>128.0</v>
      </c>
      <c r="D161" s="12">
        <v>0.2708333333333333</v>
      </c>
      <c r="E161" s="13">
        <v>0.27152777777777776</v>
      </c>
      <c r="F161" s="64">
        <v>149.0</v>
      </c>
      <c r="G161" s="65">
        <v>0.3368055555555556</v>
      </c>
      <c r="H161" s="66">
        <v>0.3368055555555556</v>
      </c>
      <c r="I161" s="11">
        <v>167.0</v>
      </c>
      <c r="J161" s="12">
        <v>0.42083333333333334</v>
      </c>
      <c r="K161" s="13">
        <v>0.4340277777777778</v>
      </c>
      <c r="L161" s="67">
        <v>174.0</v>
      </c>
      <c r="M161" s="12">
        <v>0.5333333333333333</v>
      </c>
      <c r="N161" s="13">
        <v>0.5381944444444444</v>
      </c>
      <c r="O161" s="38">
        <v>175.0</v>
      </c>
      <c r="P161" s="12">
        <v>0.6173611111111111</v>
      </c>
      <c r="Q161" s="13">
        <v>0.6243055555555556</v>
      </c>
      <c r="R161" s="11">
        <v>171.0</v>
      </c>
      <c r="S161" s="12">
        <v>0.6993055555555555</v>
      </c>
      <c r="T161" s="13">
        <v>0.7076388888888889</v>
      </c>
      <c r="U161" s="11">
        <v>171.0</v>
      </c>
      <c r="V161" s="12">
        <v>0.7625</v>
      </c>
      <c r="W161" s="13">
        <v>0.7770833333333333</v>
      </c>
      <c r="X161" s="11">
        <v>167.0</v>
      </c>
      <c r="Y161" s="12"/>
      <c r="Z161" s="13">
        <v>0.9180555555555555</v>
      </c>
      <c r="AA161" s="20">
        <v>166.0</v>
      </c>
      <c r="AB161" s="21">
        <v>0.5</v>
      </c>
      <c r="AC161" s="22">
        <v>0.009722222222222222</v>
      </c>
      <c r="AD161" s="18" t="s">
        <v>178</v>
      </c>
      <c r="AE161" s="18"/>
      <c r="AF161" s="47"/>
      <c r="AG161" s="11"/>
      <c r="AH161" s="18"/>
      <c r="AI161" s="38"/>
      <c r="AJ161" s="68"/>
      <c r="AK161" s="68"/>
      <c r="AL161" s="69"/>
      <c r="AM161" s="11"/>
      <c r="AN161" s="18"/>
      <c r="AO161" s="38"/>
      <c r="AP161" s="11"/>
      <c r="AQ161" s="18"/>
      <c r="AR161" s="38"/>
      <c r="AS161" s="11"/>
      <c r="AT161" s="18"/>
      <c r="AU161" s="38"/>
      <c r="AV161" s="11"/>
      <c r="AW161" s="18"/>
      <c r="AX161" s="38"/>
      <c r="AY161" s="34" t="str">
        <f t="array" ref="AY161">XLOOKUP(B161,faclon_results_2022!$D:$D,faclon_results_2022!$A:$A,"DNF")</f>
        <v>DNF</v>
      </c>
      <c r="AZ161" s="12" t="str">
        <f t="shared" si="1"/>
        <v>#N/A</v>
      </c>
      <c r="BA161" s="18" t="str">
        <f t="array" ref="BA161">XLOOKUP(B161,faclon_results_2022!$D:$D,faclon_results_2022!$J:$J)</f>
        <v>#N/A</v>
      </c>
    </row>
    <row r="162" ht="15.75" customHeight="1">
      <c r="A162" s="7"/>
      <c r="B162" s="47">
        <v>692.0</v>
      </c>
      <c r="C162" s="11">
        <v>45.0</v>
      </c>
      <c r="D162" s="12">
        <v>0.2611111111111111</v>
      </c>
      <c r="E162" s="13">
        <v>0.26180555555555557</v>
      </c>
      <c r="F162" s="64">
        <v>48.0</v>
      </c>
      <c r="G162" s="65">
        <v>0.3138888888888889</v>
      </c>
      <c r="H162" s="66">
        <v>0.3138888888888889</v>
      </c>
      <c r="I162" s="11">
        <v>53.0</v>
      </c>
      <c r="J162" s="12">
        <v>0.3763888888888889</v>
      </c>
      <c r="K162" s="13">
        <v>0.38055555555555554</v>
      </c>
      <c r="L162" s="67">
        <v>56.0</v>
      </c>
      <c r="M162" s="12">
        <v>0.4618055555555556</v>
      </c>
      <c r="N162" s="13">
        <v>0.4652777777777778</v>
      </c>
      <c r="O162" s="38">
        <v>62.0</v>
      </c>
      <c r="P162" s="12">
        <v>0.5333333333333333</v>
      </c>
      <c r="Q162" s="13">
        <v>0.5354166666666667</v>
      </c>
      <c r="R162" s="11">
        <v>62.0</v>
      </c>
      <c r="S162" s="12">
        <v>0.6</v>
      </c>
      <c r="T162" s="13">
        <v>0.6034722222222222</v>
      </c>
      <c r="U162" s="11">
        <v>61.0</v>
      </c>
      <c r="V162" s="12">
        <v>0.6451388888888889</v>
      </c>
      <c r="W162" s="13">
        <v>0.6541666666666667</v>
      </c>
      <c r="X162" s="11">
        <v>59.0</v>
      </c>
      <c r="Y162" s="12"/>
      <c r="Z162" s="13">
        <v>0.7569444444444444</v>
      </c>
      <c r="AA162" s="20">
        <v>57.0</v>
      </c>
      <c r="AB162" s="21">
        <v>0.8125</v>
      </c>
      <c r="AC162" s="22">
        <v>0.8152777777777778</v>
      </c>
      <c r="AD162" s="18">
        <v>48.0</v>
      </c>
      <c r="AE162" s="12">
        <v>0.8951388888888889</v>
      </c>
      <c r="AF162" s="23">
        <v>0.9076388888888889</v>
      </c>
      <c r="AG162" s="11">
        <v>42.0</v>
      </c>
      <c r="AH162" s="30">
        <v>0.9715277777777778</v>
      </c>
      <c r="AI162" s="13">
        <v>0.9777777777777777</v>
      </c>
      <c r="AJ162" s="14">
        <v>38.0</v>
      </c>
      <c r="AK162" s="15">
        <v>0.059027777777777776</v>
      </c>
      <c r="AL162" s="16">
        <v>0.06527777777777778</v>
      </c>
      <c r="AM162" s="11">
        <v>34.0</v>
      </c>
      <c r="AN162" s="12">
        <v>0.11527777777777778</v>
      </c>
      <c r="AO162" s="13">
        <v>0.11875</v>
      </c>
      <c r="AP162" s="11">
        <v>30.0</v>
      </c>
      <c r="AQ162" s="12">
        <v>0.18888888888888888</v>
      </c>
      <c r="AR162" s="13">
        <v>0.19444444444444445</v>
      </c>
      <c r="AS162" s="11">
        <v>28.0</v>
      </c>
      <c r="AT162" s="12">
        <v>0.2916666666666667</v>
      </c>
      <c r="AU162" s="13">
        <v>0.29444444444444445</v>
      </c>
      <c r="AV162" s="11">
        <v>27.0</v>
      </c>
      <c r="AW162" s="12">
        <v>0.35625</v>
      </c>
      <c r="AX162" s="13">
        <v>0.35625</v>
      </c>
      <c r="AY162" s="34">
        <f t="array" ref="AY162">XLOOKUP(B162,faclon_results_2022!$D:$D,faclon_results_2022!$A:$A,"DNF")</f>
        <v>26</v>
      </c>
      <c r="AZ162" s="12">
        <f t="shared" si="1"/>
        <v>0.3979166667</v>
      </c>
      <c r="BA162" s="18">
        <f t="array" ref="BA162">XLOOKUP(B162,faclon_results_2022!$D:$D,faclon_results_2022!$J:$J)</f>
        <v>28.55648</v>
      </c>
    </row>
    <row r="163" ht="15.75" customHeight="1">
      <c r="A163" s="7"/>
      <c r="B163" s="47">
        <v>693.0</v>
      </c>
      <c r="C163" s="11">
        <v>129.0</v>
      </c>
      <c r="D163" s="12">
        <v>0.2708333333333333</v>
      </c>
      <c r="E163" s="13">
        <v>0.27152777777777776</v>
      </c>
      <c r="F163" s="64">
        <v>123.0</v>
      </c>
      <c r="G163" s="65">
        <v>0.33125</v>
      </c>
      <c r="H163" s="66">
        <v>0.33125</v>
      </c>
      <c r="I163" s="11">
        <v>111.0</v>
      </c>
      <c r="J163" s="12">
        <v>0.40208333333333335</v>
      </c>
      <c r="K163" s="38"/>
      <c r="L163" s="67">
        <v>111.0</v>
      </c>
      <c r="M163" s="12">
        <v>0.49722222222222223</v>
      </c>
      <c r="N163" s="13">
        <v>0.5</v>
      </c>
      <c r="O163" s="38">
        <v>110.0</v>
      </c>
      <c r="P163" s="12">
        <v>0.5729166666666666</v>
      </c>
      <c r="Q163" s="12">
        <v>0.5763888888888888</v>
      </c>
      <c r="R163" s="11">
        <v>106.0</v>
      </c>
      <c r="S163" s="12">
        <v>0.64375</v>
      </c>
      <c r="T163" s="13">
        <v>0.6458333333333334</v>
      </c>
      <c r="U163" s="11">
        <v>109.0</v>
      </c>
      <c r="V163" s="12">
        <v>0.6993055555555555</v>
      </c>
      <c r="W163" s="13">
        <v>0.7069444444444445</v>
      </c>
      <c r="X163" s="11">
        <v>105.0</v>
      </c>
      <c r="Y163" s="12"/>
      <c r="Z163" s="13">
        <v>0.81875</v>
      </c>
      <c r="AA163" s="20">
        <v>101.0</v>
      </c>
      <c r="AB163" s="21">
        <v>0.8861111111111111</v>
      </c>
      <c r="AC163" s="22">
        <v>0.8888888888888888</v>
      </c>
      <c r="AD163" s="18">
        <v>101.0</v>
      </c>
      <c r="AE163" s="12">
        <v>0.001388888888888889</v>
      </c>
      <c r="AF163" s="23">
        <v>0.010416666666666666</v>
      </c>
      <c r="AG163" s="11">
        <v>99.0</v>
      </c>
      <c r="AH163" s="12">
        <v>0.09027777777777778</v>
      </c>
      <c r="AI163" s="13">
        <v>0.09236111111111112</v>
      </c>
      <c r="AJ163" s="14">
        <v>104.0</v>
      </c>
      <c r="AK163" s="15">
        <v>0.21041666666666667</v>
      </c>
      <c r="AL163" s="16">
        <v>0.21666666666666667</v>
      </c>
      <c r="AM163" s="11">
        <v>99.0</v>
      </c>
      <c r="AN163" s="12">
        <v>0.28125</v>
      </c>
      <c r="AO163" s="13">
        <v>0.28888888888888886</v>
      </c>
      <c r="AP163" s="11">
        <v>96.0</v>
      </c>
      <c r="AQ163" s="12">
        <v>0.3638888888888889</v>
      </c>
      <c r="AR163" s="13">
        <v>0.3736111111111111</v>
      </c>
      <c r="AS163" s="11">
        <v>103.0</v>
      </c>
      <c r="AT163" s="12">
        <v>0.48819444444444443</v>
      </c>
      <c r="AU163" s="13">
        <v>0.4930555555555556</v>
      </c>
      <c r="AV163" s="11">
        <v>105.0</v>
      </c>
      <c r="AW163" s="12">
        <v>0.08333333333333333</v>
      </c>
      <c r="AX163" s="13">
        <v>0.08472222222222223</v>
      </c>
      <c r="AY163" s="34">
        <f t="array" ref="AY163">XLOOKUP(B163,faclon_results_2022!$D:$D,faclon_results_2022!$A:$A,"DNF")</f>
        <v>100</v>
      </c>
      <c r="AZ163" s="12">
        <f t="shared" si="1"/>
        <v>0.6506944444</v>
      </c>
      <c r="BA163" s="18">
        <f t="array" ref="BA163">XLOOKUP(B163,faclon_results_2022!$D:$D,faclon_results_2022!$J:$J)</f>
        <v>34.62954</v>
      </c>
    </row>
    <row r="164" ht="15.75" customHeight="1">
      <c r="A164" s="7"/>
      <c r="B164" s="47">
        <v>694.0</v>
      </c>
      <c r="C164" s="11">
        <v>173.0</v>
      </c>
      <c r="D164" s="12">
        <v>0.2743055555555556</v>
      </c>
      <c r="E164" s="13">
        <v>0.275</v>
      </c>
      <c r="F164" s="64">
        <v>148.0</v>
      </c>
      <c r="G164" s="65">
        <v>0.3368055555555556</v>
      </c>
      <c r="H164" s="66">
        <v>0.3368055555555556</v>
      </c>
      <c r="I164" s="11">
        <v>145.0</v>
      </c>
      <c r="J164" s="12">
        <v>0.41180555555555554</v>
      </c>
      <c r="K164" s="13">
        <v>0.4173611111111111</v>
      </c>
      <c r="L164" s="67">
        <v>143.0</v>
      </c>
      <c r="M164" s="12">
        <v>0.5104166666666666</v>
      </c>
      <c r="N164" s="13">
        <v>0.5138888888888888</v>
      </c>
      <c r="O164" s="38">
        <v>145.0</v>
      </c>
      <c r="P164" s="12">
        <v>0.59375</v>
      </c>
      <c r="Q164" s="13">
        <v>0.5951388888888889</v>
      </c>
      <c r="R164" s="11">
        <v>147.0</v>
      </c>
      <c r="S164" s="12">
        <v>0.6701388888888888</v>
      </c>
      <c r="T164" s="13">
        <v>0.6722222222222223</v>
      </c>
      <c r="U164" s="11">
        <v>146.0</v>
      </c>
      <c r="V164" s="12">
        <v>0.73125</v>
      </c>
      <c r="W164" s="13">
        <v>0.7534722222222222</v>
      </c>
      <c r="X164" s="11">
        <v>144.0</v>
      </c>
      <c r="Y164" s="12"/>
      <c r="Z164" s="13">
        <v>0.8701388888888889</v>
      </c>
      <c r="AA164" s="20">
        <v>140.0</v>
      </c>
      <c r="AB164" s="21">
        <v>0.9423611111111111</v>
      </c>
      <c r="AC164" s="22">
        <v>0.9479166666666666</v>
      </c>
      <c r="AD164" s="18">
        <v>138.0</v>
      </c>
      <c r="AE164" s="12">
        <v>0.06527777777777778</v>
      </c>
      <c r="AF164" s="23">
        <v>0.08958333333333333</v>
      </c>
      <c r="AG164" s="11">
        <v>137.0</v>
      </c>
      <c r="AH164" s="12">
        <v>0.1840277777777778</v>
      </c>
      <c r="AI164" s="38" t="s">
        <v>178</v>
      </c>
      <c r="AJ164" s="68"/>
      <c r="AK164" s="68"/>
      <c r="AL164" s="69"/>
      <c r="AM164" s="11"/>
      <c r="AN164" s="12"/>
      <c r="AO164" s="38"/>
      <c r="AP164" s="11"/>
      <c r="AQ164" s="12"/>
      <c r="AR164" s="38"/>
      <c r="AS164" s="11"/>
      <c r="AT164" s="12"/>
      <c r="AU164" s="38"/>
      <c r="AV164" s="11"/>
      <c r="AW164" s="12"/>
      <c r="AX164" s="38"/>
      <c r="AY164" s="34" t="str">
        <f t="array" ref="AY164">XLOOKUP(B164,faclon_results_2022!$D:$D,faclon_results_2022!$A:$A,"DNF")</f>
        <v>DNF</v>
      </c>
      <c r="AZ164" s="12" t="str">
        <f t="shared" si="1"/>
        <v>#N/A</v>
      </c>
      <c r="BA164" s="18" t="str">
        <f t="array" ref="BA164">XLOOKUP(B164,faclon_results_2022!$D:$D,faclon_results_2022!$J:$J)</f>
        <v>#N/A</v>
      </c>
    </row>
    <row r="165" ht="15.75" customHeight="1">
      <c r="A165" s="7"/>
      <c r="B165" s="47">
        <v>695.0</v>
      </c>
      <c r="C165" s="11">
        <v>68.0</v>
      </c>
      <c r="D165" s="12">
        <v>0.2638888888888889</v>
      </c>
      <c r="E165" s="13">
        <v>0.26458333333333334</v>
      </c>
      <c r="F165" s="64">
        <v>64.0</v>
      </c>
      <c r="G165" s="65">
        <v>0.31875</v>
      </c>
      <c r="H165" s="66">
        <v>0.31875</v>
      </c>
      <c r="I165" s="11">
        <v>64.0</v>
      </c>
      <c r="J165" s="12">
        <v>0.3840277777777778</v>
      </c>
      <c r="K165" s="13">
        <v>0.3875</v>
      </c>
      <c r="L165" s="67">
        <v>63.0</v>
      </c>
      <c r="M165" s="12">
        <v>0.46944444444444444</v>
      </c>
      <c r="N165" s="13">
        <v>0.47291666666666665</v>
      </c>
      <c r="O165" s="38">
        <v>70.0</v>
      </c>
      <c r="P165" s="12">
        <v>0.5430555555555555</v>
      </c>
      <c r="Q165" s="13">
        <v>0.5472222222222223</v>
      </c>
      <c r="R165" s="11">
        <v>68.0</v>
      </c>
      <c r="S165" s="12">
        <v>0.6069444444444444</v>
      </c>
      <c r="T165" s="13">
        <v>0.6111111111111112</v>
      </c>
      <c r="U165" s="11">
        <v>79.0</v>
      </c>
      <c r="V165" s="12">
        <v>0.6694444444444444</v>
      </c>
      <c r="W165" s="13">
        <v>0.68125</v>
      </c>
      <c r="X165" s="11">
        <v>83.0</v>
      </c>
      <c r="Y165" s="12"/>
      <c r="Z165" s="13">
        <v>0.7902777777777777</v>
      </c>
      <c r="AA165" s="20">
        <v>92.0</v>
      </c>
      <c r="AB165" s="21">
        <v>0.8652777777777778</v>
      </c>
      <c r="AC165" s="22">
        <v>0.8652777777777778</v>
      </c>
      <c r="AD165" s="18">
        <v>88.0</v>
      </c>
      <c r="AE165" s="12">
        <v>0.9736111111111111</v>
      </c>
      <c r="AF165" s="23">
        <v>0.9805555555555555</v>
      </c>
      <c r="AG165" s="11">
        <v>84.0</v>
      </c>
      <c r="AH165" s="12">
        <v>0.06388888888888888</v>
      </c>
      <c r="AI165" s="13">
        <v>0.06875</v>
      </c>
      <c r="AJ165" s="14">
        <v>86.0</v>
      </c>
      <c r="AK165" s="15">
        <v>0.18472222222222223</v>
      </c>
      <c r="AL165" s="16">
        <v>0.1875</v>
      </c>
      <c r="AM165" s="11">
        <v>88.0</v>
      </c>
      <c r="AN165" s="12">
        <v>0.26944444444444443</v>
      </c>
      <c r="AO165" s="13">
        <v>0.28888888888888886</v>
      </c>
      <c r="AP165" s="11">
        <v>97.0</v>
      </c>
      <c r="AQ165" s="12">
        <v>0.36527777777777776</v>
      </c>
      <c r="AR165" s="13">
        <v>0.37083333333333335</v>
      </c>
      <c r="AS165" s="11">
        <v>94.0</v>
      </c>
      <c r="AT165" s="12">
        <v>0.47708333333333336</v>
      </c>
      <c r="AU165" s="13">
        <v>0.4798611111111111</v>
      </c>
      <c r="AV165" s="11">
        <v>96.0</v>
      </c>
      <c r="AW165" s="12">
        <v>0.07083333333333333</v>
      </c>
      <c r="AX165" s="13">
        <v>0.07222222222222222</v>
      </c>
      <c r="AY165" s="34">
        <f t="array" ref="AY165">XLOOKUP(B165,faclon_results_2022!$D:$D,faclon_results_2022!$A:$A,"DNF")</f>
        <v>97</v>
      </c>
      <c r="AZ165" s="12">
        <f t="shared" si="1"/>
        <v>0.6340277778</v>
      </c>
      <c r="BA165" s="18">
        <f t="array" ref="BA165">XLOOKUP(B165,faclon_results_2022!$D:$D,faclon_results_2022!$J:$J)</f>
        <v>34.22789</v>
      </c>
    </row>
    <row r="166" ht="15.75" customHeight="1">
      <c r="A166" s="7"/>
      <c r="B166" s="47">
        <v>696.0</v>
      </c>
      <c r="C166" s="11">
        <v>113.0</v>
      </c>
      <c r="D166" s="12">
        <v>0.26944444444444443</v>
      </c>
      <c r="E166" s="13">
        <v>0.2701388888888889</v>
      </c>
      <c r="F166" s="64">
        <v>109.0</v>
      </c>
      <c r="G166" s="65">
        <v>0.32569444444444445</v>
      </c>
      <c r="H166" s="66">
        <v>0.32569444444444445</v>
      </c>
      <c r="I166" s="11">
        <v>91.0</v>
      </c>
      <c r="J166" s="12">
        <v>0.39305555555555555</v>
      </c>
      <c r="K166" s="13">
        <v>0.39861111111111114</v>
      </c>
      <c r="L166" s="67">
        <v>91.0</v>
      </c>
      <c r="M166" s="12">
        <v>0.4840277777777778</v>
      </c>
      <c r="N166" s="13">
        <v>0.4875</v>
      </c>
      <c r="O166" s="38">
        <v>89.0</v>
      </c>
      <c r="P166" s="12">
        <v>0.5555555555555556</v>
      </c>
      <c r="Q166" s="13">
        <v>0.5604166666666667</v>
      </c>
      <c r="R166" s="11">
        <v>90.0</v>
      </c>
      <c r="S166" s="12">
        <v>0.6256944444444444</v>
      </c>
      <c r="T166" s="13">
        <v>0.6291666666666667</v>
      </c>
      <c r="U166" s="11">
        <v>86.0</v>
      </c>
      <c r="V166" s="12">
        <v>0.6743055555555556</v>
      </c>
      <c r="W166" s="13">
        <v>0.6888888888888889</v>
      </c>
      <c r="X166" s="11">
        <v>91.0</v>
      </c>
      <c r="Y166" s="12"/>
      <c r="Z166" s="13">
        <v>0.7972222222222223</v>
      </c>
      <c r="AA166" s="20">
        <v>91.0</v>
      </c>
      <c r="AB166" s="21">
        <v>0.8597222222222223</v>
      </c>
      <c r="AC166" s="22">
        <v>0.8645833333333334</v>
      </c>
      <c r="AD166" s="18">
        <v>89.0</v>
      </c>
      <c r="AE166" s="12">
        <v>0.9736111111111111</v>
      </c>
      <c r="AF166" s="23">
        <v>0.9986111111111111</v>
      </c>
      <c r="AG166" s="11">
        <v>90.0</v>
      </c>
      <c r="AH166" s="12">
        <v>0.07222222222222222</v>
      </c>
      <c r="AI166" s="13">
        <v>0.07916666666666666</v>
      </c>
      <c r="AJ166" s="14">
        <v>89.0</v>
      </c>
      <c r="AK166" s="15">
        <v>0.18958333333333333</v>
      </c>
      <c r="AL166" s="16">
        <v>0.19444444444444445</v>
      </c>
      <c r="AM166" s="11">
        <v>85.0</v>
      </c>
      <c r="AN166" s="12">
        <v>0.26805555555555555</v>
      </c>
      <c r="AO166" s="13">
        <v>0.28541666666666665</v>
      </c>
      <c r="AP166" s="11">
        <v>88.0</v>
      </c>
      <c r="AQ166" s="12">
        <v>0.35555555555555557</v>
      </c>
      <c r="AR166" s="13">
        <v>0.36180555555555555</v>
      </c>
      <c r="AS166" s="11">
        <v>93.0</v>
      </c>
      <c r="AT166" s="12">
        <v>0.47638888888888886</v>
      </c>
      <c r="AU166" s="13">
        <v>0.4847222222222222</v>
      </c>
      <c r="AV166" s="11">
        <v>99.0</v>
      </c>
      <c r="AW166" s="12">
        <v>0.07847222222222222</v>
      </c>
      <c r="AX166" s="13">
        <v>0.08194444444444444</v>
      </c>
      <c r="AY166" s="34">
        <f t="array" ref="AY166">XLOOKUP(B166,faclon_results_2022!$D:$D,faclon_results_2022!$A:$A,"DNF")</f>
        <v>101</v>
      </c>
      <c r="AZ166" s="12">
        <f t="shared" si="1"/>
        <v>0.6520833333</v>
      </c>
      <c r="BA166" s="18">
        <f t="array" ref="BA166">XLOOKUP(B166,faclon_results_2022!$D:$D,faclon_results_2022!$J:$J)</f>
        <v>34.66051</v>
      </c>
    </row>
    <row r="167" ht="15.75" customHeight="1">
      <c r="A167" s="7"/>
      <c r="B167" s="47">
        <v>697.0</v>
      </c>
      <c r="C167" s="11">
        <v>34.0</v>
      </c>
      <c r="D167" s="12">
        <v>0.25972222222222224</v>
      </c>
      <c r="E167" s="13">
        <v>0.2604166666666667</v>
      </c>
      <c r="F167" s="64">
        <v>28.0</v>
      </c>
      <c r="G167" s="65">
        <v>0.30694444444444446</v>
      </c>
      <c r="H167" s="66">
        <v>0.30694444444444446</v>
      </c>
      <c r="I167" s="11">
        <v>21.0</v>
      </c>
      <c r="J167" s="12">
        <v>0.36319444444444443</v>
      </c>
      <c r="K167" s="13">
        <v>0.3638888888888889</v>
      </c>
      <c r="L167" s="67">
        <v>15.0</v>
      </c>
      <c r="M167" s="12">
        <v>0.42986111111111114</v>
      </c>
      <c r="N167" s="13">
        <v>0.4326388888888889</v>
      </c>
      <c r="O167" s="38">
        <v>13.0</v>
      </c>
      <c r="P167" s="12">
        <v>0.48680555555555555</v>
      </c>
      <c r="Q167" s="13">
        <v>0.4888888888888889</v>
      </c>
      <c r="R167" s="11">
        <v>14.0</v>
      </c>
      <c r="S167" s="12">
        <v>0.5444444444444444</v>
      </c>
      <c r="T167" s="13">
        <v>0.5472222222222223</v>
      </c>
      <c r="U167" s="11">
        <v>14.0</v>
      </c>
      <c r="V167" s="12">
        <v>0.5875</v>
      </c>
      <c r="W167" s="13">
        <v>0.5951388888888889</v>
      </c>
      <c r="X167" s="11">
        <v>14.0</v>
      </c>
      <c r="Y167" s="18"/>
      <c r="Z167" s="13">
        <v>0.6854166666666667</v>
      </c>
      <c r="AA167" s="20">
        <v>16.0</v>
      </c>
      <c r="AB167" s="21">
        <v>0.7430555555555556</v>
      </c>
      <c r="AC167" s="22">
        <v>0.7458333333333333</v>
      </c>
      <c r="AD167" s="18">
        <v>24.0</v>
      </c>
      <c r="AE167" s="12">
        <v>0.8305555555555556</v>
      </c>
      <c r="AF167" s="23">
        <v>0.8409722222222222</v>
      </c>
      <c r="AG167" s="11">
        <v>23.0</v>
      </c>
      <c r="AH167" s="12">
        <v>0.9055555555555556</v>
      </c>
      <c r="AI167" s="13">
        <v>0.9090277777777778</v>
      </c>
      <c r="AJ167" s="14">
        <v>22.0</v>
      </c>
      <c r="AK167" s="15">
        <v>0.9965277777777778</v>
      </c>
      <c r="AL167" s="16">
        <v>0.002777777777777778</v>
      </c>
      <c r="AM167" s="11">
        <v>23.0</v>
      </c>
      <c r="AN167" s="12">
        <v>0.07013888888888889</v>
      </c>
      <c r="AO167" s="13">
        <v>0.075</v>
      </c>
      <c r="AP167" s="11">
        <v>23.0</v>
      </c>
      <c r="AQ167" s="12">
        <v>0.14722222222222223</v>
      </c>
      <c r="AR167" s="13">
        <v>0.15208333333333332</v>
      </c>
      <c r="AS167" s="11">
        <v>26.0</v>
      </c>
      <c r="AT167" s="12">
        <v>0.26805555555555555</v>
      </c>
      <c r="AU167" s="13">
        <v>0.2798611111111111</v>
      </c>
      <c r="AV167" s="11">
        <v>28.0</v>
      </c>
      <c r="AW167" s="12">
        <v>0.36180555555555555</v>
      </c>
      <c r="AX167" s="13">
        <v>0.35694444444444445</v>
      </c>
      <c r="AY167" s="34">
        <f t="array" ref="AY167">XLOOKUP(B167,faclon_results_2022!$D:$D,faclon_results_2022!$A:$A,"DNF")</f>
        <v>29</v>
      </c>
      <c r="AZ167" s="12">
        <f t="shared" si="1"/>
        <v>0.4166666667</v>
      </c>
      <c r="BA167" s="18">
        <f t="array" ref="BA167">XLOOKUP(B167,faclon_results_2022!$D:$D,faclon_results_2022!$J:$J)</f>
        <v>29.00599</v>
      </c>
    </row>
    <row r="168" ht="15.75" customHeight="1">
      <c r="A168" s="7"/>
      <c r="B168" s="47">
        <v>699.0</v>
      </c>
      <c r="C168" s="11">
        <v>125.0</v>
      </c>
      <c r="D168" s="12">
        <v>0.2708333333333333</v>
      </c>
      <c r="E168" s="13">
        <v>0.27152777777777776</v>
      </c>
      <c r="F168" s="64">
        <v>133.0</v>
      </c>
      <c r="G168" s="65">
        <v>0.33402777777777776</v>
      </c>
      <c r="H168" s="66">
        <v>0.33402777777777776</v>
      </c>
      <c r="I168" s="11">
        <v>126.0</v>
      </c>
      <c r="J168" s="12">
        <v>0.4048611111111111</v>
      </c>
      <c r="K168" s="13">
        <v>0.41458333333333336</v>
      </c>
      <c r="L168" s="67">
        <v>136.0</v>
      </c>
      <c r="M168" s="12">
        <v>0.5055555555555555</v>
      </c>
      <c r="N168" s="13">
        <v>0.50625</v>
      </c>
      <c r="O168" s="38">
        <v>113.0</v>
      </c>
      <c r="P168" s="12">
        <v>0.5770833333333333</v>
      </c>
      <c r="Q168" s="13">
        <v>0.5791666666666667</v>
      </c>
      <c r="R168" s="11">
        <v>111.0</v>
      </c>
      <c r="S168" s="12">
        <v>0.6479166666666667</v>
      </c>
      <c r="T168" s="13">
        <v>0.6486111111111111</v>
      </c>
      <c r="U168" s="11">
        <v>108.0</v>
      </c>
      <c r="V168" s="12">
        <v>0.6986111111111111</v>
      </c>
      <c r="W168" s="13">
        <v>0.7055555555555556</v>
      </c>
      <c r="X168" s="11">
        <v>108.0</v>
      </c>
      <c r="Y168" s="12"/>
      <c r="Z168" s="13">
        <v>0.8256944444444444</v>
      </c>
      <c r="AA168" s="20">
        <v>109.0</v>
      </c>
      <c r="AB168" s="21">
        <v>0.8986111111111111</v>
      </c>
      <c r="AC168" s="22">
        <v>0.8944444444444445</v>
      </c>
      <c r="AD168" s="18">
        <v>100.0</v>
      </c>
      <c r="AE168" s="12">
        <v>0.9965277777777778</v>
      </c>
      <c r="AF168" s="23">
        <v>0.024305555555555556</v>
      </c>
      <c r="AG168" s="11">
        <v>106.0</v>
      </c>
      <c r="AH168" s="12">
        <v>0.10069444444444445</v>
      </c>
      <c r="AI168" s="13">
        <v>0.10208333333333333</v>
      </c>
      <c r="AJ168" s="14">
        <v>96.0</v>
      </c>
      <c r="AK168" s="15">
        <v>0.20277777777777778</v>
      </c>
      <c r="AL168" s="16">
        <v>0.20555555555555555</v>
      </c>
      <c r="AM168" s="11">
        <v>86.0</v>
      </c>
      <c r="AN168" s="12">
        <v>0.26805555555555555</v>
      </c>
      <c r="AO168" s="13">
        <v>0.27569444444444446</v>
      </c>
      <c r="AP168" s="11">
        <v>83.0</v>
      </c>
      <c r="AQ168" s="12">
        <v>0.34791666666666665</v>
      </c>
      <c r="AR168" s="13">
        <v>0.35138888888888886</v>
      </c>
      <c r="AS168" s="11">
        <v>82.0</v>
      </c>
      <c r="AT168" s="12">
        <v>0.45555555555555555</v>
      </c>
      <c r="AU168" s="13">
        <v>0.46319444444444446</v>
      </c>
      <c r="AV168" s="11">
        <v>88.0</v>
      </c>
      <c r="AW168" s="12">
        <v>0.05</v>
      </c>
      <c r="AX168" s="13">
        <v>0.050694444444444445</v>
      </c>
      <c r="AY168" s="34">
        <f t="array" ref="AY168">XLOOKUP(B168,faclon_results_2022!$D:$D,faclon_results_2022!$A:$A,"DNF")</f>
        <v>84</v>
      </c>
      <c r="AZ168" s="12">
        <f t="shared" si="1"/>
        <v>0.6138888889</v>
      </c>
      <c r="BA168" s="18">
        <f t="array" ref="BA168">XLOOKUP(B168,faclon_results_2022!$D:$D,faclon_results_2022!$J:$J)</f>
        <v>33.746</v>
      </c>
    </row>
    <row r="169" ht="15.75" customHeight="1">
      <c r="A169" s="7"/>
      <c r="B169" s="47">
        <v>700.0</v>
      </c>
      <c r="C169" s="11">
        <v>108.0</v>
      </c>
      <c r="D169" s="12">
        <v>0.26944444444444443</v>
      </c>
      <c r="E169" s="13">
        <v>0.2701388888888889</v>
      </c>
      <c r="F169" s="64">
        <v>115.0</v>
      </c>
      <c r="G169" s="65">
        <v>0.32916666666666666</v>
      </c>
      <c r="H169" s="66">
        <v>0.32916666666666666</v>
      </c>
      <c r="I169" s="11">
        <v>117.0</v>
      </c>
      <c r="J169" s="12">
        <v>0.4013888888888889</v>
      </c>
      <c r="K169" s="13">
        <v>0.4152777777777778</v>
      </c>
      <c r="L169" s="67">
        <v>141.0</v>
      </c>
      <c r="M169" s="12">
        <v>0.5069444444444444</v>
      </c>
      <c r="N169" s="13">
        <v>0.5125</v>
      </c>
      <c r="O169" s="38">
        <v>140.0</v>
      </c>
      <c r="P169" s="12">
        <v>0.5895833333333333</v>
      </c>
      <c r="Q169" s="38" t="s">
        <v>178</v>
      </c>
      <c r="R169" s="11"/>
      <c r="S169" s="18"/>
      <c r="T169" s="13"/>
      <c r="U169" s="11"/>
      <c r="V169" s="12"/>
      <c r="W169" s="13"/>
      <c r="X169" s="11"/>
      <c r="Y169" s="12"/>
      <c r="Z169" s="13"/>
      <c r="AA169" s="20"/>
      <c r="AB169" s="20"/>
      <c r="AC169" s="70"/>
      <c r="AD169" s="18"/>
      <c r="AE169" s="18"/>
      <c r="AF169" s="47"/>
      <c r="AG169" s="11"/>
      <c r="AH169" s="12"/>
      <c r="AI169" s="13"/>
      <c r="AJ169" s="68"/>
      <c r="AK169" s="68"/>
      <c r="AL169" s="69"/>
      <c r="AM169" s="11"/>
      <c r="AN169" s="12"/>
      <c r="AO169" s="13"/>
      <c r="AP169" s="11"/>
      <c r="AQ169" s="12"/>
      <c r="AR169" s="13"/>
      <c r="AS169" s="11"/>
      <c r="AT169" s="12"/>
      <c r="AU169" s="13"/>
      <c r="AV169" s="11"/>
      <c r="AW169" s="12"/>
      <c r="AX169" s="13"/>
      <c r="AY169" s="34" t="str">
        <f t="array" ref="AY169">XLOOKUP(B169,faclon_results_2022!$D:$D,faclon_results_2022!$A:$A,"DNF")</f>
        <v>DNF</v>
      </c>
      <c r="AZ169" s="12" t="str">
        <f t="shared" si="1"/>
        <v>#N/A</v>
      </c>
      <c r="BA169" s="18" t="str">
        <f t="array" ref="BA169">XLOOKUP(B169,faclon_results_2022!$D:$D,faclon_results_2022!$J:$J)</f>
        <v>#N/A</v>
      </c>
    </row>
    <row r="170" ht="15.75" customHeight="1">
      <c r="A170" s="7"/>
      <c r="B170" s="47">
        <v>701.0</v>
      </c>
      <c r="C170" s="11">
        <v>165.0</v>
      </c>
      <c r="D170" s="12">
        <v>0.2743055555555556</v>
      </c>
      <c r="E170" s="13">
        <v>0.275</v>
      </c>
      <c r="F170" s="64">
        <v>162.0</v>
      </c>
      <c r="G170" s="65">
        <v>0.3388888888888889</v>
      </c>
      <c r="H170" s="66">
        <v>0.3388888888888889</v>
      </c>
      <c r="I170" s="11">
        <v>165.0</v>
      </c>
      <c r="J170" s="12">
        <v>0.41944444444444445</v>
      </c>
      <c r="K170" s="13">
        <v>0.4222222222222222</v>
      </c>
      <c r="L170" s="67">
        <v>153.0</v>
      </c>
      <c r="M170" s="12">
        <v>0.5159722222222223</v>
      </c>
      <c r="N170" s="13">
        <v>0.5194444444444445</v>
      </c>
      <c r="O170" s="38">
        <v>157.0</v>
      </c>
      <c r="P170" s="12">
        <v>0.5986111111111111</v>
      </c>
      <c r="Q170" s="13">
        <v>0.6013888888888889</v>
      </c>
      <c r="R170" s="11">
        <v>155.0</v>
      </c>
      <c r="S170" s="12">
        <v>0.68125</v>
      </c>
      <c r="T170" s="13">
        <v>0.6847222222222222</v>
      </c>
      <c r="U170" s="11">
        <v>154.0</v>
      </c>
      <c r="V170" s="12">
        <v>0.7395833333333334</v>
      </c>
      <c r="W170" s="13">
        <v>0.7541666666666667</v>
      </c>
      <c r="X170" s="11">
        <v>146.0</v>
      </c>
      <c r="Y170" s="12"/>
      <c r="Z170" s="13">
        <v>0.8715277777777778</v>
      </c>
      <c r="AA170" s="20">
        <v>143.0</v>
      </c>
      <c r="AB170" s="21">
        <v>0.9444444444444444</v>
      </c>
      <c r="AC170" s="22">
        <v>0.95</v>
      </c>
      <c r="AD170" s="18">
        <v>140.0</v>
      </c>
      <c r="AE170" s="12">
        <v>0.06597222222222222</v>
      </c>
      <c r="AF170" s="23">
        <v>0.09027777777777778</v>
      </c>
      <c r="AG170" s="11">
        <v>133.0</v>
      </c>
      <c r="AH170" s="12">
        <v>0.17083333333333334</v>
      </c>
      <c r="AI170" s="13">
        <v>0.17430555555555555</v>
      </c>
      <c r="AJ170" s="14">
        <v>133.0</v>
      </c>
      <c r="AK170" s="15">
        <v>0.2986111111111111</v>
      </c>
      <c r="AL170" s="16">
        <v>0.3020833333333333</v>
      </c>
      <c r="AM170" s="11">
        <v>128.0</v>
      </c>
      <c r="AN170" s="12">
        <v>0.3763888888888889</v>
      </c>
      <c r="AO170" s="13">
        <v>0.3784722222222222</v>
      </c>
      <c r="AP170" s="11">
        <v>126.0</v>
      </c>
      <c r="AQ170" s="12">
        <v>0.4722222222222222</v>
      </c>
      <c r="AR170" s="38" t="s">
        <v>178</v>
      </c>
      <c r="AS170" s="11"/>
      <c r="AT170" s="18"/>
      <c r="AU170" s="38"/>
      <c r="AV170" s="11"/>
      <c r="AW170" s="18"/>
      <c r="AX170" s="38"/>
      <c r="AY170" s="34" t="str">
        <f t="array" ref="AY170">XLOOKUP(B170,faclon_results_2022!$D:$D,faclon_results_2022!$A:$A,"DNF")</f>
        <v>DNF</v>
      </c>
      <c r="AZ170" s="12" t="str">
        <f t="shared" si="1"/>
        <v>#N/A</v>
      </c>
      <c r="BA170" s="18" t="str">
        <f t="array" ref="BA170">XLOOKUP(B170,faclon_results_2022!$D:$D,faclon_results_2022!$J:$J)</f>
        <v>#N/A</v>
      </c>
    </row>
    <row r="171" ht="15.75" customHeight="1">
      <c r="A171" s="7"/>
      <c r="B171" s="47">
        <v>702.0</v>
      </c>
      <c r="C171" s="11">
        <v>27.0</v>
      </c>
      <c r="D171" s="12">
        <v>0.25972222222222224</v>
      </c>
      <c r="E171" s="13">
        <v>0.2604166666666667</v>
      </c>
      <c r="F171" s="64">
        <v>23.0</v>
      </c>
      <c r="G171" s="65">
        <v>0.30625</v>
      </c>
      <c r="H171" s="66">
        <v>0.30625</v>
      </c>
      <c r="I171" s="11">
        <v>23.0</v>
      </c>
      <c r="J171" s="12">
        <v>0.3638888888888889</v>
      </c>
      <c r="K171" s="13">
        <v>0.36736111111111114</v>
      </c>
      <c r="L171" s="67">
        <v>20.0</v>
      </c>
      <c r="M171" s="12">
        <v>0.4354166666666667</v>
      </c>
      <c r="N171" s="13">
        <v>0.4375</v>
      </c>
      <c r="O171" s="38">
        <v>15.0</v>
      </c>
      <c r="P171" s="12">
        <v>0.49166666666666664</v>
      </c>
      <c r="Q171" s="13">
        <v>0.4951388888888889</v>
      </c>
      <c r="R171" s="11">
        <v>15.0</v>
      </c>
      <c r="S171" s="12">
        <v>0.5486111111111112</v>
      </c>
      <c r="T171" s="13">
        <v>0.5513888888888889</v>
      </c>
      <c r="U171" s="11">
        <v>17.0</v>
      </c>
      <c r="V171" s="12">
        <v>0.5909722222222222</v>
      </c>
      <c r="W171" s="13">
        <v>0.6027777777777777</v>
      </c>
      <c r="X171" s="11">
        <v>16.0</v>
      </c>
      <c r="Y171" s="12"/>
      <c r="Z171" s="13">
        <v>0.6902777777777778</v>
      </c>
      <c r="AA171" s="20">
        <v>15.0</v>
      </c>
      <c r="AB171" s="21">
        <v>0.7402777777777778</v>
      </c>
      <c r="AC171" s="22">
        <v>0.7430555555555556</v>
      </c>
      <c r="AD171" s="18">
        <v>11.0</v>
      </c>
      <c r="AE171" s="12">
        <v>0.8152777777777778</v>
      </c>
      <c r="AF171" s="23">
        <v>0.81875</v>
      </c>
      <c r="AG171" s="11">
        <v>11.0</v>
      </c>
      <c r="AH171" s="12">
        <v>0.875</v>
      </c>
      <c r="AI171" s="13">
        <v>0.875</v>
      </c>
      <c r="AJ171" s="14">
        <v>11.0</v>
      </c>
      <c r="AK171" s="15">
        <v>0.9618055555555556</v>
      </c>
      <c r="AL171" s="16">
        <v>0.9652777777777778</v>
      </c>
      <c r="AM171" s="11">
        <v>16.0</v>
      </c>
      <c r="AN171" s="12">
        <v>0.029166666666666667</v>
      </c>
      <c r="AO171" s="13">
        <v>0.049305555555555554</v>
      </c>
      <c r="AP171" s="11">
        <v>18.0</v>
      </c>
      <c r="AQ171" s="12">
        <v>0.12083333333333333</v>
      </c>
      <c r="AR171" s="13">
        <v>0.12430555555555556</v>
      </c>
      <c r="AS171" s="11">
        <v>18.0</v>
      </c>
      <c r="AT171" s="12">
        <v>0.23125</v>
      </c>
      <c r="AU171" s="13">
        <v>0.2361111111111111</v>
      </c>
      <c r="AV171" s="11">
        <v>20.0</v>
      </c>
      <c r="AW171" s="12">
        <v>0.3194444444444444</v>
      </c>
      <c r="AX171" s="13">
        <v>0.3194444444444444</v>
      </c>
      <c r="AY171" s="34">
        <f t="array" ref="AY171">XLOOKUP(B171,faclon_results_2022!$D:$D,faclon_results_2022!$A:$A,"DNF")</f>
        <v>20</v>
      </c>
      <c r="AZ171" s="12">
        <f t="shared" si="1"/>
        <v>0.3625</v>
      </c>
      <c r="BA171" s="18">
        <f t="array" ref="BA171">XLOOKUP(B171,faclon_results_2022!$D:$D,faclon_results_2022!$J:$J)</f>
        <v>27.71097</v>
      </c>
    </row>
    <row r="172" ht="15.75" customHeight="1">
      <c r="A172" s="7"/>
      <c r="B172" s="47">
        <v>703.0</v>
      </c>
      <c r="C172" s="11">
        <v>18.0</v>
      </c>
      <c r="D172" s="12">
        <v>0.25763888888888886</v>
      </c>
      <c r="E172" s="13">
        <v>0.25833333333333336</v>
      </c>
      <c r="F172" s="64">
        <v>26.0</v>
      </c>
      <c r="G172" s="65">
        <v>0.30694444444444446</v>
      </c>
      <c r="H172" s="66">
        <v>0.30694444444444446</v>
      </c>
      <c r="I172" s="11">
        <v>29.0</v>
      </c>
      <c r="J172" s="12">
        <v>0.36666666666666664</v>
      </c>
      <c r="K172" s="13">
        <v>0.3729166666666667</v>
      </c>
      <c r="L172" s="67">
        <v>26.0</v>
      </c>
      <c r="M172" s="12">
        <v>0.44166666666666665</v>
      </c>
      <c r="N172" s="13">
        <v>0.44305555555555554</v>
      </c>
      <c r="O172" s="38">
        <v>35.0</v>
      </c>
      <c r="P172" s="12">
        <v>0.5069444444444444</v>
      </c>
      <c r="Q172" s="13">
        <v>0.5083333333333333</v>
      </c>
      <c r="R172" s="11">
        <v>36.0</v>
      </c>
      <c r="S172" s="12">
        <v>0.5680555555555555</v>
      </c>
      <c r="T172" s="13">
        <v>0.5694444444444444</v>
      </c>
      <c r="U172" s="11">
        <v>41.0</v>
      </c>
      <c r="V172" s="12">
        <v>0.6138888888888889</v>
      </c>
      <c r="W172" s="13">
        <v>0.6173611111111111</v>
      </c>
      <c r="X172" s="11">
        <v>37.0</v>
      </c>
      <c r="Y172" s="12"/>
      <c r="Z172" s="13">
        <v>0.7208333333333333</v>
      </c>
      <c r="AA172" s="20">
        <v>39.0</v>
      </c>
      <c r="AB172" s="21">
        <v>0.7819444444444444</v>
      </c>
      <c r="AC172" s="22">
        <v>0.7868055555555555</v>
      </c>
      <c r="AD172" s="18">
        <v>49.0</v>
      </c>
      <c r="AE172" s="12">
        <v>0.8993055555555556</v>
      </c>
      <c r="AF172" s="23">
        <v>0.9430555555555555</v>
      </c>
      <c r="AG172" s="11">
        <v>64.0</v>
      </c>
      <c r="AH172" s="12">
        <v>0.021527777777777778</v>
      </c>
      <c r="AI172" s="13">
        <v>0.02638888888888889</v>
      </c>
      <c r="AJ172" s="14">
        <v>74.0</v>
      </c>
      <c r="AK172" s="15">
        <v>0.14722222222222223</v>
      </c>
      <c r="AL172" s="16">
        <v>0.15486111111111112</v>
      </c>
      <c r="AM172" s="11">
        <v>64.0</v>
      </c>
      <c r="AN172" s="12">
        <v>0.21458333333333332</v>
      </c>
      <c r="AO172" s="13">
        <v>0.22152777777777777</v>
      </c>
      <c r="AP172" s="11">
        <v>63.0</v>
      </c>
      <c r="AQ172" s="12">
        <v>0.2965277777777778</v>
      </c>
      <c r="AR172" s="13">
        <v>0.3034722222222222</v>
      </c>
      <c r="AS172" s="11">
        <v>58.0</v>
      </c>
      <c r="AT172" s="12">
        <v>0.40069444444444446</v>
      </c>
      <c r="AU172" s="13">
        <v>0.4048611111111111</v>
      </c>
      <c r="AV172" s="11">
        <v>53.0</v>
      </c>
      <c r="AW172" s="12">
        <v>0.475</v>
      </c>
      <c r="AX172" s="13">
        <v>0.47638888888888886</v>
      </c>
      <c r="AY172" s="34">
        <f t="array" ref="AY172">XLOOKUP(B172,faclon_results_2022!$D:$D,faclon_results_2022!$A:$A,"DNF")</f>
        <v>54</v>
      </c>
      <c r="AZ172" s="12">
        <f t="shared" si="1"/>
        <v>0.5222222222</v>
      </c>
      <c r="BA172" s="18">
        <f t="array" ref="BA172">XLOOKUP(B172,faclon_results_2022!$D:$D,faclon_results_2022!$J:$J)</f>
        <v>31.54353</v>
      </c>
    </row>
    <row r="173" ht="15.75" customHeight="1">
      <c r="A173" s="7"/>
      <c r="B173" s="47">
        <v>704.0</v>
      </c>
      <c r="C173" s="11">
        <v>131.0</v>
      </c>
      <c r="D173" s="12">
        <v>0.2708333333333333</v>
      </c>
      <c r="E173" s="13">
        <v>0.27152777777777776</v>
      </c>
      <c r="F173" s="64">
        <v>132.0</v>
      </c>
      <c r="G173" s="65">
        <v>0.33402777777777776</v>
      </c>
      <c r="H173" s="66">
        <v>0.33402777777777776</v>
      </c>
      <c r="I173" s="11">
        <v>122.0</v>
      </c>
      <c r="J173" s="12">
        <v>0.40347222222222223</v>
      </c>
      <c r="K173" s="13">
        <v>0.4048611111111111</v>
      </c>
      <c r="L173" s="67">
        <v>102.0</v>
      </c>
      <c r="M173" s="12">
        <v>0.4895833333333333</v>
      </c>
      <c r="N173" s="13">
        <v>0.4909722222222222</v>
      </c>
      <c r="O173" s="38">
        <v>99.0</v>
      </c>
      <c r="P173" s="12">
        <v>0.5625</v>
      </c>
      <c r="Q173" s="13">
        <v>0.5638888888888889</v>
      </c>
      <c r="R173" s="11">
        <v>99.0</v>
      </c>
      <c r="S173" s="12">
        <v>0.6354166666666666</v>
      </c>
      <c r="T173" s="13">
        <v>0.6361111111111111</v>
      </c>
      <c r="U173" s="11">
        <v>103.0</v>
      </c>
      <c r="V173" s="12">
        <v>0.6944444444444444</v>
      </c>
      <c r="W173" s="13">
        <v>0.70625</v>
      </c>
      <c r="X173" s="11">
        <v>96.0</v>
      </c>
      <c r="Y173" s="12"/>
      <c r="Z173" s="13">
        <v>0.8055555555555556</v>
      </c>
      <c r="AA173" s="20">
        <v>102.0</v>
      </c>
      <c r="AB173" s="21">
        <v>0.8861111111111111</v>
      </c>
      <c r="AC173" s="22">
        <v>0.8881944444444444</v>
      </c>
      <c r="AD173" s="18">
        <v>118.0</v>
      </c>
      <c r="AE173" s="12">
        <v>0.02847222222222222</v>
      </c>
      <c r="AF173" s="47" t="s">
        <v>178</v>
      </c>
      <c r="AG173" s="11"/>
      <c r="AH173" s="18"/>
      <c r="AI173" s="38"/>
      <c r="AJ173" s="68"/>
      <c r="AK173" s="68"/>
      <c r="AL173" s="69"/>
      <c r="AM173" s="11"/>
      <c r="AN173" s="18"/>
      <c r="AO173" s="38"/>
      <c r="AP173" s="11"/>
      <c r="AQ173" s="18"/>
      <c r="AR173" s="38"/>
      <c r="AS173" s="11"/>
      <c r="AT173" s="18"/>
      <c r="AU173" s="38"/>
      <c r="AV173" s="11"/>
      <c r="AW173" s="18"/>
      <c r="AX173" s="38"/>
      <c r="AY173" s="34" t="str">
        <f t="array" ref="AY173">XLOOKUP(B173,faclon_results_2022!$D:$D,faclon_results_2022!$A:$A,"DNF")</f>
        <v>DNF</v>
      </c>
      <c r="AZ173" s="12" t="str">
        <f t="shared" si="1"/>
        <v>#N/A</v>
      </c>
      <c r="BA173" s="18" t="str">
        <f t="array" ref="BA173">XLOOKUP(B173,faclon_results_2022!$D:$D,faclon_results_2022!$J:$J)</f>
        <v>#N/A</v>
      </c>
    </row>
    <row r="174" ht="15.75" customHeight="1">
      <c r="A174" s="7"/>
      <c r="B174" s="47">
        <v>705.0</v>
      </c>
      <c r="C174" s="11">
        <v>95.0</v>
      </c>
      <c r="D174" s="12">
        <v>0.26805555555555555</v>
      </c>
      <c r="E174" s="13">
        <v>0.26875</v>
      </c>
      <c r="F174" s="64">
        <v>101.0</v>
      </c>
      <c r="G174" s="65">
        <v>0.32569444444444445</v>
      </c>
      <c r="H174" s="66">
        <v>0.32569444444444445</v>
      </c>
      <c r="I174" s="11">
        <v>108.0</v>
      </c>
      <c r="J174" s="12">
        <v>0.3993055555555556</v>
      </c>
      <c r="K174" s="13">
        <v>0.40347222222222223</v>
      </c>
      <c r="L174" s="67">
        <v>107.0</v>
      </c>
      <c r="M174" s="12">
        <v>0.4930555555555556</v>
      </c>
      <c r="N174" s="13">
        <v>0.4979166666666667</v>
      </c>
      <c r="O174" s="38">
        <v>102.0</v>
      </c>
      <c r="P174" s="12">
        <v>0.5673611111111111</v>
      </c>
      <c r="Q174" s="13">
        <v>0.5722222222222222</v>
      </c>
      <c r="R174" s="11">
        <v>104.0</v>
      </c>
      <c r="S174" s="12">
        <v>0.6409722222222223</v>
      </c>
      <c r="T174" s="13">
        <v>0.6416666666666667</v>
      </c>
      <c r="U174" s="11">
        <v>111.0</v>
      </c>
      <c r="V174" s="12">
        <v>0.6993055555555555</v>
      </c>
      <c r="W174" s="13">
        <v>0.7166666666666667</v>
      </c>
      <c r="X174" s="11">
        <v>133.0</v>
      </c>
      <c r="Y174" s="12"/>
      <c r="Z174" s="13">
        <v>0.8513888888888889</v>
      </c>
      <c r="AA174" s="20">
        <v>125.0</v>
      </c>
      <c r="AB174" s="21">
        <v>0.9166666666666666</v>
      </c>
      <c r="AC174" s="22">
        <v>0.91875</v>
      </c>
      <c r="AD174" s="18">
        <v>113.0</v>
      </c>
      <c r="AE174" s="12">
        <v>0.025694444444444443</v>
      </c>
      <c r="AF174" s="23">
        <v>0.04652777777777778</v>
      </c>
      <c r="AG174" s="11">
        <v>112.0</v>
      </c>
      <c r="AH174" s="12">
        <v>0.11666666666666667</v>
      </c>
      <c r="AI174" s="13">
        <v>0.13333333333333333</v>
      </c>
      <c r="AJ174" s="14">
        <v>107.0</v>
      </c>
      <c r="AK174" s="15">
        <v>0.23055555555555557</v>
      </c>
      <c r="AL174" s="16">
        <v>0.3159722222222222</v>
      </c>
      <c r="AM174" s="11">
        <v>100.0</v>
      </c>
      <c r="AN174" s="12">
        <v>0.2861111111111111</v>
      </c>
      <c r="AO174" s="13">
        <v>0.28680555555555554</v>
      </c>
      <c r="AP174" s="11">
        <v>93.0</v>
      </c>
      <c r="AQ174" s="12">
        <v>0.3611111111111111</v>
      </c>
      <c r="AR174" s="13">
        <v>0.3638888888888889</v>
      </c>
      <c r="AS174" s="11">
        <v>92.0</v>
      </c>
      <c r="AT174" s="12">
        <v>0.46805555555555556</v>
      </c>
      <c r="AU174" s="13">
        <v>0.46944444444444444</v>
      </c>
      <c r="AV174" s="11">
        <v>89.0</v>
      </c>
      <c r="AW174" s="12">
        <v>0.05486111111111111</v>
      </c>
      <c r="AX174" s="13">
        <v>0.06527777777777778</v>
      </c>
      <c r="AY174" s="34">
        <f t="array" ref="AY174">XLOOKUP(B174,faclon_results_2022!$D:$D,faclon_results_2022!$A:$A,"DNF")</f>
        <v>89</v>
      </c>
      <c r="AZ174" s="12">
        <f t="shared" si="1"/>
        <v>0.6215277778</v>
      </c>
      <c r="BA174" s="18">
        <f t="array" ref="BA174">XLOOKUP(B174,faclon_results_2022!$D:$D,faclon_results_2022!$J:$J)</f>
        <v>33.92144</v>
      </c>
    </row>
    <row r="175" ht="15.75" customHeight="1">
      <c r="A175" s="7"/>
      <c r="B175" s="47">
        <v>706.0</v>
      </c>
      <c r="C175" s="11">
        <v>79.0</v>
      </c>
      <c r="D175" s="12">
        <v>0.2659722222222222</v>
      </c>
      <c r="E175" s="13">
        <v>0.26666666666666666</v>
      </c>
      <c r="F175" s="64">
        <v>63.0</v>
      </c>
      <c r="G175" s="65">
        <v>0.31805555555555554</v>
      </c>
      <c r="H175" s="66">
        <v>0.31805555555555554</v>
      </c>
      <c r="I175" s="11">
        <v>62.0</v>
      </c>
      <c r="J175" s="12">
        <v>0.38333333333333336</v>
      </c>
      <c r="K175" s="13">
        <v>0.38958333333333334</v>
      </c>
      <c r="L175" s="67">
        <v>64.0</v>
      </c>
      <c r="M175" s="12">
        <v>0.46944444444444444</v>
      </c>
      <c r="N175" s="13">
        <v>0.4722222222222222</v>
      </c>
      <c r="O175" s="38">
        <v>66.0</v>
      </c>
      <c r="P175" s="12">
        <v>0.5402777777777777</v>
      </c>
      <c r="Q175" s="13">
        <v>0.5451388888888888</v>
      </c>
      <c r="R175" s="11">
        <v>73.0</v>
      </c>
      <c r="S175" s="12">
        <v>0.6097222222222223</v>
      </c>
      <c r="T175" s="13">
        <v>0.6118055555555556</v>
      </c>
      <c r="U175" s="11">
        <v>81.0</v>
      </c>
      <c r="V175" s="12">
        <v>0.6694444444444444</v>
      </c>
      <c r="W175" s="13">
        <v>0.6805555555555556</v>
      </c>
      <c r="X175" s="11">
        <v>84.0</v>
      </c>
      <c r="Y175" s="12"/>
      <c r="Z175" s="13">
        <v>0.7902777777777777</v>
      </c>
      <c r="AA175" s="20">
        <v>86.0</v>
      </c>
      <c r="AB175" s="21">
        <v>0.8569444444444444</v>
      </c>
      <c r="AC175" s="22">
        <v>0.8645833333333334</v>
      </c>
      <c r="AD175" s="18">
        <v>85.0</v>
      </c>
      <c r="AE175" s="12">
        <v>0.96875</v>
      </c>
      <c r="AF175" s="23">
        <v>0.9840277777777777</v>
      </c>
      <c r="AG175" s="11">
        <v>83.0</v>
      </c>
      <c r="AH175" s="12">
        <v>0.06180555555555556</v>
      </c>
      <c r="AI175" s="13">
        <v>0.07222222222222222</v>
      </c>
      <c r="AJ175" s="14">
        <v>83.0</v>
      </c>
      <c r="AK175" s="15">
        <v>0.17291666666666666</v>
      </c>
      <c r="AL175" s="16">
        <v>0.18125</v>
      </c>
      <c r="AM175" s="11">
        <v>77.0</v>
      </c>
      <c r="AN175" s="12">
        <v>0.24166666666666667</v>
      </c>
      <c r="AO175" s="13">
        <v>0.25763888888888886</v>
      </c>
      <c r="AP175" s="11">
        <v>74.0</v>
      </c>
      <c r="AQ175" s="12">
        <v>0.3298611111111111</v>
      </c>
      <c r="AR175" s="13">
        <v>0.3423611111111111</v>
      </c>
      <c r="AS175" s="11">
        <v>83.0</v>
      </c>
      <c r="AT175" s="12">
        <v>0.4173611111111111</v>
      </c>
      <c r="AU175" s="13">
        <v>0.46597222222222223</v>
      </c>
      <c r="AV175" s="11">
        <v>90.0</v>
      </c>
      <c r="AW175" s="12">
        <v>0.05625</v>
      </c>
      <c r="AX175" s="13">
        <v>0.059027777777777776</v>
      </c>
      <c r="AY175" s="34">
        <f t="array" ref="AY175">XLOOKUP(B175,faclon_results_2022!$D:$D,faclon_results_2022!$A:$A,"DNF")</f>
        <v>96</v>
      </c>
      <c r="AZ175" s="12">
        <f t="shared" si="1"/>
        <v>0.6298611111</v>
      </c>
      <c r="BA175" s="18">
        <f t="array" ref="BA175">XLOOKUP(B175,faclon_results_2022!$D:$D,faclon_results_2022!$J:$J)</f>
        <v>34.11959</v>
      </c>
    </row>
    <row r="176" ht="15.75" customHeight="1">
      <c r="A176" s="7"/>
      <c r="B176" s="47">
        <v>707.0</v>
      </c>
      <c r="C176" s="11">
        <v>151.0</v>
      </c>
      <c r="D176" s="12">
        <v>0.2743055555555556</v>
      </c>
      <c r="E176" s="13">
        <v>0.275</v>
      </c>
      <c r="F176" s="64">
        <v>153.0</v>
      </c>
      <c r="G176" s="65">
        <v>0.33819444444444446</v>
      </c>
      <c r="H176" s="66">
        <v>0.33819444444444446</v>
      </c>
      <c r="I176" s="11">
        <v>149.0</v>
      </c>
      <c r="J176" s="12">
        <v>0.4125</v>
      </c>
      <c r="K176" s="13">
        <v>0.4215277777777778</v>
      </c>
      <c r="L176" s="67">
        <v>132.0</v>
      </c>
      <c r="M176" s="12">
        <v>0.5048611111111111</v>
      </c>
      <c r="N176" s="13">
        <v>0.5076388888888889</v>
      </c>
      <c r="O176" s="38">
        <v>126.0</v>
      </c>
      <c r="P176" s="12">
        <v>0.5798611111111112</v>
      </c>
      <c r="Q176" s="13">
        <v>0.5833333333333334</v>
      </c>
      <c r="R176" s="11">
        <v>118.0</v>
      </c>
      <c r="S176" s="12">
        <v>0.6527777777777778</v>
      </c>
      <c r="T176" s="13">
        <v>0.65625</v>
      </c>
      <c r="U176" s="11">
        <v>121.0</v>
      </c>
      <c r="V176" s="12">
        <v>0.7097222222222223</v>
      </c>
      <c r="W176" s="13">
        <v>0.725</v>
      </c>
      <c r="X176" s="11"/>
      <c r="Y176" s="12"/>
      <c r="Z176" s="13"/>
      <c r="AA176" s="20"/>
      <c r="AB176" s="71"/>
      <c r="AC176" s="56"/>
      <c r="AD176" s="18"/>
      <c r="AE176" s="18"/>
      <c r="AF176" s="47"/>
      <c r="AG176" s="11"/>
      <c r="AH176" s="18"/>
      <c r="AI176" s="38"/>
      <c r="AJ176" s="68"/>
      <c r="AK176" s="68"/>
      <c r="AL176" s="69"/>
      <c r="AM176" s="11"/>
      <c r="AN176" s="12"/>
      <c r="AO176" s="13"/>
      <c r="AP176" s="11"/>
      <c r="AQ176" s="12"/>
      <c r="AR176" s="13"/>
      <c r="AS176" s="11"/>
      <c r="AT176" s="12"/>
      <c r="AU176" s="38"/>
      <c r="AV176" s="11"/>
      <c r="AW176" s="12"/>
      <c r="AX176" s="38"/>
      <c r="AY176" s="34" t="str">
        <f t="array" ref="AY176">XLOOKUP(B176,faclon_results_2022!$D:$D,faclon_results_2022!$A:$A,"DNF")</f>
        <v>DNF</v>
      </c>
      <c r="AZ176" s="12" t="str">
        <f t="shared" si="1"/>
        <v>#N/A</v>
      </c>
      <c r="BA176" s="18" t="str">
        <f t="array" ref="BA176">XLOOKUP(B176,faclon_results_2022!$D:$D,faclon_results_2022!$J:$J)</f>
        <v>#N/A</v>
      </c>
    </row>
    <row r="177" ht="15.75" customHeight="1">
      <c r="A177" s="7"/>
      <c r="B177" s="47">
        <v>708.0</v>
      </c>
      <c r="C177" s="11">
        <v>62.0</v>
      </c>
      <c r="D177" s="12">
        <v>0.26319444444444445</v>
      </c>
      <c r="E177" s="13">
        <v>0.2638888888888889</v>
      </c>
      <c r="F177" s="64">
        <v>51.0</v>
      </c>
      <c r="G177" s="65">
        <v>0.3145833333333333</v>
      </c>
      <c r="H177" s="66">
        <v>0.3145833333333333</v>
      </c>
      <c r="I177" s="11">
        <v>35.0</v>
      </c>
      <c r="J177" s="12">
        <v>0.37083333333333335</v>
      </c>
      <c r="K177" s="13">
        <v>0.38055555555555554</v>
      </c>
      <c r="L177" s="67">
        <v>34.0</v>
      </c>
      <c r="M177" s="12">
        <v>0.44583333333333336</v>
      </c>
      <c r="N177" s="13">
        <v>0.4479166666666667</v>
      </c>
      <c r="O177" s="38">
        <v>29.0</v>
      </c>
      <c r="P177" s="12">
        <v>0.5034722222222222</v>
      </c>
      <c r="Q177" s="13">
        <v>0.5055555555555555</v>
      </c>
      <c r="R177" s="11">
        <v>25.0</v>
      </c>
      <c r="S177" s="12">
        <v>0.5604166666666667</v>
      </c>
      <c r="T177" s="13">
        <v>0.5625</v>
      </c>
      <c r="U177" s="11">
        <v>23.0</v>
      </c>
      <c r="V177" s="12">
        <v>0.6</v>
      </c>
      <c r="W177" s="13">
        <v>0.6041666666666666</v>
      </c>
      <c r="X177" s="11">
        <v>27.0</v>
      </c>
      <c r="Y177" s="12"/>
      <c r="Z177" s="13">
        <v>0.7013888888888888</v>
      </c>
      <c r="AA177" s="20">
        <v>28.0</v>
      </c>
      <c r="AB177" s="21">
        <v>0.7569444444444444</v>
      </c>
      <c r="AC177" s="22">
        <v>0.7611111111111111</v>
      </c>
      <c r="AD177" s="18">
        <v>30.0</v>
      </c>
      <c r="AE177" s="12">
        <v>0.8493055555555555</v>
      </c>
      <c r="AF177" s="23">
        <v>0.8625</v>
      </c>
      <c r="AG177" s="11">
        <v>29.0</v>
      </c>
      <c r="AH177" s="12">
        <v>0.9347222222222222</v>
      </c>
      <c r="AI177" s="38" t="s">
        <v>178</v>
      </c>
      <c r="AJ177" s="68"/>
      <c r="AK177" s="68"/>
      <c r="AL177" s="69"/>
      <c r="AM177" s="11"/>
      <c r="AN177" s="12"/>
      <c r="AO177" s="38"/>
      <c r="AP177" s="11"/>
      <c r="AQ177" s="12"/>
      <c r="AR177" s="38"/>
      <c r="AS177" s="11"/>
      <c r="AT177" s="12"/>
      <c r="AU177" s="38"/>
      <c r="AV177" s="11"/>
      <c r="AW177" s="12"/>
      <c r="AX177" s="38"/>
      <c r="AY177" s="34" t="str">
        <f t="array" ref="AY177">XLOOKUP(B177,faclon_results_2022!$D:$D,faclon_results_2022!$A:$A,"DNF")</f>
        <v>DNF</v>
      </c>
      <c r="AZ177" s="12" t="str">
        <f t="shared" si="1"/>
        <v>#N/A</v>
      </c>
      <c r="BA177" s="18" t="str">
        <f t="array" ref="BA177">XLOOKUP(B177,faclon_results_2022!$D:$D,faclon_results_2022!$J:$J)</f>
        <v>#N/A</v>
      </c>
    </row>
    <row r="178" ht="15.75" customHeight="1">
      <c r="A178" s="7"/>
      <c r="B178" s="47">
        <v>709.0</v>
      </c>
      <c r="C178" s="11">
        <v>78.0</v>
      </c>
      <c r="D178" s="12">
        <v>0.2659722222222222</v>
      </c>
      <c r="E178" s="13">
        <v>0.26666666666666666</v>
      </c>
      <c r="F178" s="64">
        <v>98.0</v>
      </c>
      <c r="G178" s="65">
        <v>0.3729166666666667</v>
      </c>
      <c r="H178" s="66">
        <v>0.3729166666666667</v>
      </c>
      <c r="I178" s="11">
        <v>80.0</v>
      </c>
      <c r="J178" s="12">
        <v>0.38819444444444445</v>
      </c>
      <c r="K178" s="13">
        <v>0.3909722222222222</v>
      </c>
      <c r="L178" s="67">
        <v>68.0</v>
      </c>
      <c r="M178" s="12">
        <v>0.4708333333333333</v>
      </c>
      <c r="N178" s="13">
        <v>0.47430555555555554</v>
      </c>
      <c r="O178" s="38">
        <v>63.0</v>
      </c>
      <c r="P178" s="12">
        <v>0.5375</v>
      </c>
      <c r="Q178" s="13">
        <v>0.5416666666666666</v>
      </c>
      <c r="R178" s="11">
        <v>64.0</v>
      </c>
      <c r="S178" s="12">
        <v>0.60625</v>
      </c>
      <c r="T178" s="13">
        <v>0.6083333333333333</v>
      </c>
      <c r="U178" s="11">
        <v>72.0</v>
      </c>
      <c r="V178" s="12">
        <v>0.6631944444444444</v>
      </c>
      <c r="W178" s="13">
        <v>0.6722222222222223</v>
      </c>
      <c r="X178" s="11">
        <v>73.0</v>
      </c>
      <c r="Y178" s="12"/>
      <c r="Z178" s="13">
        <v>0.7791666666666667</v>
      </c>
      <c r="AA178" s="20">
        <v>69.0</v>
      </c>
      <c r="AB178" s="21">
        <v>0.8388888888888889</v>
      </c>
      <c r="AC178" s="22">
        <v>0.8430555555555556</v>
      </c>
      <c r="AD178" s="18">
        <v>62.0</v>
      </c>
      <c r="AE178" s="12">
        <v>0.93125</v>
      </c>
      <c r="AF178" s="23">
        <v>0.9402777777777778</v>
      </c>
      <c r="AG178" s="11">
        <v>57.0</v>
      </c>
      <c r="AH178" s="12">
        <v>0.011805555555555555</v>
      </c>
      <c r="AI178" s="13">
        <v>0.01875</v>
      </c>
      <c r="AJ178" s="14">
        <v>55.0</v>
      </c>
      <c r="AK178" s="15">
        <v>0.11041666666666666</v>
      </c>
      <c r="AL178" s="16">
        <v>0.11597222222222223</v>
      </c>
      <c r="AM178" s="11">
        <v>50.0</v>
      </c>
      <c r="AN178" s="12">
        <v>0.17222222222222222</v>
      </c>
      <c r="AO178" s="13">
        <v>0.18125</v>
      </c>
      <c r="AP178" s="11">
        <v>51.0</v>
      </c>
      <c r="AQ178" s="12">
        <v>0.2548611111111111</v>
      </c>
      <c r="AR178" s="13">
        <v>0.2590277777777778</v>
      </c>
      <c r="AS178" s="11">
        <v>49.0</v>
      </c>
      <c r="AT178" s="12">
        <v>0.3527777777777778</v>
      </c>
      <c r="AU178" s="13">
        <v>0.35833333333333334</v>
      </c>
      <c r="AV178" s="11">
        <v>48.0</v>
      </c>
      <c r="AW178" s="12">
        <v>0.4305555555555556</v>
      </c>
      <c r="AX178" s="13">
        <v>0.4340277777777778</v>
      </c>
      <c r="AY178" s="34">
        <f t="array" ref="AY178">XLOOKUP(B178,faclon_results_2022!$D:$D,faclon_results_2022!$A:$A,"DNF")</f>
        <v>47</v>
      </c>
      <c r="AZ178" s="12">
        <f t="shared" si="1"/>
        <v>0.4819444444</v>
      </c>
      <c r="BA178" s="18">
        <f t="array" ref="BA178">XLOOKUP(B178,faclon_results_2022!$D:$D,faclon_results_2022!$J:$J)</f>
        <v>30.58241</v>
      </c>
    </row>
    <row r="179" ht="15.75" customHeight="1">
      <c r="A179" s="7"/>
      <c r="B179" s="47">
        <v>711.0</v>
      </c>
      <c r="C179" s="11">
        <v>102.0</v>
      </c>
      <c r="D179" s="12">
        <v>0.26875</v>
      </c>
      <c r="E179" s="13">
        <v>0.26944444444444443</v>
      </c>
      <c r="F179" s="64">
        <v>76.0</v>
      </c>
      <c r="G179" s="65">
        <v>0.32083333333333336</v>
      </c>
      <c r="H179" s="66">
        <v>0.32083333333333336</v>
      </c>
      <c r="I179" s="11">
        <v>59.0</v>
      </c>
      <c r="J179" s="12">
        <v>0.3798611111111111</v>
      </c>
      <c r="K179" s="13">
        <v>0.3840277777777778</v>
      </c>
      <c r="L179" s="67">
        <v>40.0</v>
      </c>
      <c r="M179" s="12">
        <v>0.45</v>
      </c>
      <c r="N179" s="13">
        <v>0.4534722222222222</v>
      </c>
      <c r="O179" s="38">
        <v>42.0</v>
      </c>
      <c r="P179" s="12">
        <v>0.5125</v>
      </c>
      <c r="Q179" s="13">
        <v>0.5194444444444445</v>
      </c>
      <c r="R179" s="11">
        <v>44.0</v>
      </c>
      <c r="S179" s="12">
        <v>0.5763888888888888</v>
      </c>
      <c r="T179" s="13">
        <v>0.5784722222222223</v>
      </c>
      <c r="U179" s="11">
        <v>40.0</v>
      </c>
      <c r="V179" s="12">
        <v>0.6138888888888889</v>
      </c>
      <c r="W179" s="13">
        <v>0.625</v>
      </c>
      <c r="X179" s="11">
        <v>41.0</v>
      </c>
      <c r="Y179" s="12"/>
      <c r="Z179" s="13">
        <v>0.7256944444444444</v>
      </c>
      <c r="AA179" s="20">
        <v>37.0</v>
      </c>
      <c r="AB179" s="21">
        <v>0.7756944444444445</v>
      </c>
      <c r="AC179" s="22">
        <v>0.7791666666666667</v>
      </c>
      <c r="AD179" s="18">
        <v>28.0</v>
      </c>
      <c r="AE179" s="12">
        <v>0.8451388888888889</v>
      </c>
      <c r="AF179" s="23">
        <v>0.8555555555555555</v>
      </c>
      <c r="AG179" s="11">
        <v>27.0</v>
      </c>
      <c r="AH179" s="12">
        <v>0.9173611111111111</v>
      </c>
      <c r="AI179" s="13">
        <v>0.9229166666666667</v>
      </c>
      <c r="AJ179" s="14">
        <v>27.0</v>
      </c>
      <c r="AK179" s="15">
        <v>0.022222222222222223</v>
      </c>
      <c r="AL179" s="16">
        <v>0.034722222222222224</v>
      </c>
      <c r="AM179" s="11">
        <v>39.0</v>
      </c>
      <c r="AN179" s="12">
        <v>0.13541666666666666</v>
      </c>
      <c r="AO179" s="38" t="s">
        <v>178</v>
      </c>
      <c r="AP179" s="11"/>
      <c r="AQ179" s="12"/>
      <c r="AR179" s="13"/>
      <c r="AS179" s="11"/>
      <c r="AT179" s="12"/>
      <c r="AU179" s="13"/>
      <c r="AV179" s="11"/>
      <c r="AW179" s="12"/>
      <c r="AX179" s="13"/>
      <c r="AY179" s="34" t="str">
        <f t="array" ref="AY179">XLOOKUP(B179,faclon_results_2022!$D:$D,faclon_results_2022!$A:$A,"DNF")</f>
        <v>DNF</v>
      </c>
      <c r="AZ179" s="12" t="str">
        <f t="shared" si="1"/>
        <v>#N/A</v>
      </c>
      <c r="BA179" s="18" t="str">
        <f t="array" ref="BA179">XLOOKUP(B179,faclon_results_2022!$D:$D,faclon_results_2022!$J:$J)</f>
        <v>#N/A</v>
      </c>
    </row>
    <row r="180" ht="15.75" customHeight="1">
      <c r="A180" s="7"/>
      <c r="B180" s="47">
        <v>712.0</v>
      </c>
      <c r="C180" s="11">
        <v>47.0</v>
      </c>
      <c r="D180" s="12">
        <v>0.2611111111111111</v>
      </c>
      <c r="E180" s="13">
        <v>0.26180555555555557</v>
      </c>
      <c r="F180" s="64">
        <v>60.0</v>
      </c>
      <c r="G180" s="65">
        <v>0.3159722222222222</v>
      </c>
      <c r="H180" s="66">
        <v>0.3159722222222222</v>
      </c>
      <c r="I180" s="11">
        <v>68.0</v>
      </c>
      <c r="J180" s="12">
        <v>0.3861111111111111</v>
      </c>
      <c r="K180" s="13">
        <v>0.3875</v>
      </c>
      <c r="L180" s="67">
        <v>85.0</v>
      </c>
      <c r="M180" s="12">
        <v>0.48055555555555557</v>
      </c>
      <c r="N180" s="13">
        <v>0.48333333333333334</v>
      </c>
      <c r="O180" s="38">
        <v>96.0</v>
      </c>
      <c r="P180" s="12">
        <v>0.5597222222222222</v>
      </c>
      <c r="Q180" s="13">
        <v>0.5618055555555556</v>
      </c>
      <c r="R180" s="11">
        <v>105.0</v>
      </c>
      <c r="S180" s="12">
        <v>0.6416666666666667</v>
      </c>
      <c r="T180" s="13">
        <v>0.6444444444444445</v>
      </c>
      <c r="U180" s="11"/>
      <c r="V180" s="18"/>
      <c r="W180" s="38"/>
      <c r="X180" s="11">
        <v>111.0</v>
      </c>
      <c r="Y180" s="12"/>
      <c r="Z180" s="13">
        <v>0.8284722222222223</v>
      </c>
      <c r="AA180" s="20">
        <v>114.0</v>
      </c>
      <c r="AB180" s="21">
        <v>0.9055555555555556</v>
      </c>
      <c r="AC180" s="22">
        <v>0.9152777777777777</v>
      </c>
      <c r="AD180" s="18">
        <v>122.0</v>
      </c>
      <c r="AE180" s="12">
        <v>0.03819444444444445</v>
      </c>
      <c r="AF180" s="23">
        <v>0.05</v>
      </c>
      <c r="AG180" s="11">
        <v>120.0</v>
      </c>
      <c r="AH180" s="12">
        <v>0.13402777777777777</v>
      </c>
      <c r="AI180" s="38" t="s">
        <v>178</v>
      </c>
      <c r="AJ180" s="68"/>
      <c r="AK180" s="68"/>
      <c r="AL180" s="69"/>
      <c r="AM180" s="11"/>
      <c r="AN180" s="12"/>
      <c r="AO180" s="38"/>
      <c r="AP180" s="11"/>
      <c r="AQ180" s="12"/>
      <c r="AR180" s="38"/>
      <c r="AS180" s="11"/>
      <c r="AT180" s="12"/>
      <c r="AU180" s="38"/>
      <c r="AV180" s="11"/>
      <c r="AW180" s="12"/>
      <c r="AX180" s="38"/>
      <c r="AY180" s="34" t="str">
        <f t="array" ref="AY180">XLOOKUP(B180,faclon_results_2022!$D:$D,faclon_results_2022!$A:$A,"DNF")</f>
        <v>DNF</v>
      </c>
      <c r="AZ180" s="12" t="str">
        <f t="shared" si="1"/>
        <v>#N/A</v>
      </c>
      <c r="BA180" s="18" t="str">
        <f t="array" ref="BA180">XLOOKUP(B180,faclon_results_2022!$D:$D,faclon_results_2022!$J:$J)</f>
        <v>#N/A</v>
      </c>
    </row>
    <row r="181" ht="15.75" customHeight="1">
      <c r="A181" s="7"/>
      <c r="B181" s="47">
        <v>713.0</v>
      </c>
      <c r="C181" s="11">
        <v>17.0</v>
      </c>
      <c r="D181" s="12">
        <v>0.25763888888888886</v>
      </c>
      <c r="E181" s="13">
        <v>0.25833333333333336</v>
      </c>
      <c r="F181" s="64">
        <v>19.0</v>
      </c>
      <c r="G181" s="65">
        <v>0.30486111111111114</v>
      </c>
      <c r="H181" s="66">
        <v>0.30486111111111114</v>
      </c>
      <c r="I181" s="11">
        <v>20.0</v>
      </c>
      <c r="J181" s="12">
        <v>0.36319444444444443</v>
      </c>
      <c r="K181" s="13">
        <v>0.36527777777777776</v>
      </c>
      <c r="L181" s="67">
        <v>16.0</v>
      </c>
      <c r="M181" s="12">
        <v>0.43333333333333335</v>
      </c>
      <c r="N181" s="13">
        <v>0.43680555555555556</v>
      </c>
      <c r="O181" s="38">
        <v>23.0</v>
      </c>
      <c r="P181" s="12">
        <v>0.4979166666666667</v>
      </c>
      <c r="Q181" s="13">
        <v>0.5020833333333333</v>
      </c>
      <c r="R181" s="11">
        <v>43.0</v>
      </c>
      <c r="S181" s="12">
        <v>0.5729166666666666</v>
      </c>
      <c r="T181" s="13">
        <v>0.5756944444444444</v>
      </c>
      <c r="U181" s="11">
        <v>50.0</v>
      </c>
      <c r="V181" s="12">
        <v>0.63125</v>
      </c>
      <c r="W181" s="13">
        <v>0.6465277777777778</v>
      </c>
      <c r="X181" s="11">
        <v>51.0</v>
      </c>
      <c r="Y181" s="12"/>
      <c r="Z181" s="13">
        <v>0.7451388888888889</v>
      </c>
      <c r="AA181" s="20">
        <v>51.0</v>
      </c>
      <c r="AB181" s="21">
        <v>0.80625</v>
      </c>
      <c r="AC181" s="22">
        <v>0.8104166666666667</v>
      </c>
      <c r="AD181" s="18">
        <v>47.0</v>
      </c>
      <c r="AE181" s="12">
        <v>0.8944444444444445</v>
      </c>
      <c r="AF181" s="23">
        <v>0.9145833333333333</v>
      </c>
      <c r="AG181" s="11">
        <v>44.0</v>
      </c>
      <c r="AH181" s="12">
        <v>0.9833333333333333</v>
      </c>
      <c r="AI181" s="13">
        <v>0.9875</v>
      </c>
      <c r="AJ181" s="14">
        <v>43.0</v>
      </c>
      <c r="AK181" s="15">
        <v>0.07708333333333334</v>
      </c>
      <c r="AL181" s="16">
        <v>0.08055555555555556</v>
      </c>
      <c r="AM181" s="11">
        <v>40.0</v>
      </c>
      <c r="AN181" s="12">
        <v>0.14166666666666666</v>
      </c>
      <c r="AO181" s="13">
        <v>0.16111111111111112</v>
      </c>
      <c r="AP181" s="11">
        <v>40.0</v>
      </c>
      <c r="AQ181" s="12">
        <v>0.2298611111111111</v>
      </c>
      <c r="AR181" s="13">
        <v>0.23333333333333334</v>
      </c>
      <c r="AS181" s="11">
        <v>44.0</v>
      </c>
      <c r="AT181" s="12">
        <v>0.34305555555555556</v>
      </c>
      <c r="AU181" s="13">
        <v>0.34652777777777777</v>
      </c>
      <c r="AV181" s="11">
        <v>47.0</v>
      </c>
      <c r="AW181" s="12">
        <v>0.4284722222222222</v>
      </c>
      <c r="AX181" s="13">
        <v>0.4284722222222222</v>
      </c>
      <c r="AY181" s="34">
        <f t="array" ref="AY181">XLOOKUP(B181,faclon_results_2022!$D:$D,faclon_results_2022!$A:$A,"DNF")</f>
        <v>49</v>
      </c>
      <c r="AZ181" s="12">
        <f t="shared" si="1"/>
        <v>0.4854166667</v>
      </c>
      <c r="BA181" s="18">
        <f t="array" ref="BA181">XLOOKUP(B181,faclon_results_2022!$D:$D,faclon_results_2022!$J:$J)</f>
        <v>30.65699</v>
      </c>
    </row>
    <row r="182" ht="15.75" customHeight="1">
      <c r="A182" s="7"/>
      <c r="B182" s="47">
        <v>714.0</v>
      </c>
      <c r="C182" s="11">
        <v>124.0</v>
      </c>
      <c r="D182" s="12">
        <v>0.2701388888888889</v>
      </c>
      <c r="E182" s="13">
        <v>0.2708333333333333</v>
      </c>
      <c r="F182" s="64">
        <v>137.0</v>
      </c>
      <c r="G182" s="65">
        <v>0.33402777777777776</v>
      </c>
      <c r="H182" s="66">
        <v>0.33402777777777776</v>
      </c>
      <c r="I182" s="11">
        <v>156.0</v>
      </c>
      <c r="J182" s="12">
        <v>0.41388888888888886</v>
      </c>
      <c r="K182" s="13">
        <v>0.4215277777777778</v>
      </c>
      <c r="L182" s="67">
        <v>155.0</v>
      </c>
      <c r="M182" s="12">
        <v>0.5166666666666667</v>
      </c>
      <c r="N182" s="13">
        <v>0.5222222222222223</v>
      </c>
      <c r="O182" s="38">
        <v>151.0</v>
      </c>
      <c r="P182" s="12">
        <v>0.5944444444444444</v>
      </c>
      <c r="Q182" s="13">
        <v>0.6006944444444444</v>
      </c>
      <c r="R182" s="11">
        <v>134.0</v>
      </c>
      <c r="S182" s="12">
        <v>0.6631944444444444</v>
      </c>
      <c r="T182" s="13">
        <v>0.6666666666666666</v>
      </c>
      <c r="U182" s="11">
        <v>127.0</v>
      </c>
      <c r="V182" s="12">
        <v>0.7118055555555556</v>
      </c>
      <c r="W182" s="13">
        <v>0.7222222222222222</v>
      </c>
      <c r="X182" s="11">
        <v>118.0</v>
      </c>
      <c r="Y182" s="12"/>
      <c r="Z182" s="13">
        <v>0.8409722222222222</v>
      </c>
      <c r="AA182" s="20">
        <v>115.0</v>
      </c>
      <c r="AB182" s="21">
        <v>0.9083333333333333</v>
      </c>
      <c r="AC182" s="22">
        <v>0.9111111111111111</v>
      </c>
      <c r="AD182" s="18">
        <v>110.0</v>
      </c>
      <c r="AE182" s="12">
        <v>0.020833333333333332</v>
      </c>
      <c r="AF182" s="23">
        <v>0.03125</v>
      </c>
      <c r="AG182" s="11">
        <v>109.0</v>
      </c>
      <c r="AH182" s="12">
        <v>0.1111111111111111</v>
      </c>
      <c r="AI182" s="13">
        <v>0.12013888888888889</v>
      </c>
      <c r="AJ182" s="14">
        <v>105.0</v>
      </c>
      <c r="AK182" s="15">
        <v>0.21666666666666667</v>
      </c>
      <c r="AL182" s="16">
        <v>0.22291666666666668</v>
      </c>
      <c r="AM182" s="11">
        <v>97.0</v>
      </c>
      <c r="AN182" s="12">
        <v>0.2791666666666667</v>
      </c>
      <c r="AO182" s="13">
        <v>0.2923611111111111</v>
      </c>
      <c r="AP182" s="11">
        <v>95.0</v>
      </c>
      <c r="AQ182" s="12">
        <v>0.3625</v>
      </c>
      <c r="AR182" s="13">
        <v>0.36875</v>
      </c>
      <c r="AS182" s="11">
        <v>86.0</v>
      </c>
      <c r="AT182" s="12">
        <v>0.4625</v>
      </c>
      <c r="AU182" s="13">
        <v>0.4673611111111111</v>
      </c>
      <c r="AV182" s="11">
        <v>73.0</v>
      </c>
      <c r="AW182" s="12">
        <v>0.5326388888888889</v>
      </c>
      <c r="AX182" s="13">
        <v>0.5347222222222222</v>
      </c>
      <c r="AY182" s="34">
        <f t="array" ref="AY182">XLOOKUP(B182,faclon_results_2022!$D:$D,faclon_results_2022!$A:$A,"DNF")</f>
        <v>70</v>
      </c>
      <c r="AZ182" s="12">
        <f t="shared" si="1"/>
        <v>0.5826388889</v>
      </c>
      <c r="BA182" s="18">
        <f t="array" ref="BA182">XLOOKUP(B182,faclon_results_2022!$D:$D,faclon_results_2022!$J:$J)</f>
        <v>32.99118</v>
      </c>
    </row>
    <row r="183" ht="15.75" customHeight="1">
      <c r="A183" s="7"/>
      <c r="B183" s="47">
        <v>715.0</v>
      </c>
      <c r="C183" s="11"/>
      <c r="D183" s="12"/>
      <c r="E183" s="13"/>
      <c r="F183" s="64"/>
      <c r="G183" s="65"/>
      <c r="H183" s="66"/>
      <c r="I183" s="11">
        <v>48.0</v>
      </c>
      <c r="J183" s="12">
        <v>0.375</v>
      </c>
      <c r="K183" s="13">
        <v>0.37916666666666665</v>
      </c>
      <c r="L183" s="67">
        <v>44.0</v>
      </c>
      <c r="M183" s="30">
        <v>0.4527777777777778</v>
      </c>
      <c r="N183" s="35">
        <v>0.4548611111111111</v>
      </c>
      <c r="O183" s="38">
        <v>44.0</v>
      </c>
      <c r="P183" s="12">
        <v>0.5125</v>
      </c>
      <c r="Q183" s="13">
        <v>0.5152777777777777</v>
      </c>
      <c r="R183" s="11">
        <v>42.0</v>
      </c>
      <c r="S183" s="12">
        <v>0.5715277777777777</v>
      </c>
      <c r="T183" s="13">
        <v>0.5729166666666666</v>
      </c>
      <c r="U183" s="11">
        <v>39.0</v>
      </c>
      <c r="V183" s="12">
        <v>0.6118055555555556</v>
      </c>
      <c r="W183" s="13">
        <v>0.6194444444444445</v>
      </c>
      <c r="X183" s="11">
        <v>34.0</v>
      </c>
      <c r="Y183" s="12"/>
      <c r="Z183" s="13">
        <v>0.7138888888888889</v>
      </c>
      <c r="AA183" s="20">
        <v>33.0</v>
      </c>
      <c r="AB183" s="21">
        <v>0.7701388888888889</v>
      </c>
      <c r="AC183" s="22">
        <v>0.7729166666666667</v>
      </c>
      <c r="AD183" s="18">
        <v>33.0</v>
      </c>
      <c r="AE183" s="12">
        <v>0.8604166666666667</v>
      </c>
      <c r="AF183" s="23">
        <v>0.8722222222222222</v>
      </c>
      <c r="AG183" s="11">
        <v>32.0</v>
      </c>
      <c r="AH183" s="12">
        <v>0.9395833333333333</v>
      </c>
      <c r="AI183" s="13">
        <v>0.9423611111111111</v>
      </c>
      <c r="AJ183" s="14">
        <v>32.0</v>
      </c>
      <c r="AK183" s="15">
        <v>0.035416666666666666</v>
      </c>
      <c r="AL183" s="16">
        <v>0.03819444444444445</v>
      </c>
      <c r="AM183" s="11">
        <v>29.0</v>
      </c>
      <c r="AN183" s="12">
        <v>0.09930555555555555</v>
      </c>
      <c r="AO183" s="13">
        <v>0.11597222222222223</v>
      </c>
      <c r="AP183" s="11">
        <v>29.0</v>
      </c>
      <c r="AQ183" s="12">
        <v>0.18680555555555556</v>
      </c>
      <c r="AR183" s="13">
        <v>0.19166666666666668</v>
      </c>
      <c r="AS183" s="11">
        <v>29.0</v>
      </c>
      <c r="AT183" s="12">
        <v>0.29305555555555557</v>
      </c>
      <c r="AU183" s="13">
        <v>0.2972222222222222</v>
      </c>
      <c r="AV183" s="11">
        <v>29.0</v>
      </c>
      <c r="AW183" s="12">
        <v>0.36527777777777776</v>
      </c>
      <c r="AX183" s="13">
        <v>0.3659722222222222</v>
      </c>
      <c r="AY183" s="34">
        <f t="array" ref="AY183">XLOOKUP(B183,faclon_results_2022!$D:$D,faclon_results_2022!$A:$A,"DNF")</f>
        <v>28</v>
      </c>
      <c r="AZ183" s="12">
        <f t="shared" si="1"/>
        <v>0.4118055556</v>
      </c>
      <c r="BA183" s="18">
        <f t="array" ref="BA183">XLOOKUP(B183,faclon_results_2022!$D:$D,faclon_results_2022!$J:$J)</f>
        <v>28.88597</v>
      </c>
    </row>
    <row r="184" ht="15.75" customHeight="1">
      <c r="A184" s="7"/>
      <c r="B184" s="47">
        <v>716.0</v>
      </c>
      <c r="C184" s="11">
        <v>72.0</v>
      </c>
      <c r="D184" s="12">
        <v>0.26458333333333334</v>
      </c>
      <c r="E184" s="13">
        <v>0.2652777777777778</v>
      </c>
      <c r="F184" s="64">
        <v>83.0</v>
      </c>
      <c r="G184" s="65">
        <v>0.3229166666666667</v>
      </c>
      <c r="H184" s="66">
        <v>0.3229166666666667</v>
      </c>
      <c r="I184" s="11">
        <v>90.0</v>
      </c>
      <c r="J184" s="12">
        <v>0.3923611111111111</v>
      </c>
      <c r="K184" s="13">
        <v>0.3958333333333333</v>
      </c>
      <c r="L184" s="67">
        <v>83.0</v>
      </c>
      <c r="M184" s="12">
        <v>0.4791666666666667</v>
      </c>
      <c r="N184" s="13">
        <v>0.48333333333333334</v>
      </c>
      <c r="O184" s="38">
        <v>83.0</v>
      </c>
      <c r="P184" s="12">
        <v>0.5506944444444445</v>
      </c>
      <c r="Q184" s="13">
        <v>0.55625</v>
      </c>
      <c r="R184" s="11">
        <v>82.0</v>
      </c>
      <c r="S184" s="12">
        <v>0.6222222222222222</v>
      </c>
      <c r="T184" s="13">
        <v>0.6277777777777778</v>
      </c>
      <c r="U184" s="11">
        <v>87.0</v>
      </c>
      <c r="V184" s="12">
        <v>0.6763888888888889</v>
      </c>
      <c r="W184" s="13">
        <v>0.6868055555555556</v>
      </c>
      <c r="X184" s="11">
        <v>93.0</v>
      </c>
      <c r="Y184" s="12"/>
      <c r="Z184" s="13">
        <v>0.7986111111111112</v>
      </c>
      <c r="AA184" s="20">
        <v>93.0</v>
      </c>
      <c r="AB184" s="21">
        <v>0.8673611111111111</v>
      </c>
      <c r="AC184" s="22">
        <v>0.8708333333333333</v>
      </c>
      <c r="AD184" s="18">
        <v>94.0</v>
      </c>
      <c r="AE184" s="12">
        <v>0.9840277777777777</v>
      </c>
      <c r="AF184" s="23">
        <v>0.003472222222222222</v>
      </c>
      <c r="AG184" s="11">
        <v>95.0</v>
      </c>
      <c r="AH184" s="12">
        <v>0.08541666666666667</v>
      </c>
      <c r="AI184" s="13">
        <v>0.09305555555555556</v>
      </c>
      <c r="AJ184" s="14">
        <v>101.0</v>
      </c>
      <c r="AK184" s="15">
        <v>0.20347222222222222</v>
      </c>
      <c r="AL184" s="16">
        <v>0.21180555555555555</v>
      </c>
      <c r="AM184" s="11">
        <v>96.0</v>
      </c>
      <c r="AN184" s="12">
        <v>0.27847222222222223</v>
      </c>
      <c r="AO184" s="13">
        <v>0.28402777777777777</v>
      </c>
      <c r="AP184" s="11">
        <v>90.0</v>
      </c>
      <c r="AQ184" s="12">
        <v>0.35555555555555557</v>
      </c>
      <c r="AR184" s="13">
        <v>0.36041666666666666</v>
      </c>
      <c r="AS184" s="11">
        <v>91.0</v>
      </c>
      <c r="AT184" s="12">
        <v>0.4673611111111111</v>
      </c>
      <c r="AU184" s="13">
        <v>0.4708333333333333</v>
      </c>
      <c r="AV184" s="11">
        <v>91.0</v>
      </c>
      <c r="AW184" s="12">
        <v>0.059722222222222225</v>
      </c>
      <c r="AX184" s="13">
        <v>0.06319444444444444</v>
      </c>
      <c r="AY184" s="34">
        <f t="array" ref="AY184">XLOOKUP(B184,faclon_results_2022!$D:$D,faclon_results_2022!$A:$A,"DNF")</f>
        <v>86</v>
      </c>
      <c r="AZ184" s="12">
        <f t="shared" si="1"/>
        <v>0.6159722222</v>
      </c>
      <c r="BA184" s="18">
        <f t="array" ref="BA184">XLOOKUP(B184,faclon_results_2022!$D:$D,faclon_results_2022!$J:$J)</f>
        <v>33.79534</v>
      </c>
    </row>
    <row r="185" ht="15.75" customHeight="1">
      <c r="A185" s="7"/>
      <c r="B185" s="47">
        <v>717.0</v>
      </c>
      <c r="C185" s="11">
        <v>116.0</v>
      </c>
      <c r="D185" s="12">
        <v>0.26944444444444443</v>
      </c>
      <c r="E185" s="13">
        <v>0.2701388888888889</v>
      </c>
      <c r="F185" s="64"/>
      <c r="G185" s="65"/>
      <c r="H185" s="66"/>
      <c r="I185" s="11">
        <v>113.0</v>
      </c>
      <c r="J185" s="12">
        <v>0.40069444444444446</v>
      </c>
      <c r="K185" s="13">
        <v>0.4083333333333333</v>
      </c>
      <c r="L185" s="67">
        <v>110.0</v>
      </c>
      <c r="M185" s="12">
        <v>0.49722222222222223</v>
      </c>
      <c r="N185" s="13">
        <v>0.4986111111111111</v>
      </c>
      <c r="O185" s="38">
        <v>109.0</v>
      </c>
      <c r="P185" s="12">
        <v>0.5715277777777777</v>
      </c>
      <c r="Q185" s="13">
        <v>0.5736111111111111</v>
      </c>
      <c r="R185" s="11">
        <v>107.0</v>
      </c>
      <c r="S185" s="12">
        <v>0.64375</v>
      </c>
      <c r="T185" s="13">
        <v>0.6465277777777778</v>
      </c>
      <c r="U185" s="11">
        <v>110.0</v>
      </c>
      <c r="V185" s="12">
        <v>0.6993055555555555</v>
      </c>
      <c r="W185" s="13">
        <v>0.7125</v>
      </c>
      <c r="X185" s="11">
        <v>128.0</v>
      </c>
      <c r="Y185" s="12"/>
      <c r="Z185" s="13">
        <v>0.8479166666666667</v>
      </c>
      <c r="AA185" s="20">
        <v>131.0</v>
      </c>
      <c r="AB185" s="21">
        <v>0.9256944444444445</v>
      </c>
      <c r="AC185" s="22">
        <v>0.9354166666666667</v>
      </c>
      <c r="AD185" s="18">
        <v>137.0</v>
      </c>
      <c r="AE185" s="12">
        <v>0.0625</v>
      </c>
      <c r="AF185" s="47" t="s">
        <v>178</v>
      </c>
      <c r="AG185" s="11"/>
      <c r="AH185" s="18"/>
      <c r="AI185" s="38"/>
      <c r="AJ185" s="68"/>
      <c r="AK185" s="68"/>
      <c r="AL185" s="69"/>
      <c r="AM185" s="11"/>
      <c r="AN185" s="12"/>
      <c r="AO185" s="13"/>
      <c r="AP185" s="11"/>
      <c r="AQ185" s="12"/>
      <c r="AR185" s="13"/>
      <c r="AS185" s="11"/>
      <c r="AT185" s="12"/>
      <c r="AU185" s="13"/>
      <c r="AV185" s="11"/>
      <c r="AW185" s="12"/>
      <c r="AX185" s="13"/>
      <c r="AY185" s="34" t="str">
        <f t="array" ref="AY185">XLOOKUP(B185,faclon_results_2022!$D:$D,faclon_results_2022!$A:$A,"DNF")</f>
        <v>DNF</v>
      </c>
      <c r="AZ185" s="12" t="str">
        <f t="shared" si="1"/>
        <v>#N/A</v>
      </c>
      <c r="BA185" s="18" t="str">
        <f t="array" ref="BA185">XLOOKUP(B185,faclon_results_2022!$D:$D,faclon_results_2022!$J:$J)</f>
        <v>#N/A</v>
      </c>
    </row>
    <row r="186" ht="15.75" customHeight="1">
      <c r="A186" s="7"/>
      <c r="B186" s="47">
        <v>718.0</v>
      </c>
      <c r="C186" s="11">
        <v>90.0</v>
      </c>
      <c r="D186" s="12">
        <v>0.2673611111111111</v>
      </c>
      <c r="E186" s="13">
        <v>0.26805555555555555</v>
      </c>
      <c r="F186" s="64"/>
      <c r="G186" s="65"/>
      <c r="H186" s="66"/>
      <c r="I186" s="11">
        <v>85.0</v>
      </c>
      <c r="J186" s="12">
        <v>0.3888888888888889</v>
      </c>
      <c r="K186" s="13">
        <v>0.39375</v>
      </c>
      <c r="L186" s="67">
        <v>80.0</v>
      </c>
      <c r="M186" s="12">
        <v>0.47638888888888886</v>
      </c>
      <c r="N186" s="13">
        <v>0.4791666666666667</v>
      </c>
      <c r="O186" s="38">
        <v>69.0</v>
      </c>
      <c r="P186" s="12">
        <v>0.5423611111111111</v>
      </c>
      <c r="Q186" s="13">
        <v>0.5451388888888888</v>
      </c>
      <c r="R186" s="11">
        <v>70.0</v>
      </c>
      <c r="S186" s="12">
        <v>0.6083333333333333</v>
      </c>
      <c r="T186" s="13">
        <v>0.6111111111111112</v>
      </c>
      <c r="U186" s="11">
        <v>82.0</v>
      </c>
      <c r="V186" s="12">
        <v>0.6701388888888888</v>
      </c>
      <c r="W186" s="13">
        <v>0.69375</v>
      </c>
      <c r="X186" s="11">
        <v>88.0</v>
      </c>
      <c r="Y186" s="12"/>
      <c r="Z186" s="13">
        <v>0.7951388888888888</v>
      </c>
      <c r="AA186" s="20">
        <v>89.0</v>
      </c>
      <c r="AB186" s="21">
        <v>0.8590277777777777</v>
      </c>
      <c r="AC186" s="22">
        <v>0.8645833333333334</v>
      </c>
      <c r="AD186" s="18">
        <v>86.0</v>
      </c>
      <c r="AE186" s="12">
        <v>0.96875</v>
      </c>
      <c r="AF186" s="23">
        <v>0.9916666666666667</v>
      </c>
      <c r="AG186" s="11">
        <v>86.0</v>
      </c>
      <c r="AH186" s="12">
        <v>0.06666666666666667</v>
      </c>
      <c r="AI186" s="13">
        <v>0.07222222222222222</v>
      </c>
      <c r="AJ186" s="14">
        <v>87.0</v>
      </c>
      <c r="AK186" s="15">
        <v>0.1875</v>
      </c>
      <c r="AL186" s="16">
        <v>0.1951388888888889</v>
      </c>
      <c r="AM186" s="11">
        <v>95.0</v>
      </c>
      <c r="AN186" s="12">
        <v>0.2763888888888889</v>
      </c>
      <c r="AO186" s="38" t="s">
        <v>178</v>
      </c>
      <c r="AP186" s="11"/>
      <c r="AQ186" s="12"/>
      <c r="AR186" s="13"/>
      <c r="AS186" s="11"/>
      <c r="AT186" s="12"/>
      <c r="AU186" s="13"/>
      <c r="AV186" s="11"/>
      <c r="AW186" s="12"/>
      <c r="AX186" s="13"/>
      <c r="AY186" s="34" t="str">
        <f t="array" ref="AY186">XLOOKUP(B186,faclon_results_2022!$D:$D,faclon_results_2022!$A:$A,"DNF")</f>
        <v>DNF</v>
      </c>
      <c r="AZ186" s="12" t="str">
        <f t="shared" si="1"/>
        <v>#N/A</v>
      </c>
      <c r="BA186" s="18" t="str">
        <f t="array" ref="BA186">XLOOKUP(B186,faclon_results_2022!$D:$D,faclon_results_2022!$J:$J)</f>
        <v>#N/A</v>
      </c>
    </row>
    <row r="187" ht="15.75" customHeight="1">
      <c r="A187" s="7"/>
      <c r="B187" s="47">
        <v>719.0</v>
      </c>
      <c r="C187" s="11">
        <v>86.0</v>
      </c>
      <c r="D187" s="12">
        <v>0.26666666666666666</v>
      </c>
      <c r="E187" s="13">
        <v>0.2673611111111111</v>
      </c>
      <c r="F187" s="64">
        <v>105.0</v>
      </c>
      <c r="G187" s="65">
        <v>0.32569444444444445</v>
      </c>
      <c r="H187" s="66">
        <v>0.32569444444444445</v>
      </c>
      <c r="I187" s="11">
        <v>99.0</v>
      </c>
      <c r="J187" s="12">
        <v>0.39652777777777776</v>
      </c>
      <c r="K187" s="13">
        <v>0.4013888888888889</v>
      </c>
      <c r="L187" s="67">
        <v>100.0</v>
      </c>
      <c r="M187" s="12">
        <v>0.4888888888888889</v>
      </c>
      <c r="N187" s="13">
        <v>0.4930555555555556</v>
      </c>
      <c r="O187" s="38">
        <v>98.0</v>
      </c>
      <c r="P187" s="12">
        <v>0.5611111111111111</v>
      </c>
      <c r="Q187" s="13">
        <v>0.5645833333333333</v>
      </c>
      <c r="R187" s="11">
        <v>93.0</v>
      </c>
      <c r="S187" s="12">
        <v>0.6284722222222222</v>
      </c>
      <c r="T187" s="13">
        <v>0.6333333333333333</v>
      </c>
      <c r="U187" s="11">
        <v>94.0</v>
      </c>
      <c r="V187" s="12">
        <v>0.6805555555555556</v>
      </c>
      <c r="W187" s="13">
        <v>0.6979166666666666</v>
      </c>
      <c r="X187" s="11">
        <v>87.0</v>
      </c>
      <c r="Y187" s="12"/>
      <c r="Z187" s="13">
        <v>0.7930555555555555</v>
      </c>
      <c r="AA187" s="20">
        <v>78.0</v>
      </c>
      <c r="AB187" s="21">
        <v>0.8520833333333333</v>
      </c>
      <c r="AC187" s="22">
        <v>0.8534722222222222</v>
      </c>
      <c r="AD187" s="18">
        <v>82.0</v>
      </c>
      <c r="AE187" s="12">
        <v>0.9527777777777777</v>
      </c>
      <c r="AF187" s="23">
        <v>0.96875</v>
      </c>
      <c r="AG187" s="11">
        <v>77.0</v>
      </c>
      <c r="AH187" s="12">
        <v>0.03958333333333333</v>
      </c>
      <c r="AI187" s="13">
        <v>0.043055555555555555</v>
      </c>
      <c r="AJ187" s="14">
        <v>70.0</v>
      </c>
      <c r="AK187" s="15">
        <v>0.14166666666666666</v>
      </c>
      <c r="AL187" s="16">
        <v>0.14652777777777778</v>
      </c>
      <c r="AM187" s="11">
        <v>63.0</v>
      </c>
      <c r="AN187" s="12">
        <v>0.2125</v>
      </c>
      <c r="AO187" s="13">
        <v>0.22430555555555556</v>
      </c>
      <c r="AP187" s="11">
        <v>61.0</v>
      </c>
      <c r="AQ187" s="12">
        <v>0.29375</v>
      </c>
      <c r="AR187" s="13">
        <v>0.2986111111111111</v>
      </c>
      <c r="AS187" s="11">
        <v>56.0</v>
      </c>
      <c r="AT187" s="12">
        <v>0.39861111111111114</v>
      </c>
      <c r="AU187" s="13">
        <v>0.40347222222222223</v>
      </c>
      <c r="AV187" s="11">
        <v>54.0</v>
      </c>
      <c r="AW187" s="12">
        <v>0.4791666666666667</v>
      </c>
      <c r="AX187" s="13">
        <v>0.48055555555555557</v>
      </c>
      <c r="AY187" s="34">
        <f t="array" ref="AY187">XLOOKUP(B187,faclon_results_2022!$D:$D,faclon_results_2022!$A:$A,"DNF")</f>
        <v>55</v>
      </c>
      <c r="AZ187" s="12">
        <f t="shared" si="1"/>
        <v>0.5340277778</v>
      </c>
      <c r="BA187" s="18">
        <f t="array" ref="BA187">XLOOKUP(B187,faclon_results_2022!$D:$D,faclon_results_2022!$J:$J)</f>
        <v>31.8198</v>
      </c>
    </row>
    <row r="188" ht="15.75" customHeight="1">
      <c r="A188" s="7"/>
      <c r="B188" s="47">
        <v>721.0</v>
      </c>
      <c r="C188" s="11">
        <v>57.0</v>
      </c>
      <c r="D188" s="12">
        <v>0.26319444444444445</v>
      </c>
      <c r="E188" s="13">
        <v>0.2638888888888889</v>
      </c>
      <c r="F188" s="64">
        <v>47.0</v>
      </c>
      <c r="G188" s="65">
        <v>0.3138888888888889</v>
      </c>
      <c r="H188" s="66">
        <v>0.3138888888888889</v>
      </c>
      <c r="I188" s="11">
        <v>39.0</v>
      </c>
      <c r="J188" s="12">
        <v>0.3715277777777778</v>
      </c>
      <c r="K188" s="13">
        <v>0.3736111111111111</v>
      </c>
      <c r="L188" s="67">
        <v>30.0</v>
      </c>
      <c r="M188" s="12">
        <v>0.44583333333333336</v>
      </c>
      <c r="N188" s="13">
        <v>0.44722222222222224</v>
      </c>
      <c r="O188" s="38">
        <v>33.0</v>
      </c>
      <c r="P188" s="12">
        <v>0.5069444444444444</v>
      </c>
      <c r="Q188" s="13">
        <v>0.5118055555555555</v>
      </c>
      <c r="R188" s="11">
        <v>40.0</v>
      </c>
      <c r="S188" s="12">
        <v>0.5708333333333333</v>
      </c>
      <c r="T188" s="13">
        <v>0.5729166666666666</v>
      </c>
      <c r="U188" s="11">
        <v>38.0</v>
      </c>
      <c r="V188" s="12">
        <v>0.6118055555555556</v>
      </c>
      <c r="W188" s="13">
        <v>0.6152777777777778</v>
      </c>
      <c r="X188" s="11">
        <v>43.0</v>
      </c>
      <c r="Y188" s="12"/>
      <c r="Z188" s="13">
        <v>0.7277777777777777</v>
      </c>
      <c r="AA188" s="20">
        <v>47.0</v>
      </c>
      <c r="AB188" s="21">
        <v>0.7944444444444444</v>
      </c>
      <c r="AC188" s="22">
        <v>0.7979166666666667</v>
      </c>
      <c r="AD188" s="18">
        <v>54.0</v>
      </c>
      <c r="AE188" s="12">
        <v>0.9104166666666667</v>
      </c>
      <c r="AF188" s="23">
        <v>0.9361111111111111</v>
      </c>
      <c r="AG188" s="11">
        <v>61.0</v>
      </c>
      <c r="AH188" s="12">
        <v>0.019444444444444445</v>
      </c>
      <c r="AI188" s="13">
        <v>0.027777777777777776</v>
      </c>
      <c r="AJ188" s="14">
        <v>81.0</v>
      </c>
      <c r="AK188" s="15">
        <v>0.17152777777777778</v>
      </c>
      <c r="AL188" s="16">
        <v>0.21666666666666667</v>
      </c>
      <c r="AM188" s="11">
        <v>110.0</v>
      </c>
      <c r="AN188" s="12">
        <v>0.3076388888888889</v>
      </c>
      <c r="AO188" s="38" t="s">
        <v>178</v>
      </c>
      <c r="AP188" s="11"/>
      <c r="AQ188" s="12"/>
      <c r="AR188" s="38"/>
      <c r="AS188" s="11"/>
      <c r="AT188" s="12"/>
      <c r="AU188" s="38"/>
      <c r="AV188" s="11"/>
      <c r="AW188" s="12"/>
      <c r="AX188" s="38"/>
      <c r="AY188" s="34" t="str">
        <f t="array" ref="AY188">XLOOKUP(B188,faclon_results_2022!$D:$D,faclon_results_2022!$A:$A,"DNF")</f>
        <v>DNF</v>
      </c>
      <c r="AZ188" s="12" t="str">
        <f t="shared" si="1"/>
        <v>#N/A</v>
      </c>
      <c r="BA188" s="18" t="str">
        <f t="array" ref="BA188">XLOOKUP(B188,faclon_results_2022!$D:$D,faclon_results_2022!$J:$J)</f>
        <v>#N/A</v>
      </c>
    </row>
    <row r="189" ht="15.75" customHeight="1">
      <c r="A189" s="7"/>
      <c r="B189" s="47">
        <v>722.0</v>
      </c>
      <c r="C189" s="11">
        <v>64.0</v>
      </c>
      <c r="D189" s="12">
        <v>0.26319444444444445</v>
      </c>
      <c r="E189" s="13">
        <v>0.2638888888888889</v>
      </c>
      <c r="F189" s="64">
        <v>59.0</v>
      </c>
      <c r="G189" s="65">
        <v>0.3159722222222222</v>
      </c>
      <c r="H189" s="66">
        <v>0.3159722222222222</v>
      </c>
      <c r="I189" s="11">
        <v>71.0</v>
      </c>
      <c r="J189" s="12">
        <v>0.3861111111111111</v>
      </c>
      <c r="K189" s="13">
        <v>0.3923611111111111</v>
      </c>
      <c r="M189" s="12"/>
      <c r="N189" s="13"/>
      <c r="O189" s="38">
        <v>78.0</v>
      </c>
      <c r="P189" s="12">
        <v>0.5451388888888888</v>
      </c>
      <c r="Q189" s="13">
        <v>0.5541666666666667</v>
      </c>
      <c r="R189" s="11">
        <v>77.0</v>
      </c>
      <c r="S189" s="12">
        <v>0.6131944444444445</v>
      </c>
      <c r="T189" s="13">
        <v>0.6180555555555556</v>
      </c>
      <c r="U189" s="11">
        <v>73.0</v>
      </c>
      <c r="V189" s="12">
        <v>0.6638888888888889</v>
      </c>
      <c r="W189" s="13">
        <v>0.6743055555555556</v>
      </c>
      <c r="X189" s="11">
        <v>76.0</v>
      </c>
      <c r="Y189" s="12"/>
      <c r="Z189" s="13">
        <v>0.78125</v>
      </c>
      <c r="AA189" s="20">
        <v>71.0</v>
      </c>
      <c r="AB189" s="21">
        <v>0.8388888888888889</v>
      </c>
      <c r="AC189" s="22">
        <v>0.84375</v>
      </c>
      <c r="AD189" s="18">
        <v>66.0</v>
      </c>
      <c r="AE189" s="12">
        <v>0.9354166666666667</v>
      </c>
      <c r="AF189" s="23">
        <v>0.9472222222222222</v>
      </c>
      <c r="AG189" s="11">
        <v>60.0</v>
      </c>
      <c r="AH189" s="12">
        <v>0.014583333333333334</v>
      </c>
      <c r="AI189" s="13">
        <v>0.020833333333333332</v>
      </c>
      <c r="AJ189" s="14">
        <v>58.0</v>
      </c>
      <c r="AK189" s="15">
        <v>0.11388888888888889</v>
      </c>
      <c r="AL189" s="16">
        <v>0.11944444444444445</v>
      </c>
      <c r="AM189" s="11">
        <v>52.0</v>
      </c>
      <c r="AN189" s="12">
        <v>0.17291666666666666</v>
      </c>
      <c r="AO189" s="13">
        <v>0.18263888888888888</v>
      </c>
      <c r="AP189" s="11">
        <v>48.0</v>
      </c>
      <c r="AQ189" s="12">
        <v>0.25069444444444444</v>
      </c>
      <c r="AR189" s="13">
        <v>0.2590277777777778</v>
      </c>
      <c r="AS189" s="11">
        <v>52.0</v>
      </c>
      <c r="AT189" s="12">
        <v>0.3576388888888889</v>
      </c>
      <c r="AU189" s="13">
        <v>0.36666666666666664</v>
      </c>
      <c r="AV189" s="11">
        <v>51.0</v>
      </c>
      <c r="AW189" s="12">
        <v>0.44375</v>
      </c>
      <c r="AX189" s="13">
        <v>0.4479166666666667</v>
      </c>
      <c r="AY189" s="34">
        <f t="array" ref="AY189">XLOOKUP(B189,faclon_results_2022!$D:$D,faclon_results_2022!$A:$A,"DNF")</f>
        <v>51</v>
      </c>
      <c r="AZ189" s="12">
        <f t="shared" si="1"/>
        <v>0.4958333333</v>
      </c>
      <c r="BA189" s="18">
        <f t="array" ref="BA189">XLOOKUP(B189,faclon_results_2022!$D:$D,faclon_results_2022!$J:$J)</f>
        <v>30.90811</v>
      </c>
    </row>
    <row r="190" ht="15.75" customHeight="1">
      <c r="A190" s="7"/>
      <c r="B190" s="47">
        <v>723.0</v>
      </c>
      <c r="C190" s="11">
        <v>162.0</v>
      </c>
      <c r="D190" s="12">
        <v>0.2743055555555556</v>
      </c>
      <c r="E190" s="13">
        <v>0.275</v>
      </c>
      <c r="F190" s="64">
        <v>145.0</v>
      </c>
      <c r="G190" s="65">
        <v>0.3368055555555556</v>
      </c>
      <c r="H190" s="66">
        <v>0.3368055555555556</v>
      </c>
      <c r="I190" s="11">
        <v>137.0</v>
      </c>
      <c r="J190" s="12">
        <v>0.4083333333333333</v>
      </c>
      <c r="K190" s="13">
        <v>0.4215277777777778</v>
      </c>
      <c r="L190" s="67">
        <v>135.0</v>
      </c>
      <c r="M190" s="12">
        <v>0.5055555555555555</v>
      </c>
      <c r="N190" s="13">
        <v>0.5097222222222222</v>
      </c>
      <c r="O190" s="38">
        <v>133.0</v>
      </c>
      <c r="P190" s="12">
        <v>0.5805555555555556</v>
      </c>
      <c r="Q190" s="13">
        <v>0.5861111111111111</v>
      </c>
      <c r="R190" s="11">
        <v>139.0</v>
      </c>
      <c r="S190" s="12">
        <v>0.6652777777777777</v>
      </c>
      <c r="T190" s="13">
        <v>0.6701388888888888</v>
      </c>
      <c r="U190" s="11">
        <v>142.0</v>
      </c>
      <c r="V190" s="12">
        <v>0.7243055555555555</v>
      </c>
      <c r="W190" s="13">
        <v>0.7361111111111112</v>
      </c>
      <c r="X190" s="11">
        <v>137.0</v>
      </c>
      <c r="Y190" s="12"/>
      <c r="Z190" s="13">
        <v>0.8569444444444444</v>
      </c>
      <c r="AA190" s="20">
        <v>136.0</v>
      </c>
      <c r="AB190" s="21">
        <v>0.9298611111111111</v>
      </c>
      <c r="AC190" s="22">
        <v>0.9333333333333333</v>
      </c>
      <c r="AD190" s="18">
        <v>142.0</v>
      </c>
      <c r="AE190" s="12">
        <v>0.07430555555555556</v>
      </c>
      <c r="AF190" s="47" t="s">
        <v>178</v>
      </c>
      <c r="AG190" s="11"/>
      <c r="AH190" s="12"/>
      <c r="AI190" s="13"/>
      <c r="AJ190" s="68"/>
      <c r="AK190" s="68"/>
      <c r="AL190" s="69"/>
      <c r="AM190" s="11"/>
      <c r="AN190" s="12"/>
      <c r="AO190" s="13"/>
      <c r="AP190" s="11"/>
      <c r="AQ190" s="12"/>
      <c r="AR190" s="13"/>
      <c r="AS190" s="11"/>
      <c r="AT190" s="12"/>
      <c r="AU190" s="13"/>
      <c r="AV190" s="11"/>
      <c r="AW190" s="12"/>
      <c r="AX190" s="13"/>
      <c r="AY190" s="34" t="str">
        <f t="array" ref="AY190">XLOOKUP(B190,faclon_results_2022!$D:$D,faclon_results_2022!$A:$A,"DNF")</f>
        <v>DNF</v>
      </c>
      <c r="AZ190" s="12" t="str">
        <f t="shared" si="1"/>
        <v>#N/A</v>
      </c>
      <c r="BA190" s="18" t="str">
        <f t="array" ref="BA190">XLOOKUP(B190,faclon_results_2022!$D:$D,faclon_results_2022!$J:$J)</f>
        <v>#N/A</v>
      </c>
    </row>
    <row r="191" ht="15.75" customHeight="1">
      <c r="A191" s="7"/>
      <c r="B191" s="47">
        <v>726.0</v>
      </c>
      <c r="C191" s="11">
        <v>168.0</v>
      </c>
      <c r="D191" s="12">
        <v>0.2743055555555556</v>
      </c>
      <c r="E191" s="13">
        <v>0.275</v>
      </c>
      <c r="F191" s="64">
        <v>161.0</v>
      </c>
      <c r="G191" s="65">
        <v>0.3388888888888889</v>
      </c>
      <c r="H191" s="66">
        <v>0.3388888888888889</v>
      </c>
      <c r="I191" s="11">
        <v>158.0</v>
      </c>
      <c r="J191" s="12">
        <v>0.41458333333333336</v>
      </c>
      <c r="K191" s="13">
        <v>0.4236111111111111</v>
      </c>
      <c r="L191" s="67">
        <v>158.0</v>
      </c>
      <c r="M191" s="12">
        <v>0.5208333333333334</v>
      </c>
      <c r="N191" s="13">
        <v>0.525</v>
      </c>
      <c r="O191" s="38">
        <v>166.0</v>
      </c>
      <c r="P191" s="12">
        <v>0.6083333333333333</v>
      </c>
      <c r="Q191" s="13">
        <v>0.6215277777777778</v>
      </c>
      <c r="R191" s="11">
        <v>172.0</v>
      </c>
      <c r="S191" s="12">
        <v>0.7</v>
      </c>
      <c r="T191" s="13">
        <v>0.7076388888888889</v>
      </c>
      <c r="U191" s="11">
        <v>179.0</v>
      </c>
      <c r="V191" s="12">
        <v>0.7756944444444445</v>
      </c>
      <c r="W191" s="38" t="s">
        <v>178</v>
      </c>
      <c r="X191" s="11"/>
      <c r="Y191" s="12"/>
      <c r="Z191" s="13"/>
      <c r="AA191" s="20"/>
      <c r="AB191" s="71"/>
      <c r="AC191" s="70"/>
      <c r="AD191" s="18"/>
      <c r="AE191" s="18"/>
      <c r="AF191" s="47"/>
      <c r="AG191" s="11"/>
      <c r="AH191" s="12"/>
      <c r="AI191" s="13"/>
      <c r="AJ191" s="68"/>
      <c r="AK191" s="68"/>
      <c r="AL191" s="69"/>
      <c r="AM191" s="11"/>
      <c r="AN191" s="12"/>
      <c r="AO191" s="13"/>
      <c r="AP191" s="11"/>
      <c r="AQ191" s="12"/>
      <c r="AR191" s="13"/>
      <c r="AS191" s="11"/>
      <c r="AT191" s="12"/>
      <c r="AU191" s="13"/>
      <c r="AV191" s="11"/>
      <c r="AW191" s="12"/>
      <c r="AX191" s="13"/>
      <c r="AY191" s="34" t="str">
        <f t="array" ref="AY191">XLOOKUP(B191,faclon_results_2022!$D:$D,faclon_results_2022!$A:$A,"DNF")</f>
        <v>DNF</v>
      </c>
      <c r="AZ191" s="12" t="str">
        <f t="shared" si="1"/>
        <v>#N/A</v>
      </c>
      <c r="BA191" s="18" t="str">
        <f t="array" ref="BA191">XLOOKUP(B191,faclon_results_2022!$D:$D,faclon_results_2022!$J:$J)</f>
        <v>#N/A</v>
      </c>
    </row>
    <row r="192" ht="15.75" customHeight="1">
      <c r="A192" s="7"/>
      <c r="B192" s="47">
        <v>727.0</v>
      </c>
      <c r="C192" s="11">
        <v>77.0</v>
      </c>
      <c r="D192" s="12">
        <v>0.2659722222222222</v>
      </c>
      <c r="E192" s="13">
        <v>0.26666666666666666</v>
      </c>
      <c r="F192" s="64"/>
      <c r="G192" s="65"/>
      <c r="H192" s="66"/>
      <c r="I192" s="11">
        <v>83.0</v>
      </c>
      <c r="J192" s="12">
        <v>0.38819444444444445</v>
      </c>
      <c r="K192" s="13">
        <v>0.39652777777777776</v>
      </c>
      <c r="L192" s="67">
        <v>82.0</v>
      </c>
      <c r="M192" s="12">
        <v>0.47847222222222224</v>
      </c>
      <c r="N192" s="13">
        <v>0.48055555555555557</v>
      </c>
      <c r="O192" s="38">
        <v>75.0</v>
      </c>
      <c r="P192" s="12">
        <v>0.5451388888888888</v>
      </c>
      <c r="Q192" s="13">
        <v>0.5541666666666667</v>
      </c>
      <c r="R192" s="11">
        <v>79.0</v>
      </c>
      <c r="S192" s="12">
        <v>0.6166666666666667</v>
      </c>
      <c r="T192" s="13">
        <v>0.6194444444444445</v>
      </c>
      <c r="U192" s="11">
        <v>76.0</v>
      </c>
      <c r="V192" s="12">
        <v>0.6673611111111111</v>
      </c>
      <c r="W192" s="13">
        <v>0.6722222222222223</v>
      </c>
      <c r="X192" s="11">
        <v>68.0</v>
      </c>
      <c r="Y192" s="12"/>
      <c r="Z192" s="13">
        <v>0.7777777777777778</v>
      </c>
      <c r="AA192" s="20">
        <v>74.0</v>
      </c>
      <c r="AB192" s="21">
        <v>0.8402777777777778</v>
      </c>
      <c r="AC192" s="22">
        <v>0.8430555555555556</v>
      </c>
      <c r="AD192" s="18">
        <v>71.0</v>
      </c>
      <c r="AE192" s="12">
        <v>0.9458333333333333</v>
      </c>
      <c r="AF192" s="23">
        <v>0.9583333333333334</v>
      </c>
      <c r="AG192" s="11">
        <v>73.0</v>
      </c>
      <c r="AH192" s="12">
        <v>0.030555555555555555</v>
      </c>
      <c r="AI192" s="13">
        <v>0.0375</v>
      </c>
      <c r="AJ192" s="14">
        <v>71.0</v>
      </c>
      <c r="AK192" s="15">
        <v>0.14444444444444443</v>
      </c>
      <c r="AL192" s="16">
        <v>0.14930555555555555</v>
      </c>
      <c r="AM192" s="11">
        <v>67.0</v>
      </c>
      <c r="AN192" s="12">
        <v>0.21805555555555556</v>
      </c>
      <c r="AO192" s="13">
        <v>0.2388888888888889</v>
      </c>
      <c r="AP192" s="11">
        <v>65.0</v>
      </c>
      <c r="AQ192" s="12">
        <v>0.30972222222222223</v>
      </c>
      <c r="AR192" s="13">
        <v>0.3215277777777778</v>
      </c>
      <c r="AS192" s="11">
        <v>64.0</v>
      </c>
      <c r="AT192" s="12">
        <v>0.4201388888888889</v>
      </c>
      <c r="AU192" s="13">
        <v>0.42569444444444443</v>
      </c>
      <c r="AV192" s="11">
        <v>61.0</v>
      </c>
      <c r="AW192" s="12">
        <v>0.49583333333333335</v>
      </c>
      <c r="AX192" s="13">
        <v>0.49722222222222223</v>
      </c>
      <c r="AY192" s="34">
        <f t="array" ref="AY192">XLOOKUP(B192,faclon_results_2022!$D:$D,faclon_results_2022!$A:$A,"DNF")</f>
        <v>60</v>
      </c>
      <c r="AZ192" s="12">
        <f t="shared" si="1"/>
        <v>0.5520833333</v>
      </c>
      <c r="BA192" s="18">
        <f t="array" ref="BA192">XLOOKUP(B192,faclon_results_2022!$D:$D,faclon_results_2022!$J:$J)</f>
        <v>32.25284</v>
      </c>
    </row>
    <row r="193" ht="15.75" customHeight="1">
      <c r="A193" s="7"/>
      <c r="B193" s="47">
        <v>728.0</v>
      </c>
      <c r="C193" s="11">
        <v>60.0</v>
      </c>
      <c r="D193" s="12">
        <v>0.26319444444444445</v>
      </c>
      <c r="E193" s="13">
        <v>0.2638888888888889</v>
      </c>
      <c r="F193" s="64">
        <v>77.0</v>
      </c>
      <c r="G193" s="65">
        <v>0.32083333333333336</v>
      </c>
      <c r="H193" s="66">
        <v>0.32083333333333336</v>
      </c>
      <c r="I193" s="11">
        <v>34.0</v>
      </c>
      <c r="J193" s="12">
        <v>0.37083333333333335</v>
      </c>
      <c r="K193" s="13">
        <v>0.3736111111111111</v>
      </c>
      <c r="L193" s="67">
        <v>37.0</v>
      </c>
      <c r="M193" s="12">
        <v>0.44722222222222224</v>
      </c>
      <c r="N193" s="13">
        <v>0.4486111111111111</v>
      </c>
      <c r="O193" s="38">
        <v>37.0</v>
      </c>
      <c r="P193" s="12">
        <v>0.5083333333333333</v>
      </c>
      <c r="Q193" s="13">
        <v>0.5104166666666666</v>
      </c>
      <c r="R193" s="11">
        <v>33.0</v>
      </c>
      <c r="S193" s="12">
        <v>0.5659722222222222</v>
      </c>
      <c r="T193" s="13">
        <v>0.5666666666666667</v>
      </c>
      <c r="U193" s="11">
        <v>30.0</v>
      </c>
      <c r="V193" s="12">
        <v>0.6055555555555555</v>
      </c>
      <c r="W193" s="13">
        <v>0.6104166666666667</v>
      </c>
      <c r="X193" s="11">
        <v>29.0</v>
      </c>
      <c r="Y193" s="12"/>
      <c r="Z193" s="13">
        <v>0.7034722222222223</v>
      </c>
      <c r="AA193" s="20">
        <v>27.0</v>
      </c>
      <c r="AB193" s="21">
        <v>0.7569444444444444</v>
      </c>
      <c r="AC193" s="22">
        <v>0.7611111111111111</v>
      </c>
      <c r="AD193" s="18">
        <v>27.0</v>
      </c>
      <c r="AE193" s="12">
        <v>0.8423611111111111</v>
      </c>
      <c r="AF193" s="23">
        <v>0.8479166666666667</v>
      </c>
      <c r="AG193" s="11">
        <v>25.0</v>
      </c>
      <c r="AH193" s="12">
        <v>0.9090277777777778</v>
      </c>
      <c r="AI193" s="13">
        <v>0.9125</v>
      </c>
      <c r="AJ193" s="14">
        <v>23.0</v>
      </c>
      <c r="AK193" s="15">
        <v>0.9979166666666667</v>
      </c>
      <c r="AL193" s="16">
        <v>0.001388888888888889</v>
      </c>
      <c r="AM193" s="11">
        <v>20.0</v>
      </c>
      <c r="AN193" s="12">
        <v>0.05694444444444444</v>
      </c>
      <c r="AO193" s="13">
        <v>0.07222222222222222</v>
      </c>
      <c r="AP193" s="11">
        <v>21.0</v>
      </c>
      <c r="AQ193" s="12">
        <v>0.13541666666666666</v>
      </c>
      <c r="AR193" s="13">
        <v>0.13958333333333334</v>
      </c>
      <c r="AS193" s="11">
        <v>20.0</v>
      </c>
      <c r="AT193" s="12">
        <v>0.24027777777777778</v>
      </c>
      <c r="AU193" s="13">
        <v>0.24791666666666667</v>
      </c>
      <c r="AV193" s="11">
        <v>21.0</v>
      </c>
      <c r="AW193" s="12">
        <v>0.32222222222222224</v>
      </c>
      <c r="AX193" s="13">
        <v>0.3236111111111111</v>
      </c>
      <c r="AY193" s="34">
        <f t="array" ref="AY193">XLOOKUP(B193,faclon_results_2022!$D:$D,faclon_results_2022!$A:$A,"DNF")</f>
        <v>22</v>
      </c>
      <c r="AZ193" s="12">
        <f t="shared" si="1"/>
        <v>0.3736111111</v>
      </c>
      <c r="BA193" s="18">
        <f t="array" ref="BA193">XLOOKUP(B193,faclon_results_2022!$D:$D,faclon_results_2022!$J:$J)</f>
        <v>27.98098</v>
      </c>
    </row>
    <row r="194" ht="15.75" customHeight="1">
      <c r="A194" s="7"/>
      <c r="B194" s="47">
        <v>729.0</v>
      </c>
      <c r="C194" s="11">
        <v>67.0</v>
      </c>
      <c r="D194" s="12">
        <v>0.2638888888888889</v>
      </c>
      <c r="E194" s="13">
        <v>0.26458333333333334</v>
      </c>
      <c r="F194" s="64">
        <v>71.0</v>
      </c>
      <c r="G194" s="65">
        <v>0.32083333333333336</v>
      </c>
      <c r="H194" s="66">
        <v>0.32083333333333336</v>
      </c>
      <c r="I194" s="11">
        <v>63.0</v>
      </c>
      <c r="J194" s="12">
        <v>0.3840277777777778</v>
      </c>
      <c r="K194" s="13">
        <v>0.3861111111111111</v>
      </c>
      <c r="L194" s="67">
        <v>62.0</v>
      </c>
      <c r="M194" s="12">
        <v>0.4652777777777778</v>
      </c>
      <c r="N194" s="13">
        <v>0.4666666666666667</v>
      </c>
      <c r="O194" s="38">
        <v>59.0</v>
      </c>
      <c r="P194" s="12">
        <v>0.5291666666666667</v>
      </c>
      <c r="Q194" s="13">
        <v>0.5305555555555556</v>
      </c>
      <c r="R194" s="11">
        <v>53.0</v>
      </c>
      <c r="S194" s="12">
        <v>0.5881944444444445</v>
      </c>
      <c r="T194" s="13">
        <v>0.5895833333333333</v>
      </c>
      <c r="U194" s="11">
        <v>48.0</v>
      </c>
      <c r="V194" s="12">
        <v>0.6291666666666667</v>
      </c>
      <c r="W194" s="13">
        <v>0.63125</v>
      </c>
      <c r="X194" s="11">
        <v>45.0</v>
      </c>
      <c r="Y194" s="12"/>
      <c r="Z194" s="13">
        <v>0.7319444444444444</v>
      </c>
      <c r="AA194" s="20">
        <v>45.0</v>
      </c>
      <c r="AB194" s="21">
        <v>0.7902777777777777</v>
      </c>
      <c r="AC194" s="22">
        <v>0.7923611111111111</v>
      </c>
      <c r="AD194" s="18">
        <v>39.0</v>
      </c>
      <c r="AE194" s="12">
        <v>0.8770833333333333</v>
      </c>
      <c r="AF194" s="23">
        <v>0.8833333333333333</v>
      </c>
      <c r="AG194" s="11">
        <v>39.0</v>
      </c>
      <c r="AH194" s="12">
        <v>0.9576388888888889</v>
      </c>
      <c r="AI194" s="13">
        <v>0.9618055555555556</v>
      </c>
      <c r="AJ194" s="14">
        <v>39.0</v>
      </c>
      <c r="AK194" s="15">
        <v>0.0625</v>
      </c>
      <c r="AL194" s="16">
        <v>0.06597222222222222</v>
      </c>
      <c r="AM194" s="11">
        <v>35.0</v>
      </c>
      <c r="AN194" s="12">
        <v>0.12152777777777778</v>
      </c>
      <c r="AO194" s="13">
        <v>0.12777777777777777</v>
      </c>
      <c r="AP194" s="11">
        <v>34.0</v>
      </c>
      <c r="AQ194" s="12">
        <v>0.19722222222222222</v>
      </c>
      <c r="AR194" s="13">
        <v>0.20069444444444445</v>
      </c>
      <c r="AS194" s="11">
        <v>30.0</v>
      </c>
      <c r="AT194" s="12">
        <v>0.29305555555555557</v>
      </c>
      <c r="AU194" s="13">
        <v>0.2972222222222222</v>
      </c>
      <c r="AV194" s="11">
        <v>31.0</v>
      </c>
      <c r="AW194" s="12">
        <v>0.3770833333333333</v>
      </c>
      <c r="AX194" s="13">
        <v>0.3798611111111111</v>
      </c>
      <c r="AY194" s="34">
        <f t="array" ref="AY194">XLOOKUP(B194,faclon_results_2022!$D:$D,faclon_results_2022!$A:$A,"DNF")</f>
        <v>32</v>
      </c>
      <c r="AZ194" s="12">
        <f t="shared" si="1"/>
        <v>0.4291666667</v>
      </c>
      <c r="BA194" s="18">
        <f t="array" ref="BA194">XLOOKUP(B194,faclon_results_2022!$D:$D,faclon_results_2022!$J:$J)</f>
        <v>29.30605</v>
      </c>
    </row>
    <row r="195" ht="15.75" customHeight="1">
      <c r="A195" s="7"/>
      <c r="B195" s="47">
        <v>730.0</v>
      </c>
      <c r="C195" s="11">
        <v>59.0</v>
      </c>
      <c r="D195" s="12">
        <v>0.26319444444444445</v>
      </c>
      <c r="E195" s="13">
        <v>0.2638888888888889</v>
      </c>
      <c r="F195" s="64">
        <v>66.0</v>
      </c>
      <c r="G195" s="65">
        <v>0.31875</v>
      </c>
      <c r="H195" s="66">
        <v>0.31875</v>
      </c>
      <c r="I195" s="11">
        <v>70.0</v>
      </c>
      <c r="J195" s="12">
        <v>0.3861111111111111</v>
      </c>
      <c r="K195" s="13">
        <v>0.3902777777777778</v>
      </c>
      <c r="L195" s="67">
        <v>74.0</v>
      </c>
      <c r="M195" s="12">
        <v>0.47430555555555554</v>
      </c>
      <c r="N195" s="13">
        <v>0.4777777777777778</v>
      </c>
      <c r="O195" s="38">
        <v>84.0</v>
      </c>
      <c r="P195" s="12">
        <v>0.5520833333333334</v>
      </c>
      <c r="Q195" s="13">
        <v>0.5548611111111111</v>
      </c>
      <c r="R195" s="11">
        <v>91.0</v>
      </c>
      <c r="S195" s="12">
        <v>0.6277777777777778</v>
      </c>
      <c r="T195" s="13">
        <v>0.6284722222222222</v>
      </c>
      <c r="U195" s="11">
        <v>100.0</v>
      </c>
      <c r="V195" s="12">
        <v>0.6909722222222222</v>
      </c>
      <c r="W195" s="13">
        <v>0.7076388888888889</v>
      </c>
      <c r="X195" s="11">
        <v>102.0</v>
      </c>
      <c r="Y195" s="12"/>
      <c r="Z195" s="13">
        <v>0.8159722222222222</v>
      </c>
      <c r="AA195" s="20">
        <v>98.0</v>
      </c>
      <c r="AB195" s="21">
        <v>0.8819444444444444</v>
      </c>
      <c r="AC195" s="22">
        <v>0.8826388888888889</v>
      </c>
      <c r="AD195" s="18">
        <v>95.0</v>
      </c>
      <c r="AE195" s="12">
        <v>0.9847222222222223</v>
      </c>
      <c r="AF195" s="23">
        <v>0.9979166666666667</v>
      </c>
      <c r="AG195" s="11">
        <v>85.0</v>
      </c>
      <c r="AH195" s="12">
        <v>0.06458333333333334</v>
      </c>
      <c r="AI195" s="13">
        <v>0.06944444444444445</v>
      </c>
      <c r="AJ195" s="14">
        <v>84.0</v>
      </c>
      <c r="AK195" s="15">
        <v>0.17708333333333334</v>
      </c>
      <c r="AL195" s="16">
        <v>0.18125</v>
      </c>
      <c r="AM195" s="11">
        <v>82.0</v>
      </c>
      <c r="AN195" s="12">
        <v>0.2638888888888889</v>
      </c>
      <c r="AO195" s="13">
        <v>0.28680555555555554</v>
      </c>
      <c r="AP195" s="11">
        <v>86.0</v>
      </c>
      <c r="AQ195" s="12">
        <v>0.3506944444444444</v>
      </c>
      <c r="AR195" s="13">
        <v>0.3527777777777778</v>
      </c>
      <c r="AS195" s="11">
        <v>74.0</v>
      </c>
      <c r="AT195" s="12">
        <v>0.44583333333333336</v>
      </c>
      <c r="AU195" s="13">
        <v>0.4486111111111111</v>
      </c>
      <c r="AV195" s="11">
        <v>67.0</v>
      </c>
      <c r="AW195" s="12">
        <v>0.5180555555555556</v>
      </c>
      <c r="AX195" s="13">
        <v>0.5194444444444445</v>
      </c>
      <c r="AY195" s="34">
        <f t="array" ref="AY195">XLOOKUP(B195,faclon_results_2022!$D:$D,faclon_results_2022!$A:$A,"DNF")</f>
        <v>68</v>
      </c>
      <c r="AZ195" s="12">
        <f t="shared" si="1"/>
        <v>0.5798611111</v>
      </c>
      <c r="BA195" s="18">
        <f t="array" ref="BA195">XLOOKUP(B195,faclon_results_2022!$D:$D,faclon_results_2022!$J:$J)</f>
        <v>32.93033</v>
      </c>
    </row>
    <row r="196" ht="15.75" customHeight="1">
      <c r="A196" s="7"/>
      <c r="B196" s="47">
        <v>731.0</v>
      </c>
      <c r="C196" s="11">
        <v>24.0</v>
      </c>
      <c r="D196" s="12">
        <v>0.2590277777777778</v>
      </c>
      <c r="E196" s="13">
        <v>0.25972222222222224</v>
      </c>
      <c r="F196" s="64">
        <v>136.0</v>
      </c>
      <c r="G196" s="65">
        <v>0.33402777777777776</v>
      </c>
      <c r="H196" s="66">
        <v>0.33402777777777776</v>
      </c>
      <c r="I196" s="11">
        <v>30.0</v>
      </c>
      <c r="J196" s="12">
        <v>0.36736111111111114</v>
      </c>
      <c r="K196" s="13">
        <v>0.36875</v>
      </c>
      <c r="L196" s="67">
        <v>25.0</v>
      </c>
      <c r="M196" s="12">
        <v>0.44166666666666665</v>
      </c>
      <c r="N196" s="13">
        <v>0.4423611111111111</v>
      </c>
      <c r="O196" s="38">
        <v>25.0</v>
      </c>
      <c r="P196" s="12">
        <v>0.5</v>
      </c>
      <c r="Q196" s="13">
        <v>0.5013888888888889</v>
      </c>
      <c r="R196" s="11">
        <v>22.0</v>
      </c>
      <c r="S196" s="12">
        <v>0.5555555555555556</v>
      </c>
      <c r="T196" s="13">
        <v>0.55625</v>
      </c>
      <c r="U196" s="11">
        <v>20.0</v>
      </c>
      <c r="V196" s="12">
        <v>0.5930555555555556</v>
      </c>
      <c r="W196" s="13">
        <v>0.5944444444444444</v>
      </c>
      <c r="X196" s="11">
        <v>13.0</v>
      </c>
      <c r="Y196" s="12"/>
      <c r="Z196" s="13">
        <v>0.6854166666666667</v>
      </c>
      <c r="AA196" s="20">
        <v>12.0</v>
      </c>
      <c r="AB196" s="21">
        <v>0.7368055555555556</v>
      </c>
      <c r="AC196" s="22">
        <v>0.7375</v>
      </c>
      <c r="AD196" s="18">
        <v>13.0</v>
      </c>
      <c r="AE196" s="12">
        <v>0.8166666666666667</v>
      </c>
      <c r="AF196" s="23">
        <v>0.81875</v>
      </c>
      <c r="AG196" s="11">
        <v>13.0</v>
      </c>
      <c r="AH196" s="12">
        <v>0.875</v>
      </c>
      <c r="AI196" s="13">
        <v>0.8770833333333333</v>
      </c>
      <c r="AJ196" s="14">
        <v>12.0</v>
      </c>
      <c r="AK196" s="15">
        <v>0.9618055555555556</v>
      </c>
      <c r="AL196" s="16">
        <v>0.9638888888888889</v>
      </c>
      <c r="AM196" s="11">
        <v>12.0</v>
      </c>
      <c r="AN196" s="12">
        <v>0.013888888888888888</v>
      </c>
      <c r="AO196" s="13">
        <v>0.01597222222222222</v>
      </c>
      <c r="AP196" s="11">
        <v>12.0</v>
      </c>
      <c r="AQ196" s="12">
        <v>0.08125</v>
      </c>
      <c r="AR196" s="13">
        <v>0.08333333333333333</v>
      </c>
      <c r="AS196" s="11">
        <v>12.0</v>
      </c>
      <c r="AT196" s="12">
        <v>0.1798611111111111</v>
      </c>
      <c r="AU196" s="13">
        <v>0.18263888888888888</v>
      </c>
      <c r="AV196" s="11">
        <v>11.0</v>
      </c>
      <c r="AW196" s="12">
        <v>0.2513888888888889</v>
      </c>
      <c r="AX196" s="13">
        <v>0.2513888888888889</v>
      </c>
      <c r="AY196" s="34">
        <f t="array" ref="AY196">XLOOKUP(B196,faclon_results_2022!$D:$D,faclon_results_2022!$A:$A,"DNF")</f>
        <v>12</v>
      </c>
      <c r="AZ196" s="12">
        <f t="shared" si="1"/>
        <v>0.2944444444</v>
      </c>
      <c r="BA196" s="18">
        <f t="array" ref="BA196">XLOOKUP(B196,faclon_results_2022!$D:$D,faclon_results_2022!$J:$J)</f>
        <v>26.07699</v>
      </c>
    </row>
    <row r="197" ht="15.75" customHeight="1">
      <c r="A197" s="7"/>
      <c r="B197" s="47">
        <v>732.0</v>
      </c>
      <c r="C197" s="11">
        <v>153.0</v>
      </c>
      <c r="D197" s="12">
        <v>0.2743055555555556</v>
      </c>
      <c r="E197" s="13">
        <v>0.275</v>
      </c>
      <c r="F197" s="64">
        <v>118.0</v>
      </c>
      <c r="G197" s="65">
        <v>0.3298611111111111</v>
      </c>
      <c r="H197" s="66">
        <v>0.3298611111111111</v>
      </c>
      <c r="I197" s="11">
        <v>109.0</v>
      </c>
      <c r="J197" s="12">
        <v>0.4</v>
      </c>
      <c r="K197" s="13">
        <v>0.4076388888888889</v>
      </c>
      <c r="L197" s="67">
        <v>103.0</v>
      </c>
      <c r="M197" s="12">
        <v>0.49166666666666664</v>
      </c>
      <c r="N197" s="13">
        <v>0.4979166666666667</v>
      </c>
      <c r="O197" s="38">
        <v>101.0</v>
      </c>
      <c r="P197" s="12">
        <v>0.5645833333333333</v>
      </c>
      <c r="Q197" s="13">
        <v>0.5701388888888889</v>
      </c>
      <c r="R197" s="11">
        <v>98.0</v>
      </c>
      <c r="S197" s="12">
        <v>0.6340277777777777</v>
      </c>
      <c r="T197" s="13">
        <v>0.6361111111111111</v>
      </c>
      <c r="U197" s="11">
        <v>99.0</v>
      </c>
      <c r="V197" s="12">
        <v>0.6909722222222222</v>
      </c>
      <c r="W197" s="13">
        <v>0.7048611111111112</v>
      </c>
      <c r="X197" s="11">
        <v>97.0</v>
      </c>
      <c r="Y197" s="12"/>
      <c r="Z197" s="13">
        <v>0.8090277777777778</v>
      </c>
      <c r="AA197" s="20">
        <v>94.0</v>
      </c>
      <c r="AB197" s="21">
        <v>0.86875</v>
      </c>
      <c r="AC197" s="22">
        <v>0.8722222222222222</v>
      </c>
      <c r="AD197" s="18">
        <v>92.0</v>
      </c>
      <c r="AE197" s="12">
        <v>0.9833333333333333</v>
      </c>
      <c r="AF197" s="23">
        <v>0.024305555555555556</v>
      </c>
      <c r="AG197" s="11">
        <v>107.0</v>
      </c>
      <c r="AH197" s="12">
        <v>0.10625</v>
      </c>
      <c r="AI197" s="13">
        <v>0.13125</v>
      </c>
      <c r="AJ197" s="14">
        <v>115.0</v>
      </c>
      <c r="AK197" s="15">
        <v>0.24444444444444444</v>
      </c>
      <c r="AL197" s="16">
        <v>0.25763888888888886</v>
      </c>
      <c r="AM197" s="11">
        <v>113.0</v>
      </c>
      <c r="AN197" s="12">
        <v>0.3159722222222222</v>
      </c>
      <c r="AO197" s="13">
        <v>0.3375</v>
      </c>
      <c r="AP197" s="11">
        <v>112.0</v>
      </c>
      <c r="AQ197" s="12">
        <v>0.40625</v>
      </c>
      <c r="AR197" s="13">
        <v>0.41041666666666665</v>
      </c>
      <c r="AS197" s="11">
        <v>110.0</v>
      </c>
      <c r="AT197" s="12">
        <v>0.5131944444444444</v>
      </c>
      <c r="AU197" s="13">
        <v>0.5194444444444445</v>
      </c>
      <c r="AV197" s="11">
        <v>107.0</v>
      </c>
      <c r="AW197" s="12">
        <v>0.09652777777777778</v>
      </c>
      <c r="AX197" s="13">
        <v>0.09652777777777778</v>
      </c>
      <c r="AY197" s="34">
        <f t="array" ref="AY197">XLOOKUP(B197,faclon_results_2022!$D:$D,faclon_results_2022!$A:$A,"DNF")</f>
        <v>108</v>
      </c>
      <c r="AZ197" s="12">
        <f t="shared" si="1"/>
        <v>0.6604166667</v>
      </c>
      <c r="BA197" s="18">
        <f t="array" ref="BA197">XLOOKUP(B197,faclon_results_2022!$D:$D,faclon_results_2022!$J:$J)</f>
        <v>34.86106</v>
      </c>
    </row>
    <row r="198" ht="15.75" customHeight="1">
      <c r="A198" s="7"/>
      <c r="B198" s="47">
        <v>733.0</v>
      </c>
      <c r="C198" s="11">
        <v>110.0</v>
      </c>
      <c r="D198" s="12">
        <v>0.26944444444444443</v>
      </c>
      <c r="E198" s="13">
        <v>0.2701388888888889</v>
      </c>
      <c r="F198" s="64">
        <v>126.0</v>
      </c>
      <c r="G198" s="65">
        <v>0.33194444444444443</v>
      </c>
      <c r="H198" s="66">
        <v>0.33194444444444443</v>
      </c>
      <c r="I198" s="11">
        <v>141.0</v>
      </c>
      <c r="J198" s="12">
        <v>0.4097222222222222</v>
      </c>
      <c r="K198" s="13">
        <v>0.425</v>
      </c>
      <c r="L198" s="67">
        <v>152.0</v>
      </c>
      <c r="M198" s="12">
        <v>0.5152777777777777</v>
      </c>
      <c r="N198" s="13">
        <v>0.5222222222222223</v>
      </c>
      <c r="O198" s="38">
        <v>153.0</v>
      </c>
      <c r="P198" s="12">
        <v>0.5972222222222222</v>
      </c>
      <c r="Q198" s="13">
        <v>0.6104166666666667</v>
      </c>
      <c r="R198" s="11">
        <v>158.0</v>
      </c>
      <c r="S198" s="12">
        <v>0.6854166666666667</v>
      </c>
      <c r="T198" s="13">
        <v>0.6888888888888889</v>
      </c>
      <c r="U198" s="11">
        <v>159.0</v>
      </c>
      <c r="V198" s="12">
        <v>0.7465277777777778</v>
      </c>
      <c r="W198" s="13">
        <v>0.7638888888888888</v>
      </c>
      <c r="X198" s="11">
        <v>158.0</v>
      </c>
      <c r="Y198" s="12"/>
      <c r="Z198" s="13">
        <v>0.8875</v>
      </c>
      <c r="AA198" s="20">
        <v>158.0</v>
      </c>
      <c r="AB198" s="21">
        <v>0.9652777777777778</v>
      </c>
      <c r="AC198" s="22">
        <v>0.9701388888888889</v>
      </c>
      <c r="AD198" s="18">
        <v>151.0</v>
      </c>
      <c r="AE198" s="12">
        <v>0.0875</v>
      </c>
      <c r="AF198" s="23">
        <v>0.10902777777777778</v>
      </c>
      <c r="AG198" s="11">
        <v>149.0</v>
      </c>
      <c r="AH198" s="12">
        <v>0.2222222222222222</v>
      </c>
      <c r="AI198" s="38" t="s">
        <v>178</v>
      </c>
      <c r="AJ198" s="68"/>
      <c r="AK198" s="68"/>
      <c r="AL198" s="69"/>
      <c r="AM198" s="11"/>
      <c r="AN198" s="12"/>
      <c r="AO198" s="13"/>
      <c r="AP198" s="11"/>
      <c r="AQ198" s="12"/>
      <c r="AR198" s="13"/>
      <c r="AS198" s="11"/>
      <c r="AT198" s="12"/>
      <c r="AU198" s="13"/>
      <c r="AV198" s="11"/>
      <c r="AW198" s="12"/>
      <c r="AX198" s="13"/>
      <c r="AY198" s="34" t="str">
        <f t="array" ref="AY198">XLOOKUP(B198,faclon_results_2022!$D:$D,faclon_results_2022!$A:$A,"DNF")</f>
        <v>DNF</v>
      </c>
      <c r="AZ198" s="12" t="str">
        <f t="shared" si="1"/>
        <v>#N/A</v>
      </c>
      <c r="BA198" s="18" t="str">
        <f t="array" ref="BA198">XLOOKUP(B198,faclon_results_2022!$D:$D,faclon_results_2022!$J:$J)</f>
        <v>#N/A</v>
      </c>
    </row>
    <row r="199" ht="15.75" customHeight="1">
      <c r="A199" s="7"/>
      <c r="B199" s="47">
        <v>734.0</v>
      </c>
      <c r="C199" s="11">
        <v>89.0</v>
      </c>
      <c r="D199" s="12">
        <v>0.2673611111111111</v>
      </c>
      <c r="E199" s="13">
        <v>0.26805555555555555</v>
      </c>
      <c r="F199" s="64">
        <v>67.0</v>
      </c>
      <c r="G199" s="65">
        <v>0.31875</v>
      </c>
      <c r="H199" s="66">
        <v>0.31875</v>
      </c>
      <c r="I199" s="11">
        <v>65.0</v>
      </c>
      <c r="J199" s="12">
        <v>0.38472222222222224</v>
      </c>
      <c r="K199" s="13">
        <v>0.38819444444444445</v>
      </c>
      <c r="L199" s="67">
        <v>66.0</v>
      </c>
      <c r="M199" s="12">
        <v>0.4701388888888889</v>
      </c>
      <c r="N199" s="13">
        <v>0.4722222222222222</v>
      </c>
      <c r="O199" s="38">
        <v>68.0</v>
      </c>
      <c r="P199" s="12">
        <v>0.5409722222222222</v>
      </c>
      <c r="Q199" s="13">
        <v>0.5451388888888888</v>
      </c>
      <c r="R199" s="11">
        <v>69.0</v>
      </c>
      <c r="S199" s="12">
        <v>0.6076388888888888</v>
      </c>
      <c r="T199" s="13">
        <v>0.6166666666666667</v>
      </c>
      <c r="U199" s="11">
        <v>67.0</v>
      </c>
      <c r="V199" s="12">
        <v>0.6569444444444444</v>
      </c>
      <c r="W199" s="13">
        <v>0.6666666666666666</v>
      </c>
      <c r="X199" s="11">
        <v>80.0</v>
      </c>
      <c r="Y199" s="12"/>
      <c r="Z199" s="13">
        <v>0.7861111111111111</v>
      </c>
      <c r="AA199" s="20">
        <v>85.0</v>
      </c>
      <c r="AB199" s="21">
        <v>0.85625</v>
      </c>
      <c r="AC199" s="22">
        <v>0.8625</v>
      </c>
      <c r="AD199" s="18">
        <v>84.0</v>
      </c>
      <c r="AE199" s="12">
        <v>0.96875</v>
      </c>
      <c r="AF199" s="23">
        <v>0.9909722222222223</v>
      </c>
      <c r="AG199" s="11">
        <v>88.0</v>
      </c>
      <c r="AH199" s="12">
        <v>0.07013888888888889</v>
      </c>
      <c r="AI199" s="13">
        <v>0.07777777777777778</v>
      </c>
      <c r="AJ199" s="14">
        <v>85.0</v>
      </c>
      <c r="AK199" s="15">
        <v>0.18333333333333332</v>
      </c>
      <c r="AL199" s="16">
        <v>0.2</v>
      </c>
      <c r="AM199" s="11">
        <v>80.0</v>
      </c>
      <c r="AN199" s="12">
        <v>0.25972222222222224</v>
      </c>
      <c r="AO199" s="13">
        <v>0.26666666666666666</v>
      </c>
      <c r="AP199" s="11">
        <v>77.0</v>
      </c>
      <c r="AQ199" s="12">
        <v>0.33819444444444446</v>
      </c>
      <c r="AR199" s="13">
        <v>0.34444444444444444</v>
      </c>
      <c r="AS199" s="11">
        <v>77.0</v>
      </c>
      <c r="AT199" s="12">
        <v>0.45208333333333334</v>
      </c>
      <c r="AU199" s="13">
        <v>0.4597222222222222</v>
      </c>
      <c r="AV199" s="11">
        <v>78.0</v>
      </c>
      <c r="AW199" s="12">
        <v>0.5402777777777777</v>
      </c>
      <c r="AX199" s="13">
        <v>0.044444444444444446</v>
      </c>
      <c r="AY199" s="34">
        <f t="array" ref="AY199">XLOOKUP(B199,faclon_results_2022!$D:$D,faclon_results_2022!$A:$A,"DNF")</f>
        <v>77</v>
      </c>
      <c r="AZ199" s="12">
        <f t="shared" si="1"/>
        <v>0.5958333333</v>
      </c>
      <c r="BA199" s="18">
        <f t="array" ref="BA199">XLOOKUP(B199,faclon_results_2022!$D:$D,faclon_results_2022!$J:$J)</f>
        <v>33.30422</v>
      </c>
    </row>
    <row r="200" ht="15.75" customHeight="1">
      <c r="A200" s="7"/>
      <c r="B200" s="47">
        <v>736.0</v>
      </c>
      <c r="C200" s="11">
        <v>5.0</v>
      </c>
      <c r="D200" s="12">
        <v>0.2513888888888889</v>
      </c>
      <c r="E200" s="13">
        <v>0.2520833333333333</v>
      </c>
      <c r="F200" s="64">
        <v>2.0</v>
      </c>
      <c r="G200" s="65">
        <v>0.2923611111111111</v>
      </c>
      <c r="H200" s="66">
        <v>0.2923611111111111</v>
      </c>
      <c r="I200" s="11">
        <v>1.0</v>
      </c>
      <c r="J200" s="12">
        <v>0.33958333333333335</v>
      </c>
      <c r="K200" s="13">
        <v>0.34375</v>
      </c>
      <c r="L200" s="67">
        <v>3.0</v>
      </c>
      <c r="M200" s="12">
        <v>0.40555555555555556</v>
      </c>
      <c r="N200" s="13">
        <v>0.40694444444444444</v>
      </c>
      <c r="O200" s="38">
        <v>3.0</v>
      </c>
      <c r="P200" s="12">
        <v>0.46319444444444446</v>
      </c>
      <c r="Q200" s="13">
        <v>0.46319444444444446</v>
      </c>
      <c r="R200" s="11">
        <v>6.0</v>
      </c>
      <c r="S200" s="12">
        <v>0.5194444444444445</v>
      </c>
      <c r="T200" s="13">
        <v>0.5201388888888889</v>
      </c>
      <c r="U200" s="11">
        <v>4.0</v>
      </c>
      <c r="V200" s="12">
        <v>0.55</v>
      </c>
      <c r="W200" s="13">
        <v>0.5527777777777778</v>
      </c>
      <c r="X200" s="11">
        <v>11.0</v>
      </c>
      <c r="Y200" s="12"/>
      <c r="Z200" s="13">
        <v>0.6763888888888889</v>
      </c>
      <c r="AA200" s="20">
        <v>13.0</v>
      </c>
      <c r="AB200" s="21">
        <v>0.7381944444444445</v>
      </c>
      <c r="AC200" s="22">
        <v>0.7472222222222222</v>
      </c>
      <c r="AD200" s="18">
        <v>14.0</v>
      </c>
      <c r="AE200" s="12">
        <v>0.8201388888888889</v>
      </c>
      <c r="AF200" s="47" t="s">
        <v>179</v>
      </c>
      <c r="AG200" s="11">
        <v>16.0</v>
      </c>
      <c r="AH200" s="12">
        <v>0.8951388888888889</v>
      </c>
      <c r="AI200" s="13">
        <v>0.9013888888888889</v>
      </c>
      <c r="AJ200" s="14">
        <v>25.0</v>
      </c>
      <c r="AK200" s="15">
        <v>0.0020833333333333333</v>
      </c>
      <c r="AL200" s="53" t="s">
        <v>178</v>
      </c>
      <c r="AM200" s="11"/>
      <c r="AN200" s="18"/>
      <c r="AO200" s="38"/>
      <c r="AP200" s="11"/>
      <c r="AQ200" s="18"/>
      <c r="AR200" s="38"/>
      <c r="AS200" s="11"/>
      <c r="AT200" s="18"/>
      <c r="AU200" s="38"/>
      <c r="AV200" s="11"/>
      <c r="AW200" s="18"/>
      <c r="AX200" s="38"/>
      <c r="AY200" s="34" t="str">
        <f t="array" ref="AY200">XLOOKUP(B200,faclon_results_2022!$D:$D,faclon_results_2022!$A:$A,"DNF")</f>
        <v>DNF</v>
      </c>
      <c r="AZ200" s="12" t="str">
        <f t="shared" si="1"/>
        <v>#N/A</v>
      </c>
      <c r="BA200" s="18" t="str">
        <f t="array" ref="BA200">XLOOKUP(B200,faclon_results_2022!$D:$D,faclon_results_2022!$J:$J)</f>
        <v>#N/A</v>
      </c>
    </row>
    <row r="201" ht="15.75" customHeight="1">
      <c r="A201" s="7"/>
      <c r="B201" s="47">
        <v>737.0</v>
      </c>
      <c r="C201" s="11">
        <v>154.0</v>
      </c>
      <c r="D201" s="12">
        <v>0.2743055555555556</v>
      </c>
      <c r="E201" s="13">
        <v>0.275</v>
      </c>
      <c r="F201" s="64">
        <v>155.0</v>
      </c>
      <c r="G201" s="65">
        <v>0.33819444444444446</v>
      </c>
      <c r="H201" s="66">
        <v>0.33819444444444446</v>
      </c>
      <c r="I201" s="11">
        <v>139.0</v>
      </c>
      <c r="J201" s="12">
        <v>0.4097222222222222</v>
      </c>
      <c r="K201" s="13">
        <v>0.4125</v>
      </c>
      <c r="L201" s="67">
        <v>133.0</v>
      </c>
      <c r="M201" s="12">
        <v>0.5048611111111111</v>
      </c>
      <c r="N201" s="13">
        <v>0.50625</v>
      </c>
      <c r="O201" s="38">
        <v>134.0</v>
      </c>
      <c r="P201" s="12">
        <v>0.58125</v>
      </c>
      <c r="Q201" s="13">
        <v>0.5861111111111111</v>
      </c>
      <c r="R201" s="11">
        <v>131.0</v>
      </c>
      <c r="S201" s="12">
        <v>0.6583333333333333</v>
      </c>
      <c r="T201" s="13">
        <v>0.6597222222222222</v>
      </c>
      <c r="U201" s="11">
        <v>123.0</v>
      </c>
      <c r="V201" s="12">
        <v>0.7104166666666667</v>
      </c>
      <c r="W201" s="13">
        <v>0.71875</v>
      </c>
      <c r="X201" s="11">
        <v>106.0</v>
      </c>
      <c r="Y201" s="12"/>
      <c r="Z201" s="13">
        <v>0.8229166666666666</v>
      </c>
      <c r="AA201" s="20">
        <v>106.0</v>
      </c>
      <c r="AB201" s="21">
        <v>0.8916666666666667</v>
      </c>
      <c r="AC201" s="22">
        <v>0.8902777777777777</v>
      </c>
      <c r="AD201" s="18">
        <v>96.0</v>
      </c>
      <c r="AE201" s="12">
        <v>0.9881944444444445</v>
      </c>
      <c r="AF201" s="23">
        <v>0.9965277777777778</v>
      </c>
      <c r="AG201" s="11">
        <v>89.0</v>
      </c>
      <c r="AH201" s="12">
        <v>0.07083333333333333</v>
      </c>
      <c r="AI201" s="13">
        <v>0.07291666666666667</v>
      </c>
      <c r="AJ201" s="14">
        <v>80.0</v>
      </c>
      <c r="AK201" s="15">
        <v>0.16805555555555557</v>
      </c>
      <c r="AL201" s="16">
        <v>0.16666666666666666</v>
      </c>
      <c r="AM201" s="11">
        <v>70.0</v>
      </c>
      <c r="AN201" s="12">
        <v>0.23055555555555557</v>
      </c>
      <c r="AO201" s="13">
        <v>0.24166666666666667</v>
      </c>
      <c r="AP201" s="11">
        <v>67.0</v>
      </c>
      <c r="AQ201" s="12">
        <v>0.31805555555555554</v>
      </c>
      <c r="AR201" s="13">
        <v>0.32222222222222224</v>
      </c>
      <c r="AS201" s="11">
        <v>68.0</v>
      </c>
      <c r="AT201" s="12">
        <v>0.43194444444444446</v>
      </c>
      <c r="AU201" s="13">
        <v>0.4354166666666667</v>
      </c>
      <c r="AV201" s="11">
        <v>68.0</v>
      </c>
      <c r="AW201" s="12">
        <v>0.5194444444444445</v>
      </c>
      <c r="AX201" s="13">
        <v>0.5194444444444445</v>
      </c>
      <c r="AY201" s="34">
        <f t="array" ref="AY201">XLOOKUP(B201,faclon_results_2022!$D:$D,faclon_results_2022!$A:$A,"DNF")</f>
        <v>71</v>
      </c>
      <c r="AZ201" s="12">
        <f t="shared" si="1"/>
        <v>0.5847222222</v>
      </c>
      <c r="BA201" s="18">
        <f t="array" ref="BA201">XLOOKUP(B201,faclon_results_2022!$D:$D,faclon_results_2022!$J:$J)</f>
        <v>33.04472</v>
      </c>
    </row>
    <row r="202" ht="15.75" customHeight="1">
      <c r="A202" s="7"/>
      <c r="B202" s="47">
        <v>738.0</v>
      </c>
      <c r="C202" s="11">
        <v>140.0</v>
      </c>
      <c r="D202" s="12">
        <v>0.27152777777777776</v>
      </c>
      <c r="E202" s="13">
        <v>0.2722222222222222</v>
      </c>
      <c r="F202" s="64"/>
      <c r="G202" s="65"/>
      <c r="H202" s="66"/>
      <c r="I202" s="11">
        <v>175.0</v>
      </c>
      <c r="J202" s="12">
        <v>0.42430555555555555</v>
      </c>
      <c r="K202" s="13">
        <v>0.4284722222222222</v>
      </c>
      <c r="L202" s="67">
        <v>181.0</v>
      </c>
      <c r="M202" s="12">
        <v>0.5388888888888889</v>
      </c>
      <c r="N202" s="13">
        <v>0.5423611111111111</v>
      </c>
      <c r="O202" s="38">
        <v>179.0</v>
      </c>
      <c r="P202" s="12">
        <v>0.6229166666666667</v>
      </c>
      <c r="Q202" s="13">
        <v>0.6256944444444444</v>
      </c>
      <c r="R202" s="11">
        <v>178.0</v>
      </c>
      <c r="S202" s="12">
        <v>0.7090277777777778</v>
      </c>
      <c r="T202" s="13">
        <v>0.7118055555555556</v>
      </c>
      <c r="U202" s="11">
        <v>180.0</v>
      </c>
      <c r="V202" s="12">
        <v>0.7777777777777778</v>
      </c>
      <c r="W202" s="13">
        <v>0.7888888888888889</v>
      </c>
      <c r="X202" s="11">
        <v>171.0</v>
      </c>
      <c r="Y202" s="12"/>
      <c r="Z202" s="13">
        <v>0.9416666666666667</v>
      </c>
      <c r="AA202" s="20">
        <v>172.0</v>
      </c>
      <c r="AB202" s="21">
        <v>0.02361111111111111</v>
      </c>
      <c r="AC202" s="21">
        <v>0.022916666666666665</v>
      </c>
      <c r="AD202" s="18"/>
      <c r="AE202" s="18"/>
      <c r="AF202" s="47"/>
      <c r="AG202" s="11"/>
      <c r="AH202" s="12"/>
      <c r="AI202" s="38"/>
      <c r="AJ202" s="68"/>
      <c r="AK202" s="68"/>
      <c r="AL202" s="69"/>
      <c r="AM202" s="11"/>
      <c r="AN202" s="12"/>
      <c r="AO202" s="38"/>
      <c r="AP202" s="11"/>
      <c r="AQ202" s="12"/>
      <c r="AR202" s="38"/>
      <c r="AS202" s="11"/>
      <c r="AT202" s="12"/>
      <c r="AU202" s="38"/>
      <c r="AV202" s="11"/>
      <c r="AW202" s="12"/>
      <c r="AX202" s="38"/>
      <c r="AY202" s="34" t="str">
        <f t="array" ref="AY202">XLOOKUP(B202,faclon_results_2022!$D:$D,faclon_results_2022!$A:$A,"DNF")</f>
        <v>DNF</v>
      </c>
      <c r="AZ202" s="12" t="str">
        <f t="shared" si="1"/>
        <v>#N/A</v>
      </c>
      <c r="BA202" s="18" t="str">
        <f t="array" ref="BA202">XLOOKUP(B202,faclon_results_2022!$D:$D,faclon_results_2022!$J:$J)</f>
        <v>#N/A</v>
      </c>
    </row>
    <row r="203" ht="15.75" customHeight="1">
      <c r="A203" s="7"/>
      <c r="B203" s="47">
        <v>739.0</v>
      </c>
      <c r="C203" s="11">
        <v>146.0</v>
      </c>
      <c r="D203" s="12">
        <v>0.27152777777777776</v>
      </c>
      <c r="E203" s="13">
        <v>0.2722222222222222</v>
      </c>
      <c r="F203" s="64"/>
      <c r="G203" s="65"/>
      <c r="H203" s="66"/>
      <c r="I203" s="11">
        <v>131.0</v>
      </c>
      <c r="J203" s="12">
        <v>0.40555555555555556</v>
      </c>
      <c r="K203" s="13">
        <v>0.4097222222222222</v>
      </c>
      <c r="L203" s="67">
        <v>121.0</v>
      </c>
      <c r="M203" s="12">
        <v>0.5013888888888889</v>
      </c>
      <c r="N203" s="13">
        <v>0.5055555555555555</v>
      </c>
      <c r="O203" s="38">
        <v>118.0</v>
      </c>
      <c r="P203" s="12">
        <v>0.5784722222222223</v>
      </c>
      <c r="Q203" s="13">
        <v>0.5833333333333334</v>
      </c>
      <c r="R203" s="11">
        <v>124.0</v>
      </c>
      <c r="S203" s="12">
        <v>0.65625</v>
      </c>
      <c r="T203" s="13">
        <v>0.6597222222222222</v>
      </c>
      <c r="U203" s="11">
        <v>125.0</v>
      </c>
      <c r="V203" s="12">
        <v>0.7111111111111111</v>
      </c>
      <c r="W203" s="13">
        <v>0.7180555555555556</v>
      </c>
      <c r="X203" s="11">
        <v>113.0</v>
      </c>
      <c r="Y203" s="12"/>
      <c r="Z203" s="13">
        <v>0.8319444444444445</v>
      </c>
      <c r="AA203" s="20">
        <v>113.0</v>
      </c>
      <c r="AB203" s="21">
        <v>0.9027777777777778</v>
      </c>
      <c r="AC203" s="22">
        <v>0.9083333333333333</v>
      </c>
      <c r="AD203" s="18">
        <v>108.0</v>
      </c>
      <c r="AE203" s="12">
        <v>0.01597222222222222</v>
      </c>
      <c r="AF203" s="23">
        <v>0.024305555555555556</v>
      </c>
      <c r="AG203" s="11">
        <v>105.0</v>
      </c>
      <c r="AH203" s="12">
        <v>0.09930555555555555</v>
      </c>
      <c r="AI203" s="13">
        <v>0.10416666666666667</v>
      </c>
      <c r="AJ203" s="14">
        <v>97.0</v>
      </c>
      <c r="AK203" s="15">
        <v>0.20277777777777778</v>
      </c>
      <c r="AL203" s="16">
        <v>0.20555555555555555</v>
      </c>
      <c r="AM203" s="11">
        <v>84.0</v>
      </c>
      <c r="AN203" s="12">
        <v>0.2673611111111111</v>
      </c>
      <c r="AO203" s="13">
        <v>0.27291666666666664</v>
      </c>
      <c r="AP203" s="11">
        <v>82.0</v>
      </c>
      <c r="AQ203" s="12">
        <v>0.34791666666666665</v>
      </c>
      <c r="AR203" s="13">
        <v>0.35347222222222224</v>
      </c>
      <c r="AS203" s="11">
        <v>84.0</v>
      </c>
      <c r="AT203" s="12">
        <v>0.4618055555555556</v>
      </c>
      <c r="AU203" s="13">
        <v>0.46458333333333335</v>
      </c>
      <c r="AV203" s="11">
        <v>86.0</v>
      </c>
      <c r="AW203" s="12">
        <v>0.04861111111111111</v>
      </c>
      <c r="AX203" s="13">
        <v>0.05</v>
      </c>
      <c r="AY203" s="34">
        <f t="array" ref="AY203">XLOOKUP(B203,faclon_results_2022!$D:$D,faclon_results_2022!$A:$A,"DNF")</f>
        <v>85</v>
      </c>
      <c r="AZ203" s="12">
        <f t="shared" si="1"/>
        <v>0.6159722222</v>
      </c>
      <c r="BA203" s="18">
        <f t="array" ref="BA203">XLOOKUP(B203,faclon_results_2022!$D:$D,faclon_results_2022!$J:$J)</f>
        <v>33.79415</v>
      </c>
    </row>
    <row r="204" ht="15.75" customHeight="1">
      <c r="A204" s="7"/>
      <c r="B204" s="47" t="s">
        <v>180</v>
      </c>
      <c r="C204" s="11">
        <v>166.0</v>
      </c>
      <c r="D204" s="12">
        <v>0.2743055555555556</v>
      </c>
      <c r="E204" s="13">
        <v>0.275</v>
      </c>
      <c r="F204" s="64">
        <v>159.0</v>
      </c>
      <c r="G204" s="65">
        <v>0.3388888888888889</v>
      </c>
      <c r="H204" s="66">
        <v>0.3388888888888889</v>
      </c>
      <c r="I204" s="11">
        <v>146.0</v>
      </c>
      <c r="J204" s="12">
        <v>0.4125</v>
      </c>
      <c r="K204" s="13">
        <v>0.42083333333333334</v>
      </c>
      <c r="M204" s="12"/>
      <c r="N204" s="13"/>
      <c r="O204" s="38"/>
      <c r="Q204" s="72"/>
      <c r="R204" s="11"/>
      <c r="S204" s="18"/>
      <c r="T204" s="38"/>
      <c r="U204" s="11"/>
      <c r="V204" s="18"/>
      <c r="W204" s="38"/>
      <c r="X204" s="11"/>
      <c r="Y204" s="18"/>
      <c r="Z204" s="38"/>
      <c r="AA204" s="20"/>
      <c r="AB204" s="20"/>
      <c r="AC204" s="56"/>
      <c r="AD204" s="18"/>
      <c r="AE204" s="18"/>
      <c r="AF204" s="47"/>
      <c r="AG204" s="11"/>
      <c r="AH204" s="18"/>
      <c r="AI204" s="38"/>
      <c r="AJ204" s="14"/>
      <c r="AK204" s="14"/>
      <c r="AL204" s="53"/>
      <c r="AM204" s="11"/>
      <c r="AN204" s="18"/>
      <c r="AO204" s="38"/>
      <c r="AP204" s="11"/>
      <c r="AQ204" s="18"/>
      <c r="AR204" s="38"/>
      <c r="AS204" s="11"/>
      <c r="AT204" s="18"/>
      <c r="AU204" s="38"/>
      <c r="AV204" s="11"/>
      <c r="AW204" s="18"/>
      <c r="AX204" s="38"/>
      <c r="AY204" s="34" t="str">
        <f t="array" ref="AY204">XLOOKUP(B204,faclon_results_2022!$D:$D,faclon_results_2022!$A:$A,"DNF")</f>
        <v>DNF</v>
      </c>
      <c r="AZ204" s="12" t="str">
        <f t="shared" si="1"/>
        <v>#N/A</v>
      </c>
      <c r="BA204" s="18" t="str">
        <f t="array" ref="BA204">XLOOKUP(B204,faclon_results_2022!$D:$D,faclon_results_2022!$J:$J)</f>
        <v>#N/A</v>
      </c>
    </row>
    <row r="205" ht="15.75" customHeight="1">
      <c r="A205" s="7"/>
      <c r="B205" s="47" t="s">
        <v>181</v>
      </c>
      <c r="C205" s="11">
        <v>14.0</v>
      </c>
      <c r="D205" s="12">
        <v>0.2548611111111111</v>
      </c>
      <c r="E205" s="13">
        <v>0.25555555555555554</v>
      </c>
      <c r="F205" s="64">
        <v>14.0</v>
      </c>
      <c r="G205" s="65">
        <v>0.3013888888888889</v>
      </c>
      <c r="H205" s="66">
        <v>0.3013888888888889</v>
      </c>
      <c r="I205" s="11"/>
      <c r="J205" s="18"/>
      <c r="K205" s="38"/>
      <c r="N205" s="72"/>
      <c r="O205" s="38"/>
      <c r="Q205" s="72"/>
      <c r="R205" s="11"/>
      <c r="S205" s="18"/>
      <c r="T205" s="38"/>
      <c r="U205" s="11"/>
      <c r="V205" s="18"/>
      <c r="W205" s="38"/>
      <c r="X205" s="11"/>
      <c r="Y205" s="12"/>
      <c r="Z205" s="13"/>
      <c r="AA205" s="68"/>
      <c r="AB205" s="20"/>
      <c r="AC205" s="69"/>
      <c r="AD205" s="18"/>
      <c r="AE205" s="18"/>
      <c r="AF205" s="47"/>
      <c r="AG205" s="11"/>
      <c r="AH205" s="12"/>
      <c r="AI205" s="13"/>
      <c r="AJ205" s="68"/>
      <c r="AK205" s="68"/>
      <c r="AL205" s="69"/>
      <c r="AM205" s="11"/>
      <c r="AN205" s="12"/>
      <c r="AO205" s="13"/>
      <c r="AP205" s="11"/>
      <c r="AQ205" s="12"/>
      <c r="AR205" s="13"/>
      <c r="AS205" s="11"/>
      <c r="AT205" s="12"/>
      <c r="AU205" s="13"/>
      <c r="AV205" s="11"/>
      <c r="AW205" s="12"/>
      <c r="AX205" s="13"/>
      <c r="AY205" s="34" t="str">
        <f t="array" ref="AY205">XLOOKUP(B205,faclon_results_2022!$D:$D,faclon_results_2022!$A:$A,"DNF")</f>
        <v>DNF</v>
      </c>
      <c r="AZ205" s="12" t="str">
        <f t="shared" si="1"/>
        <v>#N/A</v>
      </c>
      <c r="BA205" s="18" t="str">
        <f t="array" ref="BA205">XLOOKUP(B205,faclon_results_2022!$D:$D,faclon_results_2022!$J:$J)</f>
        <v>#N/A</v>
      </c>
    </row>
    <row r="206" ht="15.75" customHeight="1">
      <c r="A206" s="7"/>
      <c r="B206" s="47"/>
      <c r="C206" s="11"/>
      <c r="D206" s="12"/>
      <c r="E206" s="13"/>
      <c r="F206" s="64"/>
      <c r="G206" s="65"/>
      <c r="H206" s="66"/>
      <c r="I206" s="18"/>
      <c r="J206" s="12"/>
      <c r="K206" s="12"/>
      <c r="M206" s="12"/>
      <c r="N206" s="13"/>
      <c r="O206" s="38"/>
      <c r="P206" s="12"/>
      <c r="Q206" s="13"/>
      <c r="R206" s="11"/>
      <c r="S206" s="12"/>
      <c r="T206" s="13"/>
      <c r="U206" s="11"/>
      <c r="V206" s="12"/>
      <c r="W206" s="13"/>
      <c r="X206" s="11"/>
      <c r="Y206" s="12"/>
      <c r="Z206" s="13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1"/>
      <c r="AN206" s="12"/>
      <c r="AO206" s="13"/>
      <c r="AP206" s="11"/>
      <c r="AQ206" s="12"/>
      <c r="AR206" s="13"/>
      <c r="AS206" s="11"/>
      <c r="AT206" s="12"/>
      <c r="AU206" s="13"/>
      <c r="AV206" s="11"/>
      <c r="AW206" s="12"/>
      <c r="AX206" s="13"/>
      <c r="AY206" s="34"/>
      <c r="AZ206" s="12"/>
      <c r="BA206" s="18"/>
    </row>
    <row r="207" ht="15.75" customHeight="1">
      <c r="A207" s="7"/>
      <c r="B207" s="47"/>
      <c r="C207" s="11"/>
      <c r="D207" s="12"/>
      <c r="E207" s="13"/>
      <c r="F207" s="64"/>
      <c r="G207" s="65"/>
      <c r="H207" s="66"/>
      <c r="I207" s="11"/>
      <c r="J207" s="12"/>
      <c r="K207" s="13"/>
      <c r="M207" s="12"/>
      <c r="N207" s="13"/>
      <c r="O207" s="38"/>
      <c r="P207" s="12"/>
      <c r="Q207" s="13"/>
      <c r="R207" s="11"/>
      <c r="S207" s="18"/>
      <c r="T207" s="38"/>
      <c r="U207" s="11"/>
      <c r="V207" s="18"/>
      <c r="W207" s="38"/>
      <c r="X207" s="11"/>
      <c r="Y207" s="12"/>
      <c r="Z207" s="13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1"/>
      <c r="AN207" s="12"/>
      <c r="AO207" s="13"/>
      <c r="AP207" s="11"/>
      <c r="AQ207" s="12"/>
      <c r="AR207" s="13"/>
      <c r="AS207" s="11"/>
      <c r="AT207" s="12"/>
      <c r="AU207" s="13"/>
      <c r="AV207" s="11"/>
      <c r="AW207" s="12"/>
      <c r="AX207" s="13"/>
      <c r="AY207" s="11"/>
      <c r="AZ207" s="18"/>
      <c r="BA207" s="18"/>
    </row>
    <row r="208" ht="15.75" customHeight="1">
      <c r="A208" s="7"/>
      <c r="C208" s="11"/>
      <c r="D208" s="12"/>
      <c r="E208" s="13"/>
      <c r="F208" s="64"/>
      <c r="G208" s="68"/>
      <c r="H208" s="69"/>
      <c r="I208" s="73"/>
      <c r="K208" s="72"/>
      <c r="N208" s="72"/>
      <c r="O208" s="38"/>
      <c r="P208" s="12"/>
      <c r="Q208" s="12"/>
      <c r="R208" s="11"/>
      <c r="S208" s="18"/>
      <c r="T208" s="13"/>
      <c r="U208" s="11"/>
      <c r="V208" s="12"/>
      <c r="W208" s="13"/>
      <c r="X208" s="11"/>
      <c r="Y208" s="12"/>
      <c r="Z208" s="13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1"/>
      <c r="AN208" s="12"/>
      <c r="AO208" s="13"/>
      <c r="AP208" s="11"/>
      <c r="AQ208" s="12"/>
      <c r="AR208" s="13"/>
      <c r="AS208" s="11"/>
      <c r="AT208" s="12"/>
      <c r="AU208" s="13"/>
      <c r="AV208" s="11"/>
      <c r="AW208" s="12"/>
      <c r="AX208" s="13"/>
      <c r="AY208" s="11"/>
      <c r="AZ208" s="12"/>
      <c r="BA208" s="12"/>
    </row>
    <row r="209" ht="15.75" customHeight="1">
      <c r="A209" s="7"/>
      <c r="B209" s="74"/>
      <c r="C209" s="11"/>
      <c r="D209" s="18"/>
      <c r="E209" s="38"/>
      <c r="F209" s="64"/>
      <c r="G209" s="68"/>
      <c r="H209" s="69"/>
      <c r="I209" s="11"/>
      <c r="J209" s="18"/>
      <c r="K209" s="38"/>
      <c r="L209" s="11"/>
      <c r="M209" s="18"/>
      <c r="N209" s="38"/>
      <c r="O209" s="11"/>
      <c r="P209" s="18"/>
      <c r="Q209" s="38"/>
      <c r="R209" s="11"/>
      <c r="S209" s="18"/>
      <c r="T209" s="38"/>
      <c r="U209" s="11"/>
      <c r="V209" s="18"/>
      <c r="W209" s="38"/>
      <c r="X209" s="11"/>
      <c r="Y209" s="18"/>
      <c r="Z209" s="3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1"/>
      <c r="AN209" s="18"/>
      <c r="AO209" s="38"/>
      <c r="AP209" s="11"/>
      <c r="AQ209" s="18"/>
      <c r="AR209" s="38"/>
      <c r="AS209" s="11"/>
      <c r="AT209" s="18"/>
      <c r="AU209" s="38"/>
      <c r="AV209" s="11"/>
      <c r="AW209" s="18"/>
      <c r="AX209" s="38"/>
      <c r="AY209" s="11"/>
      <c r="AZ209" s="18"/>
      <c r="BA209" s="18"/>
    </row>
    <row r="210" ht="15.75" customHeight="1">
      <c r="A210" s="7"/>
      <c r="B210" s="74"/>
      <c r="C210" s="11"/>
      <c r="D210" s="18"/>
      <c r="E210" s="38"/>
      <c r="F210" s="68"/>
      <c r="G210" s="20"/>
      <c r="H210" s="21"/>
      <c r="I210" s="11"/>
      <c r="J210" s="18"/>
      <c r="K210" s="38"/>
      <c r="L210" s="11"/>
      <c r="M210" s="18"/>
      <c r="N210" s="38"/>
      <c r="O210" s="11"/>
      <c r="P210" s="18"/>
      <c r="Q210" s="38"/>
      <c r="R210" s="11"/>
      <c r="S210" s="18"/>
      <c r="T210" s="38"/>
      <c r="U210" s="11"/>
      <c r="V210" s="18"/>
      <c r="W210" s="38"/>
      <c r="X210" s="11"/>
      <c r="Y210" s="18"/>
      <c r="Z210" s="3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1"/>
      <c r="AN210" s="18"/>
      <c r="AO210" s="38"/>
      <c r="AP210" s="11"/>
      <c r="AQ210" s="18"/>
      <c r="AR210" s="38"/>
      <c r="AS210" s="11"/>
      <c r="AT210" s="18"/>
      <c r="AU210" s="38"/>
      <c r="AV210" s="11"/>
      <c r="AW210" s="18"/>
      <c r="AX210" s="38"/>
      <c r="AY210" s="11"/>
      <c r="AZ210" s="18"/>
      <c r="BA210" s="18"/>
    </row>
    <row r="211" ht="15.75" customHeight="1">
      <c r="A211" s="7"/>
      <c r="B211" s="74"/>
      <c r="C211" s="18"/>
      <c r="D211" s="18"/>
      <c r="E211" s="18"/>
      <c r="F211" s="68"/>
      <c r="G211" s="68"/>
      <c r="H211" s="6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</row>
    <row r="212" ht="15.75" customHeight="1">
      <c r="A212" s="7"/>
      <c r="B212" s="74"/>
      <c r="C212" s="18"/>
      <c r="D212" s="18"/>
      <c r="E212" s="18"/>
      <c r="F212" s="68"/>
      <c r="G212" s="68"/>
      <c r="H212" s="6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</row>
    <row r="213" ht="15.75" customHeight="1">
      <c r="A213" s="7"/>
      <c r="B213" s="74"/>
      <c r="C213" s="18"/>
      <c r="D213" s="18"/>
      <c r="E213" s="18"/>
      <c r="F213" s="53"/>
      <c r="G213" s="68"/>
      <c r="H213" s="6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</row>
    <row r="214" ht="15.75" customHeight="1">
      <c r="A214" s="7"/>
      <c r="B214" s="74"/>
      <c r="C214" s="18"/>
      <c r="D214" s="18"/>
      <c r="E214" s="18"/>
      <c r="F214" s="68"/>
      <c r="G214" s="68"/>
      <c r="H214" s="6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</row>
    <row r="215" ht="15.75" customHeight="1">
      <c r="A215" s="7"/>
      <c r="B215" s="74"/>
      <c r="C215" s="18"/>
      <c r="D215" s="18"/>
      <c r="E215" s="18"/>
      <c r="F215" s="68"/>
      <c r="G215" s="68"/>
      <c r="H215" s="6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</row>
    <row r="216" ht="15.75" customHeight="1">
      <c r="A216" s="7"/>
      <c r="B216" s="74"/>
      <c r="C216" s="18"/>
      <c r="D216" s="18"/>
      <c r="E216" s="18"/>
      <c r="F216" s="68"/>
      <c r="G216" s="68"/>
      <c r="H216" s="6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</row>
    <row r="217" ht="15.75" customHeight="1">
      <c r="A217" s="7"/>
      <c r="B217" s="74"/>
      <c r="C217" s="18"/>
      <c r="D217" s="18"/>
      <c r="E217" s="18"/>
      <c r="F217" s="68"/>
      <c r="G217" s="68"/>
      <c r="H217" s="6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</row>
    <row r="218" ht="15.75" customHeight="1">
      <c r="A218" s="7"/>
      <c r="B218" s="74"/>
      <c r="C218" s="18"/>
      <c r="D218" s="18"/>
      <c r="E218" s="18"/>
      <c r="F218" s="68"/>
      <c r="G218" s="68"/>
      <c r="H218" s="6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</row>
    <row r="219" ht="15.75" customHeight="1">
      <c r="A219" s="7"/>
      <c r="B219" s="74"/>
      <c r="C219" s="18"/>
      <c r="D219" s="18"/>
      <c r="E219" s="18"/>
      <c r="F219" s="68"/>
      <c r="G219" s="68"/>
      <c r="H219" s="6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</row>
    <row r="220" ht="15.75" customHeight="1">
      <c r="A220" s="7"/>
      <c r="B220" s="74"/>
      <c r="C220" s="18"/>
      <c r="D220" s="18"/>
      <c r="E220" s="18"/>
      <c r="F220" s="68"/>
      <c r="G220" s="68"/>
      <c r="H220" s="6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</row>
    <row r="221" ht="15.75" customHeight="1">
      <c r="A221" s="7"/>
      <c r="B221" s="74"/>
      <c r="C221" s="18"/>
      <c r="D221" s="18"/>
      <c r="E221" s="18"/>
      <c r="F221" s="68"/>
      <c r="G221" s="68"/>
      <c r="H221" s="6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</row>
    <row r="222" ht="15.75" customHeight="1">
      <c r="A222" s="7"/>
      <c r="B222" s="74"/>
      <c r="C222" s="18"/>
      <c r="D222" s="18"/>
      <c r="E222" s="18"/>
      <c r="F222" s="68"/>
      <c r="G222" s="68"/>
      <c r="H222" s="6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</row>
    <row r="223" ht="15.75" customHeight="1">
      <c r="A223" s="7"/>
      <c r="B223" s="74"/>
      <c r="C223" s="18"/>
      <c r="D223" s="18"/>
      <c r="E223" s="18"/>
      <c r="F223" s="68"/>
      <c r="G223" s="68"/>
      <c r="H223" s="6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</row>
    <row r="224" ht="15.75" customHeight="1">
      <c r="A224" s="7"/>
      <c r="B224" s="74"/>
      <c r="C224" s="18"/>
      <c r="D224" s="18"/>
      <c r="E224" s="18"/>
      <c r="F224" s="68"/>
      <c r="G224" s="68"/>
      <c r="H224" s="6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</row>
    <row r="225" ht="15.75" customHeight="1">
      <c r="A225" s="7"/>
      <c r="B225" s="74"/>
      <c r="C225" s="18"/>
      <c r="D225" s="18"/>
      <c r="E225" s="18"/>
      <c r="F225" s="68"/>
      <c r="G225" s="68"/>
      <c r="H225" s="6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</row>
    <row r="226" ht="15.75" customHeight="1">
      <c r="A226" s="7"/>
      <c r="B226" s="74"/>
      <c r="C226" s="18"/>
      <c r="D226" s="18"/>
      <c r="E226" s="18"/>
      <c r="F226" s="68"/>
      <c r="G226" s="68"/>
      <c r="H226" s="6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</row>
    <row r="227" ht="15.75" customHeight="1">
      <c r="A227" s="7"/>
      <c r="B227" s="74"/>
      <c r="C227" s="18"/>
      <c r="D227" s="18"/>
      <c r="E227" s="18"/>
      <c r="F227" s="68"/>
      <c r="G227" s="68"/>
      <c r="H227" s="6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</row>
    <row r="228" ht="15.75" customHeight="1">
      <c r="A228" s="7"/>
      <c r="B228" s="74"/>
      <c r="C228" s="18"/>
      <c r="D228" s="18"/>
      <c r="E228" s="18"/>
      <c r="F228" s="68"/>
      <c r="G228" s="68"/>
      <c r="H228" s="6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</row>
    <row r="229" ht="15.75" customHeight="1">
      <c r="A229" s="7"/>
      <c r="B229" s="74"/>
      <c r="C229" s="18"/>
      <c r="D229" s="18"/>
      <c r="E229" s="18"/>
      <c r="F229" s="68"/>
      <c r="G229" s="68"/>
      <c r="H229" s="6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</row>
    <row r="230" ht="15.75" customHeight="1">
      <c r="A230" s="7"/>
      <c r="B230" s="74"/>
      <c r="C230" s="18"/>
      <c r="D230" s="18"/>
      <c r="E230" s="18"/>
      <c r="F230" s="68"/>
      <c r="G230" s="68"/>
      <c r="H230" s="6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</row>
    <row r="231" ht="15.75" customHeight="1">
      <c r="A231" s="7"/>
      <c r="B231" s="74"/>
      <c r="C231" s="18"/>
      <c r="D231" s="18"/>
      <c r="E231" s="18"/>
      <c r="F231" s="68"/>
      <c r="G231" s="68"/>
      <c r="H231" s="6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</row>
    <row r="232" ht="15.75" customHeight="1">
      <c r="A232" s="7"/>
      <c r="B232" s="74"/>
      <c r="C232" s="18"/>
      <c r="D232" s="18"/>
      <c r="E232" s="18"/>
      <c r="F232" s="68"/>
      <c r="G232" s="68"/>
      <c r="H232" s="6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</row>
    <row r="233" ht="15.75" customHeight="1">
      <c r="A233" s="7"/>
      <c r="B233" s="74"/>
      <c r="C233" s="18"/>
      <c r="D233" s="18"/>
      <c r="E233" s="18"/>
      <c r="F233" s="68"/>
      <c r="G233" s="68"/>
      <c r="H233" s="6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</row>
    <row r="234" ht="15.75" customHeight="1">
      <c r="A234" s="7"/>
      <c r="B234" s="74"/>
      <c r="C234" s="18"/>
      <c r="D234" s="18"/>
      <c r="E234" s="18"/>
      <c r="F234" s="68"/>
      <c r="G234" s="68"/>
      <c r="H234" s="6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</row>
    <row r="235" ht="15.75" customHeight="1">
      <c r="A235" s="7"/>
      <c r="B235" s="74"/>
      <c r="C235" s="18"/>
      <c r="D235" s="18"/>
      <c r="E235" s="18"/>
      <c r="F235" s="68"/>
      <c r="G235" s="68"/>
      <c r="H235" s="6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</row>
    <row r="236" ht="15.75" customHeight="1">
      <c r="A236" s="7"/>
      <c r="B236" s="74"/>
      <c r="C236" s="18"/>
      <c r="D236" s="18"/>
      <c r="E236" s="18"/>
      <c r="F236" s="68"/>
      <c r="G236" s="68"/>
      <c r="H236" s="6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</row>
    <row r="237" ht="15.75" customHeight="1">
      <c r="A237" s="7"/>
      <c r="B237" s="74"/>
      <c r="C237" s="18"/>
      <c r="D237" s="18"/>
      <c r="E237" s="18"/>
      <c r="F237" s="68"/>
      <c r="G237" s="68"/>
      <c r="H237" s="6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</row>
    <row r="238" ht="15.75" customHeight="1">
      <c r="A238" s="7"/>
      <c r="B238" s="74"/>
      <c r="C238" s="18"/>
      <c r="D238" s="18"/>
      <c r="E238" s="18"/>
      <c r="F238" s="68"/>
      <c r="G238" s="68"/>
      <c r="H238" s="6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</row>
    <row r="239" ht="15.75" customHeight="1">
      <c r="A239" s="7"/>
      <c r="B239" s="74"/>
      <c r="C239" s="18"/>
      <c r="D239" s="18"/>
      <c r="E239" s="18"/>
      <c r="F239" s="68"/>
      <c r="G239" s="68"/>
      <c r="H239" s="6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</row>
    <row r="240" ht="15.75" customHeight="1">
      <c r="A240" s="7"/>
      <c r="B240" s="74"/>
      <c r="C240" s="18"/>
      <c r="D240" s="18"/>
      <c r="E240" s="18"/>
      <c r="F240" s="68"/>
      <c r="G240" s="68"/>
      <c r="H240" s="6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</row>
    <row r="241" ht="15.75" customHeight="1">
      <c r="A241" s="7"/>
      <c r="B241" s="74"/>
      <c r="C241" s="18"/>
      <c r="D241" s="18"/>
      <c r="E241" s="18"/>
      <c r="F241" s="68"/>
      <c r="G241" s="68"/>
      <c r="H241" s="6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</row>
    <row r="242" ht="15.75" customHeight="1">
      <c r="A242" s="7"/>
      <c r="B242" s="74"/>
      <c r="C242" s="18"/>
      <c r="D242" s="18"/>
      <c r="E242" s="18"/>
      <c r="F242" s="68"/>
      <c r="G242" s="68"/>
      <c r="H242" s="6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</row>
    <row r="243" ht="15.75" customHeight="1">
      <c r="A243" s="7"/>
      <c r="B243" s="74"/>
      <c r="C243" s="18"/>
      <c r="D243" s="18"/>
      <c r="E243" s="18"/>
      <c r="F243" s="68"/>
      <c r="G243" s="68"/>
      <c r="H243" s="6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</row>
    <row r="244" ht="15.75" customHeight="1">
      <c r="A244" s="7"/>
      <c r="B244" s="74"/>
      <c r="C244" s="18"/>
      <c r="D244" s="18"/>
      <c r="E244" s="18"/>
      <c r="F244" s="68"/>
      <c r="G244" s="68"/>
      <c r="H244" s="6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</row>
    <row r="245" ht="15.75" customHeight="1">
      <c r="A245" s="7"/>
      <c r="B245" s="74"/>
      <c r="C245" s="18"/>
      <c r="D245" s="18"/>
      <c r="E245" s="18"/>
      <c r="F245" s="68"/>
      <c r="G245" s="68"/>
      <c r="H245" s="6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</row>
    <row r="246" ht="15.75" customHeight="1">
      <c r="A246" s="7"/>
      <c r="B246" s="74"/>
      <c r="C246" s="18"/>
      <c r="D246" s="18"/>
      <c r="E246" s="18"/>
      <c r="F246" s="68"/>
      <c r="G246" s="68"/>
      <c r="H246" s="6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</row>
    <row r="247" ht="15.75" customHeight="1">
      <c r="A247" s="7"/>
      <c r="B247" s="74"/>
      <c r="C247" s="18"/>
      <c r="D247" s="18"/>
      <c r="E247" s="18"/>
      <c r="F247" s="68"/>
      <c r="G247" s="68"/>
      <c r="H247" s="6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</row>
    <row r="248" ht="15.75" customHeight="1">
      <c r="A248" s="7"/>
      <c r="B248" s="74"/>
      <c r="C248" s="18"/>
      <c r="D248" s="18"/>
      <c r="E248" s="18"/>
      <c r="F248" s="68"/>
      <c r="G248" s="68"/>
      <c r="H248" s="6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</row>
    <row r="249" ht="15.75" customHeight="1">
      <c r="A249" s="7"/>
      <c r="B249" s="74"/>
      <c r="C249" s="18"/>
      <c r="D249" s="18"/>
      <c r="E249" s="18"/>
      <c r="F249" s="68"/>
      <c r="G249" s="68"/>
      <c r="H249" s="6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</row>
    <row r="250" ht="15.75" customHeight="1">
      <c r="A250" s="7"/>
      <c r="B250" s="74"/>
      <c r="C250" s="18"/>
      <c r="D250" s="18"/>
      <c r="E250" s="18"/>
      <c r="F250" s="68"/>
      <c r="G250" s="68"/>
      <c r="H250" s="6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</row>
    <row r="251" ht="15.75" customHeight="1">
      <c r="A251" s="7"/>
      <c r="B251" s="74"/>
      <c r="C251" s="18"/>
      <c r="D251" s="18"/>
      <c r="E251" s="18"/>
      <c r="F251" s="68"/>
      <c r="G251" s="68"/>
      <c r="H251" s="6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</row>
    <row r="252" ht="15.75" customHeight="1">
      <c r="A252" s="7"/>
      <c r="B252" s="74"/>
      <c r="C252" s="18"/>
      <c r="D252" s="18"/>
      <c r="E252" s="18"/>
      <c r="F252" s="68"/>
      <c r="G252" s="68"/>
      <c r="H252" s="6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</row>
    <row r="253" ht="15.75" customHeight="1">
      <c r="A253" s="7"/>
      <c r="B253" s="74"/>
      <c r="C253" s="18"/>
      <c r="D253" s="18"/>
      <c r="E253" s="18"/>
      <c r="F253" s="68"/>
      <c r="G253" s="68"/>
      <c r="H253" s="6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</row>
    <row r="254" ht="15.75" customHeight="1">
      <c r="A254" s="7"/>
      <c r="B254" s="74"/>
      <c r="C254" s="18"/>
      <c r="D254" s="18"/>
      <c r="E254" s="18"/>
      <c r="F254" s="68"/>
      <c r="G254" s="68"/>
      <c r="H254" s="6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</row>
    <row r="255" ht="15.75" customHeight="1">
      <c r="A255" s="7"/>
      <c r="B255" s="74"/>
      <c r="C255" s="18"/>
      <c r="D255" s="18"/>
      <c r="E255" s="18"/>
      <c r="F255" s="68"/>
      <c r="G255" s="68"/>
      <c r="H255" s="6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</row>
    <row r="256" ht="15.75" customHeight="1">
      <c r="A256" s="7"/>
      <c r="B256" s="74"/>
      <c r="C256" s="18"/>
      <c r="D256" s="18"/>
      <c r="E256" s="18"/>
      <c r="F256" s="68"/>
      <c r="G256" s="68"/>
      <c r="H256" s="6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</row>
    <row r="257" ht="15.75" customHeight="1">
      <c r="A257" s="7"/>
      <c r="B257" s="74"/>
      <c r="C257" s="18"/>
      <c r="D257" s="18"/>
      <c r="E257" s="18"/>
      <c r="F257" s="68"/>
      <c r="G257" s="68"/>
      <c r="H257" s="6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</row>
    <row r="258" ht="15.75" customHeight="1">
      <c r="A258" s="7"/>
      <c r="B258" s="74"/>
      <c r="C258" s="18"/>
      <c r="D258" s="18"/>
      <c r="E258" s="18"/>
      <c r="F258" s="68"/>
      <c r="G258" s="68"/>
      <c r="H258" s="6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</row>
    <row r="259" ht="15.75" customHeight="1">
      <c r="A259" s="7"/>
      <c r="B259" s="74"/>
      <c r="C259" s="18"/>
      <c r="D259" s="18"/>
      <c r="E259" s="18"/>
      <c r="F259" s="68"/>
      <c r="G259" s="68"/>
      <c r="H259" s="6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</row>
    <row r="260" ht="15.75" customHeight="1">
      <c r="A260" s="7"/>
      <c r="B260" s="74"/>
      <c r="C260" s="18"/>
      <c r="D260" s="18"/>
      <c r="E260" s="18"/>
      <c r="F260" s="68"/>
      <c r="G260" s="68"/>
      <c r="H260" s="6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</row>
    <row r="261" ht="15.75" customHeight="1">
      <c r="A261" s="7"/>
      <c r="B261" s="74"/>
      <c r="C261" s="18"/>
      <c r="D261" s="18"/>
      <c r="E261" s="18"/>
      <c r="F261" s="68"/>
      <c r="G261" s="68"/>
      <c r="H261" s="6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</row>
    <row r="262" ht="15.75" customHeight="1">
      <c r="A262" s="7"/>
      <c r="B262" s="74"/>
      <c r="C262" s="18"/>
      <c r="D262" s="18"/>
      <c r="E262" s="18"/>
      <c r="F262" s="68"/>
      <c r="G262" s="68"/>
      <c r="H262" s="6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</row>
    <row r="263" ht="15.75" customHeight="1">
      <c r="A263" s="7"/>
      <c r="B263" s="74"/>
      <c r="C263" s="18"/>
      <c r="D263" s="18"/>
      <c r="E263" s="18"/>
      <c r="F263" s="68"/>
      <c r="G263" s="68"/>
      <c r="H263" s="6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</row>
    <row r="264" ht="15.75" customHeight="1">
      <c r="A264" s="7"/>
      <c r="B264" s="74"/>
      <c r="C264" s="18"/>
      <c r="D264" s="18"/>
      <c r="E264" s="18"/>
      <c r="F264" s="68"/>
      <c r="G264" s="68"/>
      <c r="H264" s="6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</row>
    <row r="265" ht="15.75" customHeight="1">
      <c r="A265" s="7"/>
      <c r="B265" s="74"/>
      <c r="C265" s="18"/>
      <c r="D265" s="18"/>
      <c r="E265" s="18"/>
      <c r="F265" s="68"/>
      <c r="G265" s="68"/>
      <c r="H265" s="6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</row>
    <row r="266" ht="15.75" customHeight="1">
      <c r="A266" s="7"/>
      <c r="B266" s="74"/>
      <c r="C266" s="18"/>
      <c r="D266" s="18"/>
      <c r="E266" s="18"/>
      <c r="F266" s="68"/>
      <c r="G266" s="68"/>
      <c r="H266" s="6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</row>
    <row r="267" ht="15.75" customHeight="1">
      <c r="A267" s="7"/>
      <c r="B267" s="74"/>
      <c r="C267" s="18"/>
      <c r="D267" s="18"/>
      <c r="E267" s="18"/>
      <c r="F267" s="68"/>
      <c r="G267" s="68"/>
      <c r="H267" s="6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</row>
    <row r="268" ht="15.75" customHeight="1">
      <c r="A268" s="7"/>
      <c r="B268" s="74"/>
      <c r="C268" s="18"/>
      <c r="D268" s="18"/>
      <c r="E268" s="18"/>
      <c r="F268" s="68"/>
      <c r="G268" s="68"/>
      <c r="H268" s="6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</row>
    <row r="269" ht="15.75" customHeight="1">
      <c r="A269" s="7"/>
      <c r="B269" s="74"/>
      <c r="C269" s="18"/>
      <c r="D269" s="18"/>
      <c r="E269" s="18"/>
      <c r="F269" s="68"/>
      <c r="G269" s="68"/>
      <c r="H269" s="6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</row>
    <row r="270" ht="15.75" customHeight="1">
      <c r="A270" s="7"/>
      <c r="B270" s="74"/>
      <c r="C270" s="18"/>
      <c r="D270" s="18"/>
      <c r="E270" s="18"/>
      <c r="F270" s="68"/>
      <c r="G270" s="68"/>
      <c r="H270" s="6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</row>
    <row r="271" ht="15.75" customHeight="1">
      <c r="A271" s="7"/>
      <c r="B271" s="74"/>
      <c r="C271" s="18"/>
      <c r="D271" s="18"/>
      <c r="E271" s="18"/>
      <c r="F271" s="68"/>
      <c r="G271" s="68"/>
      <c r="H271" s="6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</row>
    <row r="272" ht="15.75" customHeight="1">
      <c r="A272" s="7"/>
      <c r="B272" s="74"/>
      <c r="C272" s="18"/>
      <c r="D272" s="18"/>
      <c r="E272" s="18"/>
      <c r="F272" s="68"/>
      <c r="G272" s="68"/>
      <c r="H272" s="6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</row>
    <row r="273" ht="15.75" customHeight="1">
      <c r="A273" s="7"/>
      <c r="B273" s="74"/>
      <c r="C273" s="18"/>
      <c r="D273" s="18"/>
      <c r="E273" s="18"/>
      <c r="F273" s="68"/>
      <c r="G273" s="68"/>
      <c r="H273" s="6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</row>
    <row r="274" ht="15.75" customHeight="1">
      <c r="A274" s="7"/>
      <c r="B274" s="74"/>
      <c r="C274" s="18"/>
      <c r="D274" s="18"/>
      <c r="E274" s="18"/>
      <c r="F274" s="68"/>
      <c r="G274" s="68"/>
      <c r="H274" s="6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</row>
    <row r="275" ht="15.75" customHeight="1">
      <c r="A275" s="7"/>
      <c r="B275" s="74"/>
      <c r="C275" s="18"/>
      <c r="D275" s="18"/>
      <c r="E275" s="18"/>
      <c r="F275" s="68"/>
      <c r="G275" s="68"/>
      <c r="H275" s="6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</row>
    <row r="276" ht="15.75" customHeight="1">
      <c r="A276" s="7"/>
      <c r="B276" s="74"/>
      <c r="C276" s="18"/>
      <c r="D276" s="18"/>
      <c r="E276" s="18"/>
      <c r="F276" s="68"/>
      <c r="G276" s="68"/>
      <c r="H276" s="6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</row>
    <row r="277" ht="15.75" customHeight="1">
      <c r="A277" s="7"/>
      <c r="B277" s="74"/>
      <c r="C277" s="18"/>
      <c r="D277" s="18"/>
      <c r="E277" s="18"/>
      <c r="F277" s="68"/>
      <c r="G277" s="68"/>
      <c r="H277" s="6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</row>
    <row r="278" ht="15.75" customHeight="1">
      <c r="A278" s="7"/>
      <c r="B278" s="74"/>
      <c r="C278" s="18"/>
      <c r="D278" s="18"/>
      <c r="E278" s="18"/>
      <c r="F278" s="68"/>
      <c r="G278" s="68"/>
      <c r="H278" s="6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</row>
    <row r="279" ht="15.75" customHeight="1">
      <c r="A279" s="7"/>
      <c r="B279" s="74"/>
      <c r="C279" s="18"/>
      <c r="D279" s="18"/>
      <c r="E279" s="18"/>
      <c r="F279" s="68"/>
      <c r="G279" s="68"/>
      <c r="H279" s="6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</row>
    <row r="280" ht="15.75" customHeight="1">
      <c r="A280" s="7"/>
      <c r="B280" s="74"/>
      <c r="C280" s="18"/>
      <c r="D280" s="18"/>
      <c r="E280" s="18"/>
      <c r="F280" s="68"/>
      <c r="G280" s="68"/>
      <c r="H280" s="6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</row>
    <row r="281" ht="15.75" customHeight="1">
      <c r="A281" s="7"/>
      <c r="B281" s="74"/>
      <c r="C281" s="18"/>
      <c r="D281" s="18"/>
      <c r="E281" s="18"/>
      <c r="F281" s="68"/>
      <c r="G281" s="68"/>
      <c r="H281" s="6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</row>
    <row r="282" ht="15.75" customHeight="1">
      <c r="A282" s="7"/>
      <c r="B282" s="74"/>
      <c r="C282" s="18"/>
      <c r="D282" s="18"/>
      <c r="E282" s="18"/>
      <c r="F282" s="68"/>
      <c r="G282" s="68"/>
      <c r="H282" s="6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</row>
    <row r="283" ht="15.75" customHeight="1">
      <c r="A283" s="7"/>
      <c r="B283" s="74"/>
      <c r="C283" s="18"/>
      <c r="D283" s="18"/>
      <c r="E283" s="18"/>
      <c r="F283" s="68"/>
      <c r="G283" s="68"/>
      <c r="H283" s="6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</row>
    <row r="284" ht="15.75" customHeight="1">
      <c r="A284" s="7"/>
      <c r="B284" s="74"/>
      <c r="C284" s="18"/>
      <c r="D284" s="18"/>
      <c r="E284" s="18"/>
      <c r="F284" s="68"/>
      <c r="G284" s="68"/>
      <c r="H284" s="6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</row>
    <row r="285" ht="15.75" customHeight="1">
      <c r="A285" s="7"/>
      <c r="B285" s="74"/>
      <c r="C285" s="18"/>
      <c r="D285" s="18"/>
      <c r="E285" s="18"/>
      <c r="F285" s="68"/>
      <c r="G285" s="68"/>
      <c r="H285" s="6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</row>
    <row r="286" ht="15.75" customHeight="1">
      <c r="A286" s="7"/>
      <c r="B286" s="74"/>
      <c r="C286" s="18"/>
      <c r="D286" s="18"/>
      <c r="E286" s="18"/>
      <c r="F286" s="68"/>
      <c r="G286" s="68"/>
      <c r="H286" s="6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</row>
    <row r="287" ht="15.75" customHeight="1">
      <c r="A287" s="7"/>
      <c r="B287" s="74"/>
      <c r="C287" s="18"/>
      <c r="D287" s="18"/>
      <c r="E287" s="18"/>
      <c r="F287" s="68"/>
      <c r="G287" s="68"/>
      <c r="H287" s="6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</row>
    <row r="288" ht="15.75" customHeight="1">
      <c r="A288" s="7"/>
      <c r="B288" s="74"/>
      <c r="C288" s="18"/>
      <c r="D288" s="18"/>
      <c r="E288" s="18"/>
      <c r="F288" s="68"/>
      <c r="G288" s="68"/>
      <c r="H288" s="6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</row>
    <row r="289" ht="15.75" customHeight="1">
      <c r="A289" s="7"/>
      <c r="B289" s="74"/>
      <c r="C289" s="18"/>
      <c r="D289" s="18"/>
      <c r="E289" s="18"/>
      <c r="F289" s="68"/>
      <c r="G289" s="68"/>
      <c r="H289" s="6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</row>
    <row r="290" ht="15.75" customHeight="1">
      <c r="A290" s="7"/>
      <c r="B290" s="74"/>
      <c r="C290" s="18"/>
      <c r="D290" s="18"/>
      <c r="E290" s="18"/>
      <c r="F290" s="68"/>
      <c r="G290" s="68"/>
      <c r="H290" s="6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</row>
    <row r="291" ht="15.75" customHeight="1">
      <c r="A291" s="7"/>
      <c r="B291" s="74"/>
      <c r="C291" s="18"/>
      <c r="D291" s="18"/>
      <c r="E291" s="18"/>
      <c r="F291" s="68"/>
      <c r="G291" s="68"/>
      <c r="H291" s="6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</row>
    <row r="292" ht="15.75" customHeight="1">
      <c r="A292" s="7"/>
      <c r="B292" s="74"/>
      <c r="C292" s="18"/>
      <c r="D292" s="18"/>
      <c r="E292" s="18"/>
      <c r="F292" s="68"/>
      <c r="G292" s="68"/>
      <c r="H292" s="6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</row>
    <row r="293" ht="15.75" customHeight="1">
      <c r="A293" s="7"/>
      <c r="B293" s="74"/>
      <c r="C293" s="18"/>
      <c r="D293" s="18"/>
      <c r="E293" s="18"/>
      <c r="F293" s="68"/>
      <c r="G293" s="68"/>
      <c r="H293" s="6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</row>
    <row r="294" ht="15.75" customHeight="1">
      <c r="A294" s="7"/>
      <c r="B294" s="74"/>
      <c r="C294" s="18"/>
      <c r="D294" s="18"/>
      <c r="E294" s="18"/>
      <c r="F294" s="68"/>
      <c r="G294" s="68"/>
      <c r="H294" s="6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</row>
    <row r="295" ht="15.75" customHeight="1">
      <c r="A295" s="7"/>
      <c r="B295" s="74"/>
      <c r="C295" s="18"/>
      <c r="D295" s="18"/>
      <c r="E295" s="18"/>
      <c r="F295" s="68"/>
      <c r="G295" s="68"/>
      <c r="H295" s="6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</row>
    <row r="296" ht="15.75" customHeight="1">
      <c r="A296" s="7"/>
      <c r="B296" s="74"/>
      <c r="C296" s="18"/>
      <c r="D296" s="18"/>
      <c r="E296" s="18"/>
      <c r="F296" s="68"/>
      <c r="G296" s="68"/>
      <c r="H296" s="6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</row>
    <row r="297" ht="15.75" customHeight="1">
      <c r="A297" s="7"/>
      <c r="B297" s="74"/>
      <c r="C297" s="18"/>
      <c r="D297" s="18"/>
      <c r="E297" s="18"/>
      <c r="F297" s="68"/>
      <c r="G297" s="68"/>
      <c r="H297" s="6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</row>
    <row r="298" ht="15.75" customHeight="1">
      <c r="A298" s="7"/>
      <c r="B298" s="74"/>
      <c r="C298" s="18"/>
      <c r="D298" s="18"/>
      <c r="E298" s="18"/>
      <c r="F298" s="68"/>
      <c r="G298" s="68"/>
      <c r="H298" s="6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</row>
    <row r="299" ht="15.75" customHeight="1">
      <c r="A299" s="7"/>
      <c r="B299" s="74"/>
      <c r="C299" s="18"/>
      <c r="D299" s="18"/>
      <c r="E299" s="18"/>
      <c r="F299" s="68"/>
      <c r="G299" s="68"/>
      <c r="H299" s="6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</row>
    <row r="300" ht="15.75" customHeight="1">
      <c r="A300" s="7"/>
      <c r="B300" s="74"/>
      <c r="C300" s="18"/>
      <c r="D300" s="18"/>
      <c r="E300" s="18"/>
      <c r="F300" s="68"/>
      <c r="G300" s="68"/>
      <c r="H300" s="6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</row>
    <row r="301" ht="15.75" customHeight="1">
      <c r="A301" s="7"/>
      <c r="B301" s="74"/>
      <c r="C301" s="18"/>
      <c r="D301" s="18"/>
      <c r="E301" s="18"/>
      <c r="F301" s="68"/>
      <c r="G301" s="68"/>
      <c r="H301" s="6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</row>
    <row r="302" ht="15.75" customHeight="1">
      <c r="A302" s="7"/>
      <c r="B302" s="74"/>
      <c r="C302" s="18"/>
      <c r="D302" s="18"/>
      <c r="E302" s="18"/>
      <c r="F302" s="68"/>
      <c r="G302" s="68"/>
      <c r="H302" s="6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</row>
    <row r="303" ht="15.75" customHeight="1">
      <c r="A303" s="7"/>
      <c r="B303" s="74"/>
      <c r="C303" s="18"/>
      <c r="D303" s="18"/>
      <c r="E303" s="18"/>
      <c r="F303" s="68"/>
      <c r="G303" s="68"/>
      <c r="H303" s="6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</row>
    <row r="304" ht="15.75" customHeight="1">
      <c r="A304" s="7"/>
      <c r="B304" s="74"/>
      <c r="C304" s="18"/>
      <c r="D304" s="18"/>
      <c r="E304" s="18"/>
      <c r="F304" s="68"/>
      <c r="G304" s="68"/>
      <c r="H304" s="6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</row>
    <row r="305" ht="15.75" customHeight="1">
      <c r="A305" s="7"/>
      <c r="B305" s="74"/>
      <c r="C305" s="18"/>
      <c r="D305" s="18"/>
      <c r="E305" s="18"/>
      <c r="F305" s="68"/>
      <c r="G305" s="68"/>
      <c r="H305" s="6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</row>
    <row r="306" ht="15.75" customHeight="1">
      <c r="A306" s="7"/>
      <c r="B306" s="74"/>
      <c r="C306" s="18"/>
      <c r="D306" s="18"/>
      <c r="E306" s="18"/>
      <c r="F306" s="68"/>
      <c r="G306" s="68"/>
      <c r="H306" s="6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</row>
    <row r="307" ht="15.75" customHeight="1">
      <c r="A307" s="7"/>
      <c r="B307" s="74"/>
      <c r="C307" s="18"/>
      <c r="D307" s="18"/>
      <c r="E307" s="18"/>
      <c r="F307" s="68"/>
      <c r="G307" s="68"/>
      <c r="H307" s="6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</row>
    <row r="308" ht="15.75" customHeight="1">
      <c r="A308" s="7"/>
      <c r="B308" s="74"/>
      <c r="C308" s="18"/>
      <c r="D308" s="18"/>
      <c r="E308" s="18"/>
      <c r="F308" s="68"/>
      <c r="G308" s="68"/>
      <c r="H308" s="6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</row>
    <row r="309" ht="15.75" customHeight="1">
      <c r="A309" s="7"/>
      <c r="B309" s="74"/>
      <c r="C309" s="18"/>
      <c r="D309" s="18"/>
      <c r="E309" s="18"/>
      <c r="F309" s="68"/>
      <c r="G309" s="68"/>
      <c r="H309" s="6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</row>
    <row r="310" ht="15.75" customHeight="1">
      <c r="A310" s="7"/>
      <c r="B310" s="74"/>
      <c r="C310" s="18"/>
      <c r="D310" s="18"/>
      <c r="E310" s="18"/>
      <c r="F310" s="68"/>
      <c r="G310" s="68"/>
      <c r="H310" s="6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</row>
    <row r="311" ht="15.75" customHeight="1">
      <c r="A311" s="7"/>
      <c r="B311" s="74"/>
      <c r="C311" s="18"/>
      <c r="D311" s="18"/>
      <c r="E311" s="18"/>
      <c r="F311" s="68"/>
      <c r="G311" s="68"/>
      <c r="H311" s="6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</row>
    <row r="312" ht="15.75" customHeight="1">
      <c r="A312" s="7"/>
      <c r="B312" s="74"/>
      <c r="C312" s="18"/>
      <c r="D312" s="18"/>
      <c r="E312" s="18"/>
      <c r="F312" s="68"/>
      <c r="G312" s="68"/>
      <c r="H312" s="6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</row>
    <row r="313" ht="15.75" customHeight="1">
      <c r="A313" s="7"/>
      <c r="B313" s="74"/>
      <c r="C313" s="18"/>
      <c r="D313" s="18"/>
      <c r="E313" s="18"/>
      <c r="F313" s="68"/>
      <c r="G313" s="68"/>
      <c r="H313" s="6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</row>
    <row r="314" ht="15.75" customHeight="1">
      <c r="A314" s="7"/>
      <c r="B314" s="74"/>
      <c r="C314" s="18"/>
      <c r="D314" s="18"/>
      <c r="E314" s="18"/>
      <c r="F314" s="68"/>
      <c r="G314" s="68"/>
      <c r="H314" s="6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</row>
    <row r="315" ht="15.75" customHeight="1">
      <c r="A315" s="7"/>
      <c r="B315" s="74"/>
      <c r="C315" s="18"/>
      <c r="D315" s="18"/>
      <c r="E315" s="18"/>
      <c r="F315" s="68"/>
      <c r="G315" s="68"/>
      <c r="H315" s="6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</row>
    <row r="316" ht="15.75" customHeight="1">
      <c r="A316" s="7"/>
      <c r="B316" s="74"/>
      <c r="C316" s="18"/>
      <c r="D316" s="18"/>
      <c r="E316" s="18"/>
      <c r="F316" s="68"/>
      <c r="G316" s="68"/>
      <c r="H316" s="6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</row>
    <row r="317" ht="15.75" customHeight="1">
      <c r="A317" s="7"/>
      <c r="B317" s="74"/>
      <c r="C317" s="18"/>
      <c r="D317" s="18"/>
      <c r="E317" s="18"/>
      <c r="F317" s="68"/>
      <c r="G317" s="68"/>
      <c r="H317" s="6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</row>
    <row r="318" ht="15.75" customHeight="1">
      <c r="A318" s="7"/>
      <c r="B318" s="74"/>
      <c r="C318" s="18"/>
      <c r="D318" s="18"/>
      <c r="E318" s="18"/>
      <c r="F318" s="68"/>
      <c r="G318" s="68"/>
      <c r="H318" s="6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</row>
    <row r="319" ht="15.75" customHeight="1">
      <c r="A319" s="7"/>
      <c r="B319" s="74"/>
      <c r="C319" s="18"/>
      <c r="D319" s="18"/>
      <c r="E319" s="18"/>
      <c r="F319" s="68"/>
      <c r="G319" s="68"/>
      <c r="H319" s="6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</row>
    <row r="320" ht="15.75" customHeight="1">
      <c r="A320" s="7"/>
      <c r="B320" s="74"/>
      <c r="C320" s="18"/>
      <c r="D320" s="18"/>
      <c r="E320" s="18"/>
      <c r="F320" s="68"/>
      <c r="G320" s="68"/>
      <c r="H320" s="6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</row>
    <row r="321" ht="15.75" customHeight="1">
      <c r="A321" s="7"/>
      <c r="B321" s="74"/>
      <c r="C321" s="18"/>
      <c r="D321" s="18"/>
      <c r="E321" s="18"/>
      <c r="F321" s="68"/>
      <c r="G321" s="68"/>
      <c r="H321" s="6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</row>
    <row r="322" ht="15.75" customHeight="1">
      <c r="A322" s="7"/>
      <c r="B322" s="74"/>
      <c r="C322" s="18"/>
      <c r="D322" s="18"/>
      <c r="E322" s="18"/>
      <c r="F322" s="68"/>
      <c r="G322" s="68"/>
      <c r="H322" s="6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</row>
    <row r="323" ht="15.75" customHeight="1">
      <c r="A323" s="7"/>
      <c r="B323" s="74"/>
      <c r="C323" s="18"/>
      <c r="D323" s="18"/>
      <c r="E323" s="18"/>
      <c r="F323" s="68"/>
      <c r="G323" s="68"/>
      <c r="H323" s="6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</row>
    <row r="324" ht="15.75" customHeight="1">
      <c r="A324" s="7"/>
      <c r="B324" s="74"/>
      <c r="C324" s="18"/>
      <c r="D324" s="18"/>
      <c r="E324" s="18"/>
      <c r="F324" s="68"/>
      <c r="G324" s="68"/>
      <c r="H324" s="6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</row>
    <row r="325" ht="15.75" customHeight="1">
      <c r="A325" s="7"/>
      <c r="B325" s="74"/>
      <c r="C325" s="18"/>
      <c r="D325" s="18"/>
      <c r="E325" s="18"/>
      <c r="F325" s="68"/>
      <c r="G325" s="68"/>
      <c r="H325" s="6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</row>
    <row r="326" ht="15.75" customHeight="1">
      <c r="A326" s="7"/>
      <c r="B326" s="74"/>
      <c r="C326" s="18"/>
      <c r="D326" s="18"/>
      <c r="E326" s="18"/>
      <c r="F326" s="68"/>
      <c r="G326" s="68"/>
      <c r="H326" s="6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</row>
    <row r="327" ht="15.75" customHeight="1">
      <c r="A327" s="7"/>
      <c r="B327" s="74"/>
      <c r="C327" s="18"/>
      <c r="D327" s="18"/>
      <c r="E327" s="18"/>
      <c r="F327" s="68"/>
      <c r="G327" s="68"/>
      <c r="H327" s="6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</row>
    <row r="328" ht="15.75" customHeight="1">
      <c r="A328" s="7"/>
      <c r="B328" s="74"/>
      <c r="C328" s="18"/>
      <c r="D328" s="18"/>
      <c r="E328" s="18"/>
      <c r="F328" s="68"/>
      <c r="G328" s="68"/>
      <c r="H328" s="6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</row>
    <row r="329" ht="15.75" customHeight="1">
      <c r="A329" s="7"/>
      <c r="B329" s="74"/>
      <c r="C329" s="18"/>
      <c r="D329" s="18"/>
      <c r="E329" s="18"/>
      <c r="F329" s="68"/>
      <c r="G329" s="68"/>
      <c r="H329" s="6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</row>
    <row r="330" ht="15.75" customHeight="1">
      <c r="A330" s="7"/>
      <c r="B330" s="74"/>
      <c r="C330" s="18"/>
      <c r="D330" s="18"/>
      <c r="E330" s="18"/>
      <c r="F330" s="68"/>
      <c r="G330" s="68"/>
      <c r="H330" s="6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</row>
    <row r="331" ht="15.75" customHeight="1">
      <c r="A331" s="7"/>
      <c r="B331" s="74"/>
      <c r="C331" s="18"/>
      <c r="D331" s="18"/>
      <c r="E331" s="18"/>
      <c r="F331" s="68"/>
      <c r="G331" s="68"/>
      <c r="H331" s="6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</row>
    <row r="332" ht="15.75" customHeight="1">
      <c r="A332" s="7"/>
      <c r="B332" s="74"/>
      <c r="C332" s="18"/>
      <c r="D332" s="18"/>
      <c r="E332" s="18"/>
      <c r="F332" s="68"/>
      <c r="G332" s="68"/>
      <c r="H332" s="6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</row>
    <row r="333" ht="15.75" customHeight="1">
      <c r="A333" s="7"/>
      <c r="B333" s="74"/>
      <c r="C333" s="18"/>
      <c r="D333" s="18"/>
      <c r="E333" s="18"/>
      <c r="F333" s="68"/>
      <c r="G333" s="68"/>
      <c r="H333" s="6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</row>
    <row r="334" ht="15.75" customHeight="1">
      <c r="A334" s="7"/>
      <c r="B334" s="74"/>
      <c r="C334" s="18"/>
      <c r="D334" s="18"/>
      <c r="E334" s="18"/>
      <c r="F334" s="68"/>
      <c r="G334" s="68"/>
      <c r="H334" s="6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</row>
    <row r="335" ht="15.75" customHeight="1">
      <c r="A335" s="7"/>
      <c r="B335" s="74"/>
      <c r="C335" s="18"/>
      <c r="D335" s="18"/>
      <c r="E335" s="18"/>
      <c r="F335" s="68"/>
      <c r="G335" s="68"/>
      <c r="H335" s="6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</row>
    <row r="336" ht="15.75" customHeight="1">
      <c r="A336" s="7"/>
      <c r="B336" s="74"/>
      <c r="C336" s="18"/>
      <c r="D336" s="18"/>
      <c r="E336" s="18"/>
      <c r="F336" s="68"/>
      <c r="G336" s="68"/>
      <c r="H336" s="6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</row>
    <row r="337" ht="15.75" customHeight="1">
      <c r="A337" s="7"/>
      <c r="B337" s="74"/>
      <c r="C337" s="18"/>
      <c r="D337" s="18"/>
      <c r="E337" s="18"/>
      <c r="F337" s="68"/>
      <c r="G337" s="68"/>
      <c r="H337" s="6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</row>
    <row r="338" ht="15.75" customHeight="1">
      <c r="A338" s="7"/>
      <c r="B338" s="74"/>
      <c r="C338" s="18"/>
      <c r="D338" s="18"/>
      <c r="E338" s="18"/>
      <c r="F338" s="68"/>
      <c r="G338" s="68"/>
      <c r="H338" s="6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</row>
    <row r="339" ht="15.75" customHeight="1">
      <c r="A339" s="7"/>
      <c r="B339" s="74"/>
      <c r="C339" s="18"/>
      <c r="D339" s="18"/>
      <c r="E339" s="18"/>
      <c r="F339" s="68"/>
      <c r="G339" s="68"/>
      <c r="H339" s="6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</row>
    <row r="340" ht="15.75" customHeight="1">
      <c r="A340" s="7"/>
      <c r="B340" s="74"/>
      <c r="C340" s="18"/>
      <c r="D340" s="18"/>
      <c r="E340" s="18"/>
      <c r="F340" s="68"/>
      <c r="G340" s="68"/>
      <c r="H340" s="6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</row>
    <row r="341" ht="15.75" customHeight="1">
      <c r="A341" s="7"/>
      <c r="B341" s="74"/>
      <c r="C341" s="18"/>
      <c r="D341" s="18"/>
      <c r="E341" s="18"/>
      <c r="F341" s="68"/>
      <c r="G341" s="68"/>
      <c r="H341" s="6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</row>
    <row r="342" ht="15.75" customHeight="1">
      <c r="A342" s="7"/>
      <c r="B342" s="74"/>
      <c r="C342" s="18"/>
      <c r="D342" s="18"/>
      <c r="E342" s="18"/>
      <c r="F342" s="68"/>
      <c r="G342" s="68"/>
      <c r="H342" s="6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</row>
    <row r="343" ht="15.75" customHeight="1">
      <c r="A343" s="7"/>
      <c r="B343" s="74"/>
      <c r="C343" s="18"/>
      <c r="D343" s="18"/>
      <c r="E343" s="18"/>
      <c r="F343" s="68"/>
      <c r="G343" s="68"/>
      <c r="H343" s="6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</row>
    <row r="344" ht="15.75" customHeight="1">
      <c r="A344" s="7"/>
      <c r="B344" s="74"/>
      <c r="C344" s="18"/>
      <c r="D344" s="18"/>
      <c r="E344" s="18"/>
      <c r="F344" s="68"/>
      <c r="G344" s="68"/>
      <c r="H344" s="6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</row>
    <row r="345" ht="15.75" customHeight="1">
      <c r="A345" s="7"/>
      <c r="B345" s="74"/>
      <c r="C345" s="18"/>
      <c r="D345" s="18"/>
      <c r="E345" s="18"/>
      <c r="F345" s="68"/>
      <c r="G345" s="68"/>
      <c r="H345" s="6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</row>
    <row r="346" ht="15.75" customHeight="1">
      <c r="A346" s="7"/>
      <c r="B346" s="74"/>
      <c r="C346" s="18"/>
      <c r="D346" s="18"/>
      <c r="E346" s="18"/>
      <c r="F346" s="68"/>
      <c r="G346" s="68"/>
      <c r="H346" s="6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</row>
    <row r="347" ht="15.75" customHeight="1">
      <c r="A347" s="7"/>
      <c r="B347" s="74"/>
      <c r="C347" s="18"/>
      <c r="D347" s="18"/>
      <c r="E347" s="18"/>
      <c r="F347" s="68"/>
      <c r="G347" s="68"/>
      <c r="H347" s="6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</row>
    <row r="348" ht="15.75" customHeight="1">
      <c r="A348" s="7"/>
      <c r="B348" s="74"/>
      <c r="C348" s="18"/>
      <c r="D348" s="18"/>
      <c r="E348" s="18"/>
      <c r="F348" s="68"/>
      <c r="G348" s="68"/>
      <c r="H348" s="6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</row>
    <row r="349" ht="15.75" customHeight="1">
      <c r="A349" s="7"/>
      <c r="B349" s="74"/>
      <c r="C349" s="18"/>
      <c r="D349" s="18"/>
      <c r="E349" s="18"/>
      <c r="F349" s="68"/>
      <c r="G349" s="68"/>
      <c r="H349" s="6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</row>
    <row r="350" ht="15.75" customHeight="1">
      <c r="A350" s="7"/>
      <c r="B350" s="74"/>
      <c r="C350" s="18"/>
      <c r="D350" s="18"/>
      <c r="E350" s="18"/>
      <c r="F350" s="68"/>
      <c r="G350" s="68"/>
      <c r="H350" s="6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</row>
    <row r="351" ht="15.75" customHeight="1">
      <c r="A351" s="7"/>
      <c r="B351" s="74"/>
      <c r="C351" s="18"/>
      <c r="D351" s="18"/>
      <c r="E351" s="18"/>
      <c r="F351" s="68"/>
      <c r="G351" s="68"/>
      <c r="H351" s="6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</row>
    <row r="352" ht="15.75" customHeight="1">
      <c r="A352" s="7"/>
      <c r="B352" s="74"/>
      <c r="C352" s="18"/>
      <c r="D352" s="18"/>
      <c r="E352" s="18"/>
      <c r="F352" s="68"/>
      <c r="G352" s="68"/>
      <c r="H352" s="6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</row>
    <row r="353" ht="15.75" customHeight="1">
      <c r="A353" s="7"/>
      <c r="B353" s="74"/>
      <c r="C353" s="18"/>
      <c r="D353" s="18"/>
      <c r="E353" s="18"/>
      <c r="F353" s="68"/>
      <c r="G353" s="68"/>
      <c r="H353" s="6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</row>
    <row r="354" ht="15.75" customHeight="1">
      <c r="A354" s="7"/>
      <c r="B354" s="74"/>
      <c r="C354" s="18"/>
      <c r="D354" s="18"/>
      <c r="E354" s="18"/>
      <c r="F354" s="68"/>
      <c r="G354" s="68"/>
      <c r="H354" s="6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</row>
    <row r="355" ht="15.75" customHeight="1">
      <c r="A355" s="7"/>
      <c r="B355" s="74"/>
      <c r="C355" s="18"/>
      <c r="D355" s="18"/>
      <c r="E355" s="18"/>
      <c r="F355" s="68"/>
      <c r="G355" s="68"/>
      <c r="H355" s="6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</row>
    <row r="356" ht="15.75" customHeight="1">
      <c r="A356" s="7"/>
      <c r="B356" s="74"/>
      <c r="C356" s="18"/>
      <c r="D356" s="18"/>
      <c r="E356" s="18"/>
      <c r="F356" s="68"/>
      <c r="G356" s="68"/>
      <c r="H356" s="6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</row>
    <row r="357" ht="15.75" customHeight="1">
      <c r="A357" s="7"/>
      <c r="B357" s="74"/>
      <c r="C357" s="18"/>
      <c r="D357" s="18"/>
      <c r="E357" s="18"/>
      <c r="F357" s="68"/>
      <c r="G357" s="68"/>
      <c r="H357" s="6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</row>
    <row r="358" ht="15.75" customHeight="1">
      <c r="A358" s="7"/>
      <c r="B358" s="74"/>
      <c r="C358" s="18"/>
      <c r="D358" s="18"/>
      <c r="E358" s="18"/>
      <c r="F358" s="68"/>
      <c r="G358" s="68"/>
      <c r="H358" s="6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</row>
    <row r="359" ht="15.75" customHeight="1">
      <c r="A359" s="7"/>
      <c r="B359" s="74"/>
      <c r="C359" s="18"/>
      <c r="D359" s="18"/>
      <c r="E359" s="18"/>
      <c r="F359" s="68"/>
      <c r="G359" s="68"/>
      <c r="H359" s="6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</row>
    <row r="360" ht="15.75" customHeight="1">
      <c r="A360" s="7"/>
      <c r="B360" s="74"/>
      <c r="C360" s="18"/>
      <c r="D360" s="18"/>
      <c r="E360" s="18"/>
      <c r="F360" s="68"/>
      <c r="G360" s="68"/>
      <c r="H360" s="6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</row>
    <row r="361" ht="15.75" customHeight="1">
      <c r="A361" s="7"/>
      <c r="B361" s="74"/>
      <c r="C361" s="18"/>
      <c r="D361" s="18"/>
      <c r="E361" s="18"/>
      <c r="F361" s="68"/>
      <c r="G361" s="68"/>
      <c r="H361" s="6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</row>
    <row r="362" ht="15.75" customHeight="1">
      <c r="A362" s="7"/>
      <c r="B362" s="74"/>
      <c r="C362" s="18"/>
      <c r="D362" s="18"/>
      <c r="E362" s="18"/>
      <c r="F362" s="68"/>
      <c r="G362" s="68"/>
      <c r="H362" s="6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</row>
    <row r="363" ht="15.75" customHeight="1">
      <c r="A363" s="7"/>
      <c r="B363" s="74"/>
      <c r="C363" s="18"/>
      <c r="D363" s="18"/>
      <c r="E363" s="18"/>
      <c r="F363" s="68"/>
      <c r="G363" s="68"/>
      <c r="H363" s="6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</row>
    <row r="364" ht="15.75" customHeight="1">
      <c r="A364" s="7"/>
      <c r="B364" s="74"/>
      <c r="C364" s="18"/>
      <c r="D364" s="18"/>
      <c r="E364" s="18"/>
      <c r="F364" s="68"/>
      <c r="G364" s="68"/>
      <c r="H364" s="6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</row>
    <row r="365" ht="15.75" customHeight="1">
      <c r="A365" s="7"/>
      <c r="B365" s="74"/>
      <c r="C365" s="18"/>
      <c r="D365" s="18"/>
      <c r="E365" s="18"/>
      <c r="F365" s="68"/>
      <c r="G365" s="68"/>
      <c r="H365" s="6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</row>
    <row r="366" ht="15.75" customHeight="1">
      <c r="A366" s="7"/>
      <c r="B366" s="74"/>
      <c r="C366" s="18"/>
      <c r="D366" s="18"/>
      <c r="E366" s="18"/>
      <c r="F366" s="68"/>
      <c r="G366" s="68"/>
      <c r="H366" s="6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</row>
    <row r="367" ht="15.75" customHeight="1">
      <c r="A367" s="7"/>
      <c r="B367" s="74"/>
      <c r="C367" s="18"/>
      <c r="D367" s="18"/>
      <c r="E367" s="18"/>
      <c r="F367" s="68"/>
      <c r="G367" s="68"/>
      <c r="H367" s="6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</row>
    <row r="368" ht="15.75" customHeight="1">
      <c r="A368" s="7"/>
      <c r="B368" s="74"/>
      <c r="C368" s="18"/>
      <c r="D368" s="18"/>
      <c r="E368" s="18"/>
      <c r="F368" s="68"/>
      <c r="G368" s="68"/>
      <c r="H368" s="6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</row>
    <row r="369" ht="15.75" customHeight="1">
      <c r="A369" s="7"/>
      <c r="B369" s="74"/>
      <c r="C369" s="18"/>
      <c r="D369" s="18"/>
      <c r="E369" s="18"/>
      <c r="F369" s="68"/>
      <c r="G369" s="68"/>
      <c r="H369" s="6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</row>
    <row r="370" ht="15.75" customHeight="1">
      <c r="A370" s="7"/>
      <c r="B370" s="74"/>
      <c r="C370" s="18"/>
      <c r="D370" s="18"/>
      <c r="E370" s="18"/>
      <c r="F370" s="68"/>
      <c r="G370" s="68"/>
      <c r="H370" s="6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</row>
    <row r="371" ht="15.75" customHeight="1">
      <c r="A371" s="7"/>
      <c r="B371" s="74"/>
      <c r="C371" s="18"/>
      <c r="D371" s="18"/>
      <c r="E371" s="18"/>
      <c r="F371" s="68"/>
      <c r="G371" s="68"/>
      <c r="H371" s="6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</row>
    <row r="372" ht="15.75" customHeight="1">
      <c r="A372" s="7"/>
      <c r="B372" s="74"/>
      <c r="C372" s="18"/>
      <c r="D372" s="18"/>
      <c r="E372" s="18"/>
      <c r="F372" s="68"/>
      <c r="G372" s="68"/>
      <c r="H372" s="6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</row>
    <row r="373" ht="15.75" customHeight="1">
      <c r="A373" s="7"/>
      <c r="B373" s="74"/>
      <c r="C373" s="18"/>
      <c r="D373" s="18"/>
      <c r="E373" s="18"/>
      <c r="F373" s="68"/>
      <c r="G373" s="68"/>
      <c r="H373" s="6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</row>
    <row r="374" ht="15.75" customHeight="1">
      <c r="A374" s="7"/>
      <c r="B374" s="74"/>
      <c r="C374" s="18"/>
      <c r="D374" s="18"/>
      <c r="E374" s="18"/>
      <c r="F374" s="68"/>
      <c r="G374" s="68"/>
      <c r="H374" s="6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</row>
    <row r="375" ht="15.75" customHeight="1">
      <c r="A375" s="7"/>
      <c r="B375" s="74"/>
      <c r="C375" s="18"/>
      <c r="D375" s="18"/>
      <c r="E375" s="18"/>
      <c r="F375" s="68"/>
      <c r="G375" s="68"/>
      <c r="H375" s="6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</row>
    <row r="376" ht="15.75" customHeight="1">
      <c r="A376" s="7"/>
      <c r="B376" s="74"/>
      <c r="C376" s="18"/>
      <c r="D376" s="18"/>
      <c r="E376" s="18"/>
      <c r="F376" s="68"/>
      <c r="G376" s="68"/>
      <c r="H376" s="6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</row>
    <row r="377" ht="15.75" customHeight="1">
      <c r="A377" s="7"/>
      <c r="B377" s="74"/>
      <c r="C377" s="18"/>
      <c r="D377" s="18"/>
      <c r="E377" s="18"/>
      <c r="F377" s="68"/>
      <c r="G377" s="68"/>
      <c r="H377" s="6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</row>
    <row r="378" ht="15.75" customHeight="1">
      <c r="A378" s="7"/>
      <c r="B378" s="74"/>
      <c r="C378" s="18"/>
      <c r="D378" s="18"/>
      <c r="E378" s="18"/>
      <c r="F378" s="68"/>
      <c r="G378" s="68"/>
      <c r="H378" s="6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</row>
    <row r="379" ht="15.75" customHeight="1">
      <c r="A379" s="7"/>
      <c r="B379" s="74"/>
      <c r="C379" s="18"/>
      <c r="D379" s="18"/>
      <c r="E379" s="18"/>
      <c r="F379" s="68"/>
      <c r="G379" s="68"/>
      <c r="H379" s="6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</row>
    <row r="380" ht="15.75" customHeight="1">
      <c r="A380" s="7"/>
      <c r="B380" s="74"/>
      <c r="C380" s="18"/>
      <c r="D380" s="18"/>
      <c r="E380" s="18"/>
      <c r="F380" s="68"/>
      <c r="G380" s="68"/>
      <c r="H380" s="6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</row>
    <row r="381" ht="15.75" customHeight="1">
      <c r="A381" s="7"/>
      <c r="B381" s="74"/>
      <c r="C381" s="18"/>
      <c r="D381" s="18"/>
      <c r="E381" s="18"/>
      <c r="F381" s="68"/>
      <c r="G381" s="68"/>
      <c r="H381" s="6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</row>
    <row r="382" ht="15.75" customHeight="1">
      <c r="A382" s="7"/>
      <c r="B382" s="74"/>
      <c r="C382" s="18"/>
      <c r="D382" s="18"/>
      <c r="E382" s="18"/>
      <c r="F382" s="68"/>
      <c r="G382" s="68"/>
      <c r="H382" s="6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</row>
    <row r="383" ht="15.75" customHeight="1">
      <c r="A383" s="7"/>
      <c r="B383" s="74"/>
      <c r="C383" s="18"/>
      <c r="D383" s="18"/>
      <c r="E383" s="18"/>
      <c r="F383" s="68"/>
      <c r="G383" s="68"/>
      <c r="H383" s="6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</row>
    <row r="384" ht="15.75" customHeight="1">
      <c r="A384" s="7"/>
      <c r="B384" s="74"/>
      <c r="C384" s="18"/>
      <c r="D384" s="18"/>
      <c r="E384" s="18"/>
      <c r="F384" s="68"/>
      <c r="G384" s="68"/>
      <c r="H384" s="6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</row>
    <row r="385" ht="15.75" customHeight="1">
      <c r="A385" s="7"/>
      <c r="B385" s="74"/>
      <c r="C385" s="18"/>
      <c r="D385" s="18"/>
      <c r="E385" s="18"/>
      <c r="F385" s="68"/>
      <c r="G385" s="68"/>
      <c r="H385" s="6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</row>
    <row r="386" ht="15.75" customHeight="1">
      <c r="A386" s="7"/>
      <c r="B386" s="74"/>
      <c r="C386" s="18"/>
      <c r="D386" s="18"/>
      <c r="E386" s="18"/>
      <c r="F386" s="68"/>
      <c r="G386" s="68"/>
      <c r="H386" s="6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</row>
    <row r="387" ht="15.75" customHeight="1">
      <c r="A387" s="7"/>
      <c r="B387" s="74"/>
      <c r="C387" s="18"/>
      <c r="D387" s="18"/>
      <c r="E387" s="18"/>
      <c r="F387" s="68"/>
      <c r="G387" s="68"/>
      <c r="H387" s="6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</row>
    <row r="388" ht="15.75" customHeight="1">
      <c r="A388" s="7"/>
      <c r="B388" s="74"/>
      <c r="C388" s="18"/>
      <c r="D388" s="18"/>
      <c r="E388" s="18"/>
      <c r="F388" s="68"/>
      <c r="G388" s="68"/>
      <c r="H388" s="6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</row>
    <row r="389" ht="15.75" customHeight="1">
      <c r="A389" s="7"/>
      <c r="B389" s="74"/>
      <c r="C389" s="18"/>
      <c r="D389" s="18"/>
      <c r="E389" s="18"/>
      <c r="F389" s="68"/>
      <c r="G389" s="68"/>
      <c r="H389" s="6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</row>
    <row r="390" ht="15.75" customHeight="1">
      <c r="A390" s="7"/>
      <c r="B390" s="74"/>
      <c r="C390" s="18"/>
      <c r="D390" s="18"/>
      <c r="E390" s="18"/>
      <c r="F390" s="68"/>
      <c r="G390" s="68"/>
      <c r="H390" s="6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</row>
    <row r="391" ht="15.75" customHeight="1">
      <c r="A391" s="7"/>
      <c r="B391" s="74"/>
      <c r="C391" s="18"/>
      <c r="D391" s="18"/>
      <c r="E391" s="18"/>
      <c r="F391" s="68"/>
      <c r="G391" s="68"/>
      <c r="H391" s="6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</row>
    <row r="392" ht="15.75" customHeight="1">
      <c r="A392" s="7"/>
      <c r="B392" s="74"/>
      <c r="C392" s="18"/>
      <c r="D392" s="18"/>
      <c r="E392" s="18"/>
      <c r="F392" s="68"/>
      <c r="G392" s="68"/>
      <c r="H392" s="6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</row>
    <row r="393" ht="15.75" customHeight="1">
      <c r="A393" s="7"/>
      <c r="B393" s="74"/>
      <c r="C393" s="18"/>
      <c r="D393" s="18"/>
      <c r="E393" s="18"/>
      <c r="F393" s="68"/>
      <c r="G393" s="68"/>
      <c r="H393" s="6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</row>
    <row r="394" ht="15.75" customHeight="1">
      <c r="A394" s="7"/>
      <c r="B394" s="74"/>
      <c r="C394" s="18"/>
      <c r="D394" s="18"/>
      <c r="E394" s="18"/>
      <c r="F394" s="68"/>
      <c r="G394" s="68"/>
      <c r="H394" s="6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</row>
    <row r="395" ht="15.75" customHeight="1">
      <c r="A395" s="7"/>
      <c r="B395" s="74"/>
      <c r="C395" s="18"/>
      <c r="D395" s="18"/>
      <c r="E395" s="18"/>
      <c r="F395" s="68"/>
      <c r="G395" s="68"/>
      <c r="H395" s="6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</row>
    <row r="396" ht="15.75" customHeight="1">
      <c r="A396" s="7"/>
      <c r="B396" s="74"/>
      <c r="C396" s="18"/>
      <c r="D396" s="18"/>
      <c r="E396" s="18"/>
      <c r="F396" s="68"/>
      <c r="G396" s="68"/>
      <c r="H396" s="6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</row>
    <row r="397" ht="15.75" customHeight="1">
      <c r="A397" s="7"/>
      <c r="B397" s="74"/>
      <c r="C397" s="18"/>
      <c r="D397" s="18"/>
      <c r="E397" s="18"/>
      <c r="F397" s="68"/>
      <c r="G397" s="68"/>
      <c r="H397" s="6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</row>
    <row r="398" ht="15.75" customHeight="1">
      <c r="A398" s="7"/>
      <c r="B398" s="74"/>
      <c r="C398" s="18"/>
      <c r="D398" s="18"/>
      <c r="E398" s="18"/>
      <c r="F398" s="68"/>
      <c r="G398" s="68"/>
      <c r="H398" s="6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</row>
    <row r="399" ht="15.75" customHeight="1">
      <c r="A399" s="7"/>
      <c r="B399" s="74"/>
      <c r="C399" s="18"/>
      <c r="D399" s="18"/>
      <c r="E399" s="18"/>
      <c r="F399" s="68"/>
      <c r="G399" s="68"/>
      <c r="H399" s="6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</row>
    <row r="400" ht="15.75" customHeight="1">
      <c r="A400" s="7"/>
      <c r="B400" s="74"/>
      <c r="C400" s="18"/>
      <c r="D400" s="18"/>
      <c r="E400" s="18"/>
      <c r="F400" s="68"/>
      <c r="G400" s="68"/>
      <c r="H400" s="6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</row>
    <row r="401" ht="15.75" customHeight="1">
      <c r="A401" s="7"/>
      <c r="B401" s="74"/>
      <c r="C401" s="18"/>
      <c r="D401" s="18"/>
      <c r="E401" s="18"/>
      <c r="F401" s="68"/>
      <c r="G401" s="68"/>
      <c r="H401" s="6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</row>
    <row r="402" ht="15.75" customHeight="1">
      <c r="A402" s="7"/>
      <c r="B402" s="74"/>
      <c r="C402" s="18"/>
      <c r="D402" s="18"/>
      <c r="E402" s="18"/>
      <c r="F402" s="68"/>
      <c r="G402" s="68"/>
      <c r="H402" s="6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</row>
    <row r="403" ht="15.75" customHeight="1">
      <c r="A403" s="7"/>
      <c r="B403" s="74"/>
      <c r="C403" s="18"/>
      <c r="D403" s="18"/>
      <c r="E403" s="18"/>
      <c r="F403" s="68"/>
      <c r="G403" s="68"/>
      <c r="H403" s="6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</row>
    <row r="404" ht="15.75" customHeight="1">
      <c r="A404" s="7"/>
      <c r="B404" s="74"/>
      <c r="C404" s="18"/>
      <c r="D404" s="18"/>
      <c r="E404" s="18"/>
      <c r="F404" s="68"/>
      <c r="G404" s="68"/>
      <c r="H404" s="6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</row>
    <row r="405" ht="15.75" customHeight="1">
      <c r="A405" s="7"/>
      <c r="B405" s="74"/>
      <c r="C405" s="18"/>
      <c r="D405" s="18"/>
      <c r="E405" s="18"/>
      <c r="F405" s="68"/>
      <c r="G405" s="68"/>
      <c r="H405" s="6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autoFilter ref="$A$1:$AX$1020">
    <sortState ref="A1:AX1020">
      <sortCondition ref="B1:B1020"/>
      <sortCondition ref="AS1:AS1020"/>
      <sortCondition descending="1" ref="C1:C1020"/>
      <sortCondition descending="1" ref="F1:F1020"/>
      <sortCondition descending="1" ref="I1:I1020"/>
      <sortCondition descending="1" ref="L1:L1020"/>
      <sortCondition descending="1" ref="O1:O1020"/>
      <sortCondition descending="1" ref="R1:R1020"/>
      <sortCondition descending="1" ref="U1:U1020"/>
      <sortCondition descending="1" ref="X1:X1020"/>
      <sortCondition descending="1" ref="AA1:AA1020"/>
      <sortCondition descending="1" ref="AD1:AD1020"/>
      <sortCondition descending="1" ref="AE1:AE1020"/>
      <sortCondition descending="1" ref="AK1:AK1020"/>
      <sortCondition descending="1" ref="AN1:AN1020"/>
      <sortCondition descending="1" ref="AQ1:AQ1020"/>
      <sortCondition descending="1" ref="AW1:AW1020"/>
      <sortCondition descending="1" ref="AX1:AX1020"/>
      <sortCondition ref="Q1:Q1020"/>
      <sortCondition ref="K1:K1020"/>
      <sortCondition ref="AV1:AV1020"/>
      <sortCondition ref="AU1:AU1020"/>
      <sortCondition ref="AR1:AR1020"/>
      <sortCondition ref="AO1:AO1020"/>
      <sortCondition ref="AF1:AF1020"/>
      <sortCondition ref="AM1:AM1020"/>
      <sortCondition ref="AP1:AP1020"/>
      <sortCondition ref="AJ1:AJ1020"/>
      <sortCondition ref="AG1:AG1020"/>
      <sortCondition descending="1" ref="AC1:AC1020"/>
      <sortCondition descending="1" ref="Z1:Z1020"/>
      <sortCondition descending="1" ref="W1:W1020"/>
      <sortCondition descending="1" ref="T1:T1020"/>
      <sortCondition descending="1" ref="N1:N1020"/>
      <sortCondition descending="1" ref="H1:H1020"/>
      <sortCondition descending="1" ref="D1:D1020"/>
      <sortCondition ref="AB1:AB1020"/>
      <sortCondition ref="E1:E1020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1" width="7.25"/>
    <col customWidth="1" min="12" max="12" width="6.88"/>
    <col customWidth="1" min="13" max="13" width="7.63"/>
    <col customWidth="1" min="14" max="14" width="7.25"/>
    <col customWidth="1" min="15" max="15" width="6.88"/>
    <col customWidth="1" min="16" max="16" width="7.63"/>
    <col customWidth="1" min="17" max="17" width="7.25"/>
    <col customWidth="1" min="18" max="18" width="6.88"/>
    <col customWidth="1" min="19" max="19" width="7.63"/>
    <col customWidth="1" min="20" max="20" width="7.25"/>
    <col customWidth="1" min="21" max="21" width="9.38"/>
    <col customWidth="1" min="22" max="22" width="10.25"/>
  </cols>
  <sheetData>
    <row r="1" ht="15.75" customHeight="1">
      <c r="A1" s="1" t="s">
        <v>1</v>
      </c>
      <c r="B1" s="3" t="s">
        <v>3</v>
      </c>
      <c r="C1" s="1" t="s">
        <v>4</v>
      </c>
      <c r="D1" s="4" t="s">
        <v>5</v>
      </c>
      <c r="E1" s="75" t="s">
        <v>6</v>
      </c>
      <c r="F1" s="76" t="s">
        <v>7</v>
      </c>
      <c r="G1" s="77" t="s">
        <v>8</v>
      </c>
      <c r="H1" s="3" t="s">
        <v>9</v>
      </c>
      <c r="I1" s="1" t="s">
        <v>10</v>
      </c>
      <c r="J1" s="4" t="s">
        <v>11</v>
      </c>
      <c r="K1" s="4" t="s">
        <v>184</v>
      </c>
      <c r="L1" s="1" t="s">
        <v>13</v>
      </c>
      <c r="M1" s="4" t="s">
        <v>14</v>
      </c>
      <c r="N1" s="4" t="s">
        <v>15</v>
      </c>
      <c r="O1" s="1" t="s">
        <v>16</v>
      </c>
      <c r="P1" s="4" t="s">
        <v>17</v>
      </c>
      <c r="Q1" s="4" t="s">
        <v>18</v>
      </c>
      <c r="R1" s="1" t="s">
        <v>19</v>
      </c>
      <c r="S1" s="4" t="s">
        <v>20</v>
      </c>
      <c r="T1" s="4" t="s">
        <v>21</v>
      </c>
      <c r="U1" s="1" t="s">
        <v>22</v>
      </c>
      <c r="V1" s="4" t="s">
        <v>23</v>
      </c>
    </row>
    <row r="2" ht="15.75" customHeight="1">
      <c r="A2" s="78">
        <v>500.0</v>
      </c>
      <c r="B2" s="18">
        <v>189.0</v>
      </c>
      <c r="C2" s="12">
        <v>0.2798611111111111</v>
      </c>
      <c r="D2" s="13">
        <v>0.28055555555555556</v>
      </c>
      <c r="E2" s="64">
        <v>181.0</v>
      </c>
      <c r="F2" s="65">
        <v>0.34444444444444444</v>
      </c>
      <c r="G2" s="66">
        <v>0.34444444444444444</v>
      </c>
      <c r="H2" s="18">
        <v>181.0</v>
      </c>
      <c r="I2" s="12">
        <v>0.4263888888888889</v>
      </c>
      <c r="J2" s="13">
        <v>0.4388888888888889</v>
      </c>
      <c r="K2" s="67">
        <v>169.0</v>
      </c>
      <c r="L2" s="12">
        <v>0.5305555555555556</v>
      </c>
      <c r="M2" s="13">
        <v>0.5340277777777778</v>
      </c>
      <c r="N2" s="67">
        <v>165.0</v>
      </c>
      <c r="O2" s="79">
        <v>0.10833333333333334</v>
      </c>
      <c r="P2" s="80">
        <v>0.1125</v>
      </c>
      <c r="Q2" s="67">
        <v>160.0</v>
      </c>
      <c r="R2" s="79">
        <v>0.18611111111111112</v>
      </c>
      <c r="S2" s="80">
        <v>0.19027777777777777</v>
      </c>
      <c r="T2" s="67">
        <v>156.0</v>
      </c>
      <c r="U2" s="79">
        <v>0.24305555555555555</v>
      </c>
      <c r="V2" s="80">
        <v>0.2638888888888889</v>
      </c>
    </row>
    <row r="3" ht="15.75" customHeight="1">
      <c r="A3" s="47">
        <v>501.0</v>
      </c>
      <c r="B3" s="11">
        <v>178.0</v>
      </c>
      <c r="C3" s="12">
        <v>0.2763888888888889</v>
      </c>
      <c r="D3" s="13">
        <v>0.27708333333333335</v>
      </c>
      <c r="E3" s="64">
        <v>180.0</v>
      </c>
      <c r="F3" s="65">
        <v>0.34444444444444444</v>
      </c>
      <c r="G3" s="66">
        <v>0.34444444444444444</v>
      </c>
      <c r="H3" s="11">
        <v>188.0</v>
      </c>
      <c r="I3" s="12">
        <v>0.4305555555555556</v>
      </c>
      <c r="J3" s="13">
        <v>0.4375</v>
      </c>
      <c r="K3" s="67">
        <v>170.0</v>
      </c>
      <c r="L3" s="12">
        <v>0.5305555555555556</v>
      </c>
      <c r="M3" s="13">
        <v>0.5347222222222222</v>
      </c>
      <c r="N3" s="67">
        <v>170.0</v>
      </c>
      <c r="O3" s="79">
        <v>0.11180555555555556</v>
      </c>
      <c r="P3" s="80">
        <v>0.11736111111111111</v>
      </c>
      <c r="Q3" s="67">
        <v>166.0</v>
      </c>
      <c r="R3" s="79">
        <v>0.19444444444444445</v>
      </c>
      <c r="S3" s="80">
        <v>0.1986111111111111</v>
      </c>
      <c r="T3" s="67">
        <v>165.0</v>
      </c>
      <c r="U3" s="79">
        <v>0.25069444444444444</v>
      </c>
      <c r="V3" s="80">
        <v>0.26458333333333334</v>
      </c>
    </row>
    <row r="4" ht="15.75" customHeight="1">
      <c r="A4" s="47">
        <v>502.0</v>
      </c>
      <c r="B4" s="11">
        <v>103.0</v>
      </c>
      <c r="C4" s="12">
        <v>0.26875</v>
      </c>
      <c r="D4" s="13">
        <v>0.26944444444444443</v>
      </c>
      <c r="E4" s="64">
        <v>136.0</v>
      </c>
      <c r="F4" s="65">
        <v>0.33402777777777776</v>
      </c>
      <c r="G4" s="66">
        <v>0.33402777777777776</v>
      </c>
      <c r="H4" s="11">
        <v>168.0</v>
      </c>
      <c r="I4" s="12">
        <v>0.4215277777777778</v>
      </c>
      <c r="J4" s="13">
        <v>0.4326388888888889</v>
      </c>
      <c r="K4" s="67">
        <v>182.0</v>
      </c>
      <c r="L4" s="12">
        <v>0.5395833333333333</v>
      </c>
      <c r="M4" s="13">
        <v>0.043055555555555555</v>
      </c>
      <c r="N4" s="67">
        <v>184.0</v>
      </c>
      <c r="O4" s="79">
        <v>0.125</v>
      </c>
      <c r="P4" s="80">
        <v>0.1284722222222222</v>
      </c>
      <c r="Q4" s="67">
        <v>177.0</v>
      </c>
      <c r="R4" s="79">
        <v>0.20902777777777778</v>
      </c>
      <c r="S4" s="80">
        <v>0.2125</v>
      </c>
      <c r="T4" s="67">
        <v>181.0</v>
      </c>
      <c r="U4" s="79">
        <v>0.27847222222222223</v>
      </c>
      <c r="V4" s="80">
        <v>0.29375</v>
      </c>
    </row>
    <row r="5" ht="15.75" customHeight="1">
      <c r="A5" s="47">
        <v>504.0</v>
      </c>
      <c r="B5" s="11">
        <v>15.0</v>
      </c>
      <c r="C5" s="12">
        <v>0.25555555555555554</v>
      </c>
      <c r="D5" s="13">
        <v>0.25555555555555554</v>
      </c>
      <c r="E5" s="64">
        <v>18.0</v>
      </c>
      <c r="F5" s="65">
        <v>0.30486111111111114</v>
      </c>
      <c r="G5" s="66">
        <v>0.30486111111111114</v>
      </c>
      <c r="H5" s="11">
        <v>42.0</v>
      </c>
      <c r="I5" s="12">
        <v>0.3729166666666667</v>
      </c>
      <c r="J5" s="13">
        <v>0.3784722222222222</v>
      </c>
      <c r="K5" s="67">
        <v>59.0</v>
      </c>
      <c r="L5" s="12">
        <v>0.46319444444444446</v>
      </c>
      <c r="M5" s="13">
        <v>0.46805555555555556</v>
      </c>
      <c r="N5" s="67">
        <v>72.0</v>
      </c>
      <c r="O5" s="79">
        <v>0.04375</v>
      </c>
      <c r="P5" s="80">
        <v>0.050694444444444445</v>
      </c>
      <c r="Q5" s="67">
        <v>81.0</v>
      </c>
      <c r="R5" s="79">
        <v>0.12013888888888889</v>
      </c>
      <c r="S5" s="80">
        <v>0.12569444444444444</v>
      </c>
      <c r="T5" s="67">
        <v>75.0</v>
      </c>
      <c r="U5" s="79">
        <v>0.16597222222222222</v>
      </c>
      <c r="V5" s="80">
        <v>0.17916666666666667</v>
      </c>
    </row>
    <row r="6" ht="15.75" customHeight="1">
      <c r="A6" s="47">
        <v>506.0</v>
      </c>
      <c r="B6" s="11">
        <v>88.0</v>
      </c>
      <c r="C6" s="12">
        <v>0.2673611111111111</v>
      </c>
      <c r="D6" s="13">
        <v>0.26805555555555555</v>
      </c>
      <c r="E6" s="64">
        <v>93.0</v>
      </c>
      <c r="F6" s="65">
        <v>0.32430555555555557</v>
      </c>
      <c r="G6" s="66">
        <v>0.32430555555555557</v>
      </c>
      <c r="H6" s="11">
        <v>133.0</v>
      </c>
      <c r="I6" s="12">
        <v>0.4076388888888889</v>
      </c>
      <c r="J6" s="13">
        <v>0.41180555555555554</v>
      </c>
      <c r="K6" s="67">
        <v>142.0</v>
      </c>
      <c r="L6" s="12">
        <v>0.5083333333333333</v>
      </c>
      <c r="M6" s="13">
        <v>0.5138888888888888</v>
      </c>
      <c r="N6" s="67">
        <v>148.0</v>
      </c>
      <c r="O6" s="79">
        <v>0.09375</v>
      </c>
      <c r="P6" s="80">
        <v>0.09930555555555555</v>
      </c>
      <c r="Q6" s="67">
        <v>156.0</v>
      </c>
      <c r="R6" s="79">
        <v>0.18541666666666667</v>
      </c>
      <c r="S6" s="80">
        <v>0.2013888888888889</v>
      </c>
      <c r="T6" s="67">
        <v>168.0</v>
      </c>
      <c r="U6" s="79">
        <v>0.25625</v>
      </c>
      <c r="V6" s="80">
        <v>0.26805555555555555</v>
      </c>
    </row>
    <row r="7" ht="15.75" customHeight="1">
      <c r="A7" s="47">
        <v>507.0</v>
      </c>
      <c r="B7" s="11">
        <v>44.0</v>
      </c>
      <c r="C7" s="12">
        <v>0.2611111111111111</v>
      </c>
      <c r="D7" s="13">
        <v>0.26180555555555557</v>
      </c>
      <c r="E7" s="64">
        <v>33.0</v>
      </c>
      <c r="F7" s="65">
        <v>0.3111111111111111</v>
      </c>
      <c r="G7" s="66">
        <v>0.3111111111111111</v>
      </c>
      <c r="H7" s="11">
        <v>41.0</v>
      </c>
      <c r="I7" s="12">
        <v>0.3715277777777778</v>
      </c>
      <c r="J7" s="13">
        <v>0.3784722222222222</v>
      </c>
      <c r="K7" s="67">
        <v>52.0</v>
      </c>
      <c r="L7" s="12">
        <v>0.4597222222222222</v>
      </c>
      <c r="M7" s="13">
        <v>0.46111111111111114</v>
      </c>
      <c r="N7" s="67">
        <v>50.0</v>
      </c>
      <c r="O7" s="79">
        <v>0.5215277777777778</v>
      </c>
      <c r="P7" s="80">
        <v>0.525</v>
      </c>
      <c r="Q7" s="67">
        <v>49.0</v>
      </c>
      <c r="R7" s="79">
        <v>0.08541666666666667</v>
      </c>
      <c r="S7" s="80">
        <v>0.08819444444444445</v>
      </c>
      <c r="T7" s="67">
        <v>47.0</v>
      </c>
      <c r="U7" s="79">
        <v>0.12777777777777777</v>
      </c>
      <c r="V7" s="80">
        <v>0.1326388888888889</v>
      </c>
    </row>
    <row r="8" ht="15.75" customHeight="1">
      <c r="A8" s="47">
        <v>508.0</v>
      </c>
      <c r="B8" s="11">
        <v>187.0</v>
      </c>
      <c r="C8" s="12">
        <v>0.2798611111111111</v>
      </c>
      <c r="D8" s="13">
        <v>0.28055555555555556</v>
      </c>
      <c r="E8" s="64">
        <v>196.0</v>
      </c>
      <c r="F8" s="65">
        <v>0.35555555555555557</v>
      </c>
      <c r="G8" s="66">
        <v>0.35555555555555557</v>
      </c>
      <c r="H8" s="11">
        <v>197.0</v>
      </c>
      <c r="I8" s="12">
        <v>0.4465277777777778</v>
      </c>
      <c r="J8" s="13">
        <v>0.4534722222222222</v>
      </c>
      <c r="K8" s="67">
        <v>190.0</v>
      </c>
      <c r="L8" s="12">
        <v>0.06180555555555556</v>
      </c>
      <c r="M8" s="13">
        <v>0.06527777777777778</v>
      </c>
      <c r="N8" s="67">
        <v>192.0</v>
      </c>
      <c r="O8" s="81"/>
      <c r="P8" s="80">
        <v>0.16041666666666668</v>
      </c>
      <c r="Q8" s="67">
        <v>190.0</v>
      </c>
      <c r="R8" s="79">
        <v>0.24444444444444444</v>
      </c>
      <c r="S8" s="80">
        <v>0.24930555555555556</v>
      </c>
      <c r="T8" s="67">
        <v>187.0</v>
      </c>
      <c r="U8" s="79">
        <v>0.3013888888888889</v>
      </c>
      <c r="V8" s="80">
        <v>0.3215277777777778</v>
      </c>
    </row>
    <row r="9" ht="15.75" customHeight="1">
      <c r="A9" s="47">
        <v>509.0</v>
      </c>
      <c r="B9" s="11">
        <v>69.0</v>
      </c>
      <c r="C9" s="12">
        <v>0.2638888888888889</v>
      </c>
      <c r="D9" s="13">
        <v>0.26458333333333334</v>
      </c>
      <c r="E9" s="64">
        <v>56.0</v>
      </c>
      <c r="F9" s="65">
        <v>0.3145833333333333</v>
      </c>
      <c r="G9" s="66">
        <v>0.3145833333333333</v>
      </c>
      <c r="H9" s="11">
        <v>52.0</v>
      </c>
      <c r="I9" s="12">
        <v>0.3763888888888889</v>
      </c>
      <c r="J9" s="13">
        <v>0.3798611111111111</v>
      </c>
      <c r="K9" s="67">
        <v>55.0</v>
      </c>
      <c r="L9" s="12">
        <v>0.4618055555555556</v>
      </c>
      <c r="M9" s="13">
        <v>0.46319444444444446</v>
      </c>
      <c r="N9" s="67">
        <v>58.0</v>
      </c>
      <c r="O9" s="79">
        <v>0.5277777777777778</v>
      </c>
      <c r="P9" s="80">
        <v>0.5305555555555556</v>
      </c>
      <c r="Q9" s="67">
        <v>60.0</v>
      </c>
      <c r="R9" s="79">
        <v>0.09722222222222222</v>
      </c>
      <c r="S9" s="80">
        <v>0.09930555555555555</v>
      </c>
      <c r="T9" s="67">
        <v>57.0</v>
      </c>
      <c r="U9" s="79">
        <v>0.14166666666666666</v>
      </c>
      <c r="V9" s="80">
        <v>0.15347222222222223</v>
      </c>
    </row>
    <row r="10" ht="15.75" customHeight="1">
      <c r="A10" s="47">
        <v>510.0</v>
      </c>
      <c r="B10" s="11">
        <v>177.0</v>
      </c>
      <c r="C10" s="12">
        <v>0.275</v>
      </c>
      <c r="D10" s="13">
        <v>0.27569444444444446</v>
      </c>
      <c r="E10" s="64">
        <v>168.0</v>
      </c>
      <c r="F10" s="65">
        <v>0.3388888888888889</v>
      </c>
      <c r="G10" s="66">
        <v>0.3388888888888889</v>
      </c>
      <c r="H10" s="11">
        <v>163.0</v>
      </c>
      <c r="I10" s="12">
        <v>0.4173611111111111</v>
      </c>
      <c r="J10" s="13">
        <v>0.42291666666666666</v>
      </c>
      <c r="K10" s="67">
        <v>146.0</v>
      </c>
      <c r="L10" s="12">
        <v>0.5131944444444444</v>
      </c>
      <c r="M10" s="13">
        <v>0.5145833333333333</v>
      </c>
      <c r="N10" s="67">
        <v>141.0</v>
      </c>
      <c r="O10" s="79">
        <v>0.08888888888888889</v>
      </c>
      <c r="P10" s="80">
        <v>0.09097222222222222</v>
      </c>
      <c r="Q10" s="67">
        <v>142.0</v>
      </c>
      <c r="R10" s="79">
        <v>0.1673611111111111</v>
      </c>
      <c r="S10" s="80">
        <v>0.16944444444444445</v>
      </c>
      <c r="T10" s="67">
        <v>144.0</v>
      </c>
      <c r="U10" s="79">
        <v>0.22847222222222222</v>
      </c>
      <c r="V10" s="80">
        <v>0.23819444444444443</v>
      </c>
    </row>
    <row r="11" ht="15.75" customHeight="1">
      <c r="A11" s="47">
        <v>511.0</v>
      </c>
      <c r="B11" s="11">
        <v>37.0</v>
      </c>
      <c r="C11" s="12">
        <v>0.2604166666666667</v>
      </c>
      <c r="D11" s="13">
        <v>0.26180555555555557</v>
      </c>
      <c r="E11" s="64">
        <v>23.0</v>
      </c>
      <c r="F11" s="65">
        <v>0.30625</v>
      </c>
      <c r="G11" s="66">
        <v>0.30625</v>
      </c>
      <c r="H11" s="11">
        <v>27.0</v>
      </c>
      <c r="I11" s="12">
        <v>0.3659722222222222</v>
      </c>
      <c r="J11" s="13">
        <v>0.3701388888888889</v>
      </c>
      <c r="K11" s="67">
        <v>36.0</v>
      </c>
      <c r="L11" s="12">
        <v>0.4465277777777778</v>
      </c>
      <c r="M11" s="13">
        <v>0.4479166666666667</v>
      </c>
      <c r="N11" s="67">
        <v>45.0</v>
      </c>
      <c r="O11" s="79">
        <v>0.5131944444444444</v>
      </c>
      <c r="P11" s="80">
        <v>0.5152777777777777</v>
      </c>
      <c r="Q11" s="67">
        <v>46.0</v>
      </c>
      <c r="R11" s="79">
        <v>0.0798611111111111</v>
      </c>
      <c r="S11" s="80">
        <v>0.08125</v>
      </c>
      <c r="T11" s="67">
        <v>45.0</v>
      </c>
      <c r="U11" s="79">
        <v>0.12222222222222222</v>
      </c>
      <c r="V11" s="80">
        <v>0.13194444444444445</v>
      </c>
    </row>
    <row r="12" ht="15.75" customHeight="1">
      <c r="A12" s="47">
        <v>513.0</v>
      </c>
      <c r="B12" s="11">
        <v>9.0</v>
      </c>
      <c r="C12" s="12">
        <v>0.2520833333333333</v>
      </c>
      <c r="D12" s="13">
        <v>0.25277777777777777</v>
      </c>
      <c r="E12" s="64">
        <v>7.0</v>
      </c>
      <c r="F12" s="65">
        <v>0.2923611111111111</v>
      </c>
      <c r="G12" s="66">
        <v>0.2923611111111111</v>
      </c>
      <c r="H12" s="11">
        <v>9.0</v>
      </c>
      <c r="I12" s="12">
        <v>0.3458333333333333</v>
      </c>
      <c r="J12" s="13">
        <v>0.34791666666666665</v>
      </c>
      <c r="K12" s="67">
        <v>8.0</v>
      </c>
      <c r="L12" s="12">
        <v>0.4166666666666667</v>
      </c>
      <c r="M12" s="13">
        <v>0.41875</v>
      </c>
      <c r="N12" s="67">
        <v>8.0</v>
      </c>
      <c r="O12" s="79">
        <v>0.47291666666666665</v>
      </c>
      <c r="P12" s="80">
        <v>0.47430555555555554</v>
      </c>
      <c r="Q12" s="67">
        <v>10.0</v>
      </c>
      <c r="R12" s="79">
        <v>0.5305555555555556</v>
      </c>
      <c r="S12" s="80">
        <v>0.5326388888888889</v>
      </c>
      <c r="T12" s="67">
        <v>12.0</v>
      </c>
      <c r="U12" s="79">
        <v>0.07430555555555556</v>
      </c>
      <c r="V12" s="80">
        <v>0.07777777777777778</v>
      </c>
    </row>
    <row r="13" ht="15.75" customHeight="1">
      <c r="A13" s="47">
        <v>515.0</v>
      </c>
      <c r="B13" s="11">
        <v>16.0</v>
      </c>
      <c r="C13" s="12">
        <v>0.2569444444444444</v>
      </c>
      <c r="D13" s="13">
        <v>0.2569444444444444</v>
      </c>
      <c r="E13" s="64">
        <v>17.0</v>
      </c>
      <c r="F13" s="65">
        <v>0.3020833333333333</v>
      </c>
      <c r="G13" s="66">
        <v>0.3020833333333333</v>
      </c>
      <c r="H13" s="11">
        <v>14.0</v>
      </c>
      <c r="I13" s="12">
        <v>0.3590277777777778</v>
      </c>
      <c r="J13" s="13">
        <v>0.3597222222222222</v>
      </c>
      <c r="K13" s="67">
        <v>13.0</v>
      </c>
      <c r="L13" s="12">
        <v>0.42777777777777776</v>
      </c>
      <c r="M13" s="13">
        <v>0.4284722222222222</v>
      </c>
      <c r="N13" s="67">
        <v>12.0</v>
      </c>
      <c r="O13" s="79">
        <v>0.4826388888888889</v>
      </c>
      <c r="P13" s="80">
        <v>0.48333333333333334</v>
      </c>
      <c r="Q13" s="67">
        <v>12.0</v>
      </c>
      <c r="R13" s="79">
        <v>0.5340277777777778</v>
      </c>
      <c r="S13" s="80">
        <v>0.5347222222222222</v>
      </c>
      <c r="T13" s="67">
        <v>9.0</v>
      </c>
      <c r="U13" s="79">
        <v>0.07013888888888889</v>
      </c>
      <c r="V13" s="80">
        <v>0.07152777777777777</v>
      </c>
    </row>
    <row r="14" ht="15.75" customHeight="1">
      <c r="A14" s="47">
        <v>516.0</v>
      </c>
      <c r="B14" s="11">
        <v>105.0</v>
      </c>
      <c r="C14" s="12">
        <v>0.26875</v>
      </c>
      <c r="D14" s="13">
        <v>0.26944444444444443</v>
      </c>
      <c r="E14" s="64">
        <v>114.0</v>
      </c>
      <c r="F14" s="65">
        <v>0.32916666666666666</v>
      </c>
      <c r="G14" s="66">
        <v>0.32916666666666666</v>
      </c>
      <c r="H14" s="11">
        <v>128.0</v>
      </c>
      <c r="I14" s="12">
        <v>0.40555555555555556</v>
      </c>
      <c r="J14" s="13">
        <v>0.4125</v>
      </c>
      <c r="K14" s="67">
        <v>127.0</v>
      </c>
      <c r="L14" s="12">
        <v>0.5041666666666667</v>
      </c>
      <c r="M14" s="13">
        <v>0.5083333333333333</v>
      </c>
      <c r="N14" s="67">
        <v>135.0</v>
      </c>
      <c r="O14" s="79">
        <v>0.08125</v>
      </c>
      <c r="P14" s="80">
        <v>0.08611111111111111</v>
      </c>
      <c r="Q14" s="67">
        <v>117.0</v>
      </c>
      <c r="R14" s="79">
        <v>0.1527777777777778</v>
      </c>
      <c r="S14" s="80">
        <v>0.15625</v>
      </c>
      <c r="T14" s="67">
        <v>128.0</v>
      </c>
      <c r="U14" s="79">
        <v>0.21319444444444444</v>
      </c>
      <c r="V14" s="80">
        <v>0.22708333333333333</v>
      </c>
    </row>
    <row r="15" ht="15.75" customHeight="1">
      <c r="A15" s="47">
        <v>517.0</v>
      </c>
      <c r="B15" s="11">
        <v>75.0</v>
      </c>
      <c r="C15" s="12">
        <v>0.2652777777777778</v>
      </c>
      <c r="D15" s="13">
        <v>0.2659722222222222</v>
      </c>
      <c r="E15" s="64">
        <v>75.0</v>
      </c>
      <c r="F15" s="65">
        <v>0.32083333333333336</v>
      </c>
      <c r="G15" s="66">
        <v>0.32083333333333336</v>
      </c>
      <c r="H15" s="11">
        <v>121.0</v>
      </c>
      <c r="I15" s="12">
        <v>0.4027777777777778</v>
      </c>
      <c r="J15" s="13">
        <v>0.40902777777777777</v>
      </c>
      <c r="K15" s="67">
        <v>124.0</v>
      </c>
      <c r="L15" s="12">
        <v>0.5020833333333333</v>
      </c>
      <c r="M15" s="13">
        <v>0.5097222222222222</v>
      </c>
      <c r="N15" s="67">
        <v>150.0</v>
      </c>
      <c r="O15" s="79">
        <v>0.09444444444444444</v>
      </c>
      <c r="P15" s="80">
        <v>0.10069444444444445</v>
      </c>
      <c r="Q15" s="67">
        <v>165.0</v>
      </c>
      <c r="R15" s="79">
        <v>0.19305555555555556</v>
      </c>
      <c r="S15" s="80">
        <v>0.21666666666666667</v>
      </c>
      <c r="T15" s="67">
        <v>176.0</v>
      </c>
      <c r="U15" s="79">
        <v>0.2708333333333333</v>
      </c>
      <c r="V15" s="80">
        <v>0.28125</v>
      </c>
    </row>
    <row r="16" ht="15.75" customHeight="1">
      <c r="A16" s="47">
        <v>518.0</v>
      </c>
      <c r="B16" s="11">
        <v>150.0</v>
      </c>
      <c r="C16" s="12">
        <v>0.2743055555555556</v>
      </c>
      <c r="D16" s="13">
        <v>0.275</v>
      </c>
      <c r="E16" s="64">
        <v>140.0</v>
      </c>
      <c r="F16" s="65">
        <v>0.33611111111111114</v>
      </c>
      <c r="G16" s="66">
        <v>0.33611111111111114</v>
      </c>
      <c r="H16" s="11">
        <v>135.0</v>
      </c>
      <c r="I16" s="12">
        <v>0.4083333333333333</v>
      </c>
      <c r="J16" s="13">
        <v>0.4166666666666667</v>
      </c>
      <c r="K16" s="67">
        <v>130.0</v>
      </c>
      <c r="L16" s="12">
        <v>0.5041666666666667</v>
      </c>
      <c r="M16" s="13">
        <v>0.5055555555555555</v>
      </c>
      <c r="N16" s="67">
        <v>119.0</v>
      </c>
      <c r="O16" s="79">
        <v>0.07916666666666666</v>
      </c>
      <c r="P16" s="80">
        <v>0.08125</v>
      </c>
      <c r="Q16" s="67">
        <v>109.0</v>
      </c>
      <c r="R16" s="79">
        <v>0.14791666666666667</v>
      </c>
      <c r="S16" s="80">
        <v>0.14930555555555555</v>
      </c>
      <c r="T16" s="67">
        <v>107.0</v>
      </c>
      <c r="U16" s="79">
        <v>0.19791666666666666</v>
      </c>
      <c r="V16" s="80">
        <v>0.2048611111111111</v>
      </c>
    </row>
    <row r="17" ht="15.75" customHeight="1">
      <c r="A17" s="47">
        <v>519.0</v>
      </c>
      <c r="B17" s="11">
        <v>133.0</v>
      </c>
      <c r="C17" s="12">
        <v>0.27152777777777776</v>
      </c>
      <c r="D17" s="13">
        <v>0.2722222222222222</v>
      </c>
      <c r="E17" s="64">
        <v>126.0</v>
      </c>
      <c r="F17" s="65">
        <v>0.33125</v>
      </c>
      <c r="G17" s="66">
        <v>0.33125</v>
      </c>
      <c r="H17" s="11">
        <v>96.0</v>
      </c>
      <c r="I17" s="12">
        <v>0.3958333333333333</v>
      </c>
      <c r="J17" s="13">
        <v>0.4013888888888889</v>
      </c>
      <c r="K17" s="67">
        <v>105.0</v>
      </c>
      <c r="L17" s="12">
        <v>0.49166666666666664</v>
      </c>
      <c r="M17" s="13">
        <v>0.49444444444444446</v>
      </c>
      <c r="N17" s="67">
        <v>100.0</v>
      </c>
      <c r="O17" s="79">
        <v>0.0625</v>
      </c>
      <c r="P17" s="80">
        <v>0.06458333333333334</v>
      </c>
      <c r="Q17" s="67">
        <v>97.0</v>
      </c>
      <c r="R17" s="79">
        <v>0.13055555555555556</v>
      </c>
      <c r="S17" s="80">
        <v>0.1326388888888889</v>
      </c>
      <c r="T17" s="67">
        <v>89.0</v>
      </c>
      <c r="U17" s="79">
        <v>0.1798611111111111</v>
      </c>
      <c r="V17" s="80">
        <v>0.19444444444444445</v>
      </c>
    </row>
    <row r="18" ht="15.75" customHeight="1">
      <c r="A18" s="47">
        <v>520.0</v>
      </c>
      <c r="B18" s="11">
        <v>136.0</v>
      </c>
      <c r="C18" s="12">
        <v>0.27152777777777776</v>
      </c>
      <c r="D18" s="13">
        <v>0.2722222222222222</v>
      </c>
      <c r="E18" s="64">
        <v>131.0</v>
      </c>
      <c r="F18" s="65">
        <v>0.3326388888888889</v>
      </c>
      <c r="G18" s="66">
        <v>0.3326388888888889</v>
      </c>
      <c r="H18" s="11">
        <v>161.0</v>
      </c>
      <c r="I18" s="12">
        <v>0.41597222222222224</v>
      </c>
      <c r="J18" s="13">
        <v>0.4326388888888889</v>
      </c>
      <c r="K18" s="67">
        <v>172.0</v>
      </c>
      <c r="L18" s="12">
        <v>0.5319444444444444</v>
      </c>
      <c r="M18" s="13">
        <v>0.5402777777777777</v>
      </c>
      <c r="N18" s="67">
        <v>179.0</v>
      </c>
      <c r="O18" s="79">
        <v>0.11875</v>
      </c>
      <c r="P18" s="80">
        <v>0.12361111111111112</v>
      </c>
      <c r="Q18" s="67">
        <v>170.0</v>
      </c>
      <c r="R18" s="79">
        <v>0.1986111111111111</v>
      </c>
      <c r="S18" s="80">
        <v>0.20069444444444445</v>
      </c>
      <c r="T18" s="67">
        <v>169.0</v>
      </c>
      <c r="U18" s="79">
        <v>0.25625</v>
      </c>
      <c r="V18" s="80">
        <v>0.27361111111111114</v>
      </c>
    </row>
    <row r="19" ht="15.75" customHeight="1">
      <c r="A19" s="47">
        <v>521.0</v>
      </c>
      <c r="B19" s="11">
        <v>132.0</v>
      </c>
      <c r="C19" s="12">
        <v>0.27152777777777776</v>
      </c>
      <c r="D19" s="13">
        <v>0.2722222222222222</v>
      </c>
      <c r="E19" s="64">
        <v>107.0</v>
      </c>
      <c r="F19" s="65">
        <v>0.32569444444444445</v>
      </c>
      <c r="G19" s="66">
        <v>0.32569444444444445</v>
      </c>
      <c r="H19" s="11">
        <v>101.0</v>
      </c>
      <c r="I19" s="12">
        <v>0.39652777777777776</v>
      </c>
      <c r="J19" s="13">
        <v>0.4041666666666667</v>
      </c>
      <c r="K19" s="67">
        <v>117.0</v>
      </c>
      <c r="L19" s="12">
        <v>0.5</v>
      </c>
      <c r="M19" s="13">
        <v>0.50625</v>
      </c>
      <c r="N19" s="67">
        <v>129.0</v>
      </c>
      <c r="O19" s="79">
        <v>0.0798611111111111</v>
      </c>
      <c r="P19" s="80">
        <v>0.08541666666666667</v>
      </c>
      <c r="Q19" s="67">
        <v>135.0</v>
      </c>
      <c r="R19" s="79">
        <v>0.16458333333333333</v>
      </c>
      <c r="S19" s="80">
        <v>0.17291666666666666</v>
      </c>
      <c r="T19" s="67">
        <v>147.0</v>
      </c>
      <c r="U19" s="79">
        <v>0.23125</v>
      </c>
      <c r="V19" s="80">
        <v>0.25833333333333336</v>
      </c>
    </row>
    <row r="20" ht="15.75" customHeight="1">
      <c r="A20" s="47">
        <v>522.0</v>
      </c>
      <c r="B20" s="11">
        <v>87.0</v>
      </c>
      <c r="C20" s="12">
        <v>0.26666666666666666</v>
      </c>
      <c r="D20" s="13">
        <v>0.2673611111111111</v>
      </c>
      <c r="E20" s="64">
        <v>91.0</v>
      </c>
      <c r="F20" s="65">
        <v>0.32430555555555557</v>
      </c>
      <c r="G20" s="66">
        <v>0.32430555555555557</v>
      </c>
      <c r="H20" s="11">
        <v>94.0</v>
      </c>
      <c r="I20" s="12">
        <v>0.39375</v>
      </c>
      <c r="J20" s="13">
        <v>0.39652777777777776</v>
      </c>
      <c r="K20" s="67">
        <v>87.0</v>
      </c>
      <c r="L20" s="12">
        <v>0.4826388888888889</v>
      </c>
      <c r="M20" s="13">
        <v>0.48541666666666666</v>
      </c>
      <c r="N20" s="67">
        <v>88.0</v>
      </c>
      <c r="O20" s="79">
        <v>0.05625</v>
      </c>
      <c r="P20" s="80">
        <v>0.058333333333333334</v>
      </c>
      <c r="Q20" s="67">
        <v>95.0</v>
      </c>
      <c r="R20" s="79">
        <v>0.12986111111111112</v>
      </c>
      <c r="S20" s="80">
        <v>0.1326388888888889</v>
      </c>
      <c r="T20" s="67">
        <v>92.0</v>
      </c>
      <c r="U20" s="79">
        <v>0.18055555555555555</v>
      </c>
      <c r="V20" s="80">
        <v>0.18611111111111112</v>
      </c>
    </row>
    <row r="21" ht="15.75" customHeight="1">
      <c r="A21" s="47">
        <v>523.0</v>
      </c>
      <c r="B21" s="11">
        <v>114.0</v>
      </c>
      <c r="C21" s="12">
        <v>0.26944444444444443</v>
      </c>
      <c r="D21" s="13">
        <v>0.2701388888888889</v>
      </c>
      <c r="E21" s="64">
        <v>99.0</v>
      </c>
      <c r="F21" s="65">
        <v>0.32569444444444445</v>
      </c>
      <c r="G21" s="66">
        <v>0.32569444444444445</v>
      </c>
      <c r="H21" s="11">
        <v>81.0</v>
      </c>
      <c r="I21" s="12">
        <v>0.38819444444444445</v>
      </c>
      <c r="J21" s="13">
        <v>0.39375</v>
      </c>
      <c r="K21" s="67">
        <v>70.0</v>
      </c>
      <c r="L21" s="12">
        <v>0.4722222222222222</v>
      </c>
      <c r="M21" s="13">
        <v>0.4736111111111111</v>
      </c>
      <c r="N21" s="67">
        <v>61.0</v>
      </c>
      <c r="O21" s="79">
        <v>0.51875</v>
      </c>
      <c r="P21" s="80">
        <v>0.5368055555555555</v>
      </c>
      <c r="Q21" s="67">
        <v>58.0</v>
      </c>
      <c r="R21" s="79">
        <v>0.09583333333333334</v>
      </c>
      <c r="S21" s="80">
        <v>0.1</v>
      </c>
      <c r="V21" s="72"/>
    </row>
    <row r="22" ht="15.75" customHeight="1">
      <c r="A22" s="47">
        <v>525.0</v>
      </c>
      <c r="B22" s="11">
        <v>115.0</v>
      </c>
      <c r="C22" s="12">
        <v>0.26944444444444443</v>
      </c>
      <c r="D22" s="13">
        <v>0.2701388888888889</v>
      </c>
      <c r="E22" s="64">
        <v>125.0</v>
      </c>
      <c r="F22" s="65">
        <v>0.33125</v>
      </c>
      <c r="G22" s="66">
        <v>0.33125</v>
      </c>
      <c r="H22" s="11">
        <v>129.0</v>
      </c>
      <c r="I22" s="12">
        <v>0.40555555555555556</v>
      </c>
      <c r="J22" s="13">
        <v>0.4083333333333333</v>
      </c>
      <c r="K22" s="67">
        <v>126.0</v>
      </c>
      <c r="L22" s="12">
        <v>0.5034722222222222</v>
      </c>
      <c r="M22" s="13">
        <v>0.50625</v>
      </c>
      <c r="N22" s="67">
        <v>138.0</v>
      </c>
      <c r="O22" s="81"/>
      <c r="P22" s="80">
        <v>0.0875</v>
      </c>
      <c r="Q22" s="67">
        <v>128.0</v>
      </c>
      <c r="R22" s="79">
        <v>0.15763888888888888</v>
      </c>
      <c r="S22" s="80">
        <v>0.16111111111111112</v>
      </c>
      <c r="T22" s="67">
        <v>131.0</v>
      </c>
      <c r="U22" s="79">
        <v>0.21666666666666667</v>
      </c>
      <c r="V22" s="80">
        <v>0.23472222222222222</v>
      </c>
    </row>
    <row r="23" ht="15.75" customHeight="1">
      <c r="A23" s="47">
        <v>527.0</v>
      </c>
      <c r="B23" s="11">
        <v>23.0</v>
      </c>
      <c r="C23" s="12">
        <v>0.25763888888888886</v>
      </c>
      <c r="D23" s="13">
        <v>0.25833333333333336</v>
      </c>
      <c r="E23" s="64">
        <v>21.0</v>
      </c>
      <c r="F23" s="65">
        <v>0.30625</v>
      </c>
      <c r="G23" s="66">
        <v>0.30625</v>
      </c>
      <c r="H23" s="11">
        <v>18.0</v>
      </c>
      <c r="I23" s="12">
        <v>0.3625</v>
      </c>
      <c r="J23" s="13">
        <v>0.3638888888888889</v>
      </c>
      <c r="K23" s="67">
        <v>18.0</v>
      </c>
      <c r="L23" s="12">
        <v>0.43472222222222223</v>
      </c>
      <c r="M23" s="13">
        <v>0.4361111111111111</v>
      </c>
      <c r="N23" s="67">
        <v>19.0</v>
      </c>
      <c r="O23" s="79">
        <v>0.49444444444444446</v>
      </c>
      <c r="P23" s="80">
        <v>0.49583333333333335</v>
      </c>
      <c r="Q23" s="67">
        <v>21.0</v>
      </c>
      <c r="R23" s="79">
        <v>0.05416666666666667</v>
      </c>
      <c r="S23" s="80">
        <v>0.05763888888888889</v>
      </c>
      <c r="T23" s="67">
        <v>22.0</v>
      </c>
      <c r="U23" s="79">
        <v>0.09930555555555555</v>
      </c>
      <c r="V23" s="80">
        <v>0.1111111111111111</v>
      </c>
    </row>
    <row r="24" ht="15.75" customHeight="1">
      <c r="A24" s="47">
        <v>528.0</v>
      </c>
      <c r="B24" s="11">
        <v>84.0</v>
      </c>
      <c r="C24" s="12">
        <v>0.2659722222222222</v>
      </c>
      <c r="D24" s="13">
        <v>0.26666666666666666</v>
      </c>
      <c r="E24" s="64">
        <v>97.0</v>
      </c>
      <c r="F24" s="65">
        <v>0.32430555555555557</v>
      </c>
      <c r="G24" s="66">
        <v>0.32430555555555557</v>
      </c>
      <c r="H24" s="11"/>
      <c r="I24" s="12"/>
      <c r="J24" s="38"/>
      <c r="K24" s="67">
        <v>90.0</v>
      </c>
      <c r="L24" s="12">
        <v>0.4840277777777778</v>
      </c>
      <c r="M24" s="13">
        <v>0.48680555555555555</v>
      </c>
      <c r="N24" s="67">
        <v>95.0</v>
      </c>
      <c r="O24" s="81"/>
      <c r="P24" s="80">
        <v>0.059722222222222225</v>
      </c>
      <c r="Q24" s="67">
        <v>94.0</v>
      </c>
      <c r="R24" s="79">
        <v>0.1284722222222222</v>
      </c>
      <c r="S24" s="80">
        <v>0.13125</v>
      </c>
      <c r="T24" s="67">
        <v>93.0</v>
      </c>
      <c r="U24" s="79">
        <v>0.18055555555555555</v>
      </c>
      <c r="V24" s="80">
        <v>0.19305555555555556</v>
      </c>
    </row>
    <row r="25" ht="15.75" customHeight="1">
      <c r="A25" s="47">
        <v>529.0</v>
      </c>
      <c r="B25" s="11">
        <v>71.0</v>
      </c>
      <c r="C25" s="12">
        <v>0.2638888888888889</v>
      </c>
      <c r="D25" s="13">
        <v>0.26458333333333334</v>
      </c>
      <c r="E25" s="64">
        <v>66.0</v>
      </c>
      <c r="F25" s="65">
        <v>0.31875</v>
      </c>
      <c r="G25" s="66">
        <v>0.31875</v>
      </c>
      <c r="H25" s="11">
        <v>58.0</v>
      </c>
      <c r="I25" s="12">
        <v>0.37916666666666665</v>
      </c>
      <c r="J25" s="13">
        <v>0.38125</v>
      </c>
      <c r="K25" s="67">
        <v>39.0</v>
      </c>
      <c r="L25" s="12">
        <v>0.45</v>
      </c>
      <c r="M25" s="13">
        <v>0.45069444444444445</v>
      </c>
      <c r="N25" s="67">
        <v>38.0</v>
      </c>
      <c r="O25" s="79">
        <v>0.5097222222222222</v>
      </c>
      <c r="P25" s="80">
        <v>0.5111111111111111</v>
      </c>
      <c r="Q25" s="67">
        <v>31.0</v>
      </c>
      <c r="R25" s="79">
        <v>0.06527777777777778</v>
      </c>
      <c r="S25" s="80">
        <v>0.06666666666666667</v>
      </c>
      <c r="T25" s="67">
        <v>29.0</v>
      </c>
      <c r="U25" s="79">
        <v>0.10277777777777777</v>
      </c>
      <c r="V25" s="80">
        <v>0.10625</v>
      </c>
    </row>
    <row r="26" ht="15.75" customHeight="1">
      <c r="A26" s="47">
        <v>530.0</v>
      </c>
      <c r="B26" s="11">
        <v>46.0</v>
      </c>
      <c r="C26" s="12">
        <v>0.2611111111111111</v>
      </c>
      <c r="D26" s="13">
        <v>0.26180555555555557</v>
      </c>
      <c r="E26" s="64">
        <v>41.0</v>
      </c>
      <c r="F26" s="65">
        <v>0.31319444444444444</v>
      </c>
      <c r="G26" s="66">
        <v>0.31319444444444444</v>
      </c>
      <c r="H26" s="11">
        <v>57.0</v>
      </c>
      <c r="I26" s="12">
        <v>0.3784722222222222</v>
      </c>
      <c r="J26" s="13">
        <v>0.38055555555555554</v>
      </c>
      <c r="K26" s="67">
        <v>49.0</v>
      </c>
      <c r="L26" s="12">
        <v>0.45694444444444443</v>
      </c>
      <c r="M26" s="13">
        <v>0.45902777777777776</v>
      </c>
      <c r="N26" s="67">
        <v>49.0</v>
      </c>
      <c r="O26" s="79">
        <v>0.5208333333333334</v>
      </c>
      <c r="P26" s="80">
        <v>0.5229166666666667</v>
      </c>
      <c r="Q26" s="67">
        <v>51.0</v>
      </c>
      <c r="R26" s="79">
        <v>0.0875</v>
      </c>
      <c r="S26" s="80">
        <v>0.08888888888888889</v>
      </c>
      <c r="T26" s="67">
        <v>49.0</v>
      </c>
      <c r="U26" s="79">
        <v>0.13055555555555556</v>
      </c>
      <c r="V26" s="80">
        <v>0.13402777777777777</v>
      </c>
    </row>
    <row r="27" ht="15.75" customHeight="1">
      <c r="A27" s="47">
        <v>531.0</v>
      </c>
      <c r="B27" s="11">
        <v>174.0</v>
      </c>
      <c r="C27" s="12">
        <v>0.275</v>
      </c>
      <c r="D27" s="13">
        <v>0.27569444444444446</v>
      </c>
      <c r="E27" s="64">
        <v>161.0</v>
      </c>
      <c r="F27" s="65">
        <v>0.3388888888888889</v>
      </c>
      <c r="G27" s="66">
        <v>0.3388888888888889</v>
      </c>
      <c r="H27" s="11">
        <v>153.0</v>
      </c>
      <c r="I27" s="12">
        <v>0.41388888888888886</v>
      </c>
      <c r="J27" s="13">
        <v>0.4222222222222222</v>
      </c>
      <c r="K27" s="67">
        <v>154.0</v>
      </c>
      <c r="L27" s="12">
        <v>0.5166666666666667</v>
      </c>
      <c r="M27" s="13">
        <v>0.5180555555555556</v>
      </c>
      <c r="N27" s="67">
        <v>157.0</v>
      </c>
      <c r="O27" s="79">
        <v>0.09861111111111111</v>
      </c>
      <c r="P27" s="80">
        <v>0.1076388888888889</v>
      </c>
      <c r="Q27" s="67">
        <v>161.0</v>
      </c>
      <c r="R27" s="79">
        <v>0.18611111111111112</v>
      </c>
      <c r="S27" s="80">
        <v>0.18958333333333333</v>
      </c>
      <c r="T27" s="67">
        <v>162.0</v>
      </c>
      <c r="U27" s="79">
        <v>0.24861111111111112</v>
      </c>
      <c r="V27" s="80">
        <v>0.27152777777777776</v>
      </c>
    </row>
    <row r="28" ht="15.75" customHeight="1">
      <c r="A28" s="47">
        <v>532.0</v>
      </c>
      <c r="B28" s="11">
        <v>163.0</v>
      </c>
      <c r="C28" s="12">
        <v>0.2743055555555556</v>
      </c>
      <c r="D28" s="13">
        <v>0.275</v>
      </c>
      <c r="E28" s="64">
        <v>166.0</v>
      </c>
      <c r="F28" s="65">
        <v>0.3388888888888889</v>
      </c>
      <c r="G28" s="66">
        <v>0.3388888888888889</v>
      </c>
      <c r="H28" s="11">
        <v>154.0</v>
      </c>
      <c r="I28" s="12">
        <v>0.41388888888888886</v>
      </c>
      <c r="J28" s="13">
        <v>0.4222222222222222</v>
      </c>
      <c r="K28" s="67">
        <v>151.0</v>
      </c>
      <c r="L28" s="12">
        <v>0.5145833333333333</v>
      </c>
      <c r="M28" s="13">
        <v>0.5180555555555556</v>
      </c>
      <c r="N28" s="67">
        <v>156.0</v>
      </c>
      <c r="O28" s="79">
        <v>0.09861111111111111</v>
      </c>
      <c r="P28" s="80">
        <v>0.1076388888888889</v>
      </c>
      <c r="Q28" s="67">
        <v>159.0</v>
      </c>
      <c r="R28" s="79">
        <v>0.18611111111111112</v>
      </c>
      <c r="S28" s="80">
        <v>0.18888888888888888</v>
      </c>
      <c r="T28" s="67">
        <v>161.0</v>
      </c>
      <c r="U28" s="79">
        <v>0.24861111111111112</v>
      </c>
      <c r="V28" s="80">
        <v>0.27152777777777776</v>
      </c>
    </row>
    <row r="29" ht="15.75" customHeight="1">
      <c r="A29" s="47">
        <v>534.0</v>
      </c>
      <c r="B29" s="11">
        <v>167.0</v>
      </c>
      <c r="C29" s="12">
        <v>0.2743055555555556</v>
      </c>
      <c r="D29" s="13">
        <v>0.275</v>
      </c>
      <c r="E29" s="64">
        <v>165.0</v>
      </c>
      <c r="F29" s="65">
        <v>0.3388888888888889</v>
      </c>
      <c r="G29" s="66">
        <v>0.3388888888888889</v>
      </c>
      <c r="H29" s="11">
        <v>152.0</v>
      </c>
      <c r="I29" s="12">
        <v>0.4131944444444444</v>
      </c>
      <c r="J29" s="13">
        <v>0.41944444444444445</v>
      </c>
      <c r="K29" s="67">
        <v>148.0</v>
      </c>
      <c r="L29" s="12">
        <v>0.5138888888888888</v>
      </c>
      <c r="M29" s="13">
        <v>0.5180555555555556</v>
      </c>
      <c r="N29" s="67">
        <v>146.0</v>
      </c>
      <c r="O29" s="79">
        <v>0.09166666666666666</v>
      </c>
      <c r="P29" s="80">
        <v>0.09513888888888888</v>
      </c>
      <c r="Q29" s="67">
        <v>144.0</v>
      </c>
      <c r="R29" s="79">
        <v>0.1673611111111111</v>
      </c>
      <c r="S29" s="80">
        <v>0.1701388888888889</v>
      </c>
      <c r="T29" s="67">
        <v>134.0</v>
      </c>
      <c r="U29" s="79">
        <v>0.21875</v>
      </c>
      <c r="V29" s="80">
        <v>0.23055555555555557</v>
      </c>
    </row>
    <row r="30" ht="15.75" customHeight="1">
      <c r="A30" s="47">
        <v>535.0</v>
      </c>
      <c r="B30" s="11">
        <v>52.0</v>
      </c>
      <c r="C30" s="12">
        <v>0.26319444444444445</v>
      </c>
      <c r="D30" s="13">
        <v>0.2638888888888889</v>
      </c>
      <c r="E30" s="64">
        <v>63.0</v>
      </c>
      <c r="F30" s="65">
        <v>0.31805555555555554</v>
      </c>
      <c r="G30" s="66">
        <v>0.31805555555555554</v>
      </c>
      <c r="H30" s="11">
        <v>79.0</v>
      </c>
      <c r="I30" s="12">
        <v>0.38819444444444445</v>
      </c>
      <c r="J30" s="13">
        <v>0.4</v>
      </c>
      <c r="K30" s="67">
        <v>101.0</v>
      </c>
      <c r="L30" s="12">
        <v>0.4888888888888889</v>
      </c>
      <c r="M30" s="13">
        <v>0.49583333333333335</v>
      </c>
      <c r="N30" s="67">
        <v>111.0</v>
      </c>
      <c r="O30" s="79">
        <v>0.07291666666666667</v>
      </c>
      <c r="P30" s="80">
        <v>0.08125</v>
      </c>
      <c r="Q30" s="67">
        <v>123.0</v>
      </c>
      <c r="R30" s="79">
        <v>0.15625</v>
      </c>
      <c r="S30" s="80">
        <v>0.1638888888888889</v>
      </c>
      <c r="T30" s="67">
        <v>132.0</v>
      </c>
      <c r="U30" s="79">
        <v>0.21736111111111112</v>
      </c>
      <c r="V30" s="80">
        <v>0.23055555555555557</v>
      </c>
    </row>
    <row r="31" ht="15.75" customHeight="1">
      <c r="A31" s="47">
        <v>536.0</v>
      </c>
      <c r="B31" s="11">
        <v>63.0</v>
      </c>
      <c r="C31" s="12">
        <v>0.26319444444444445</v>
      </c>
      <c r="D31" s="13">
        <v>0.2638888888888889</v>
      </c>
      <c r="E31" s="64">
        <v>53.0</v>
      </c>
      <c r="F31" s="65">
        <v>0.3145833333333333</v>
      </c>
      <c r="G31" s="66">
        <v>0.3145833333333333</v>
      </c>
      <c r="H31" s="11">
        <v>36.0</v>
      </c>
      <c r="I31" s="12">
        <v>0.37083333333333335</v>
      </c>
      <c r="J31" s="13">
        <v>0.3763888888888889</v>
      </c>
      <c r="K31" s="67">
        <v>30.0</v>
      </c>
      <c r="L31" s="12">
        <v>0.44583333333333336</v>
      </c>
      <c r="M31" s="13">
        <v>0.4479166666666667</v>
      </c>
      <c r="N31" s="67">
        <v>30.0</v>
      </c>
      <c r="O31" s="79">
        <v>0.5034722222222222</v>
      </c>
      <c r="P31" s="80">
        <v>0.50625</v>
      </c>
      <c r="Q31" s="67">
        <v>26.0</v>
      </c>
      <c r="R31" s="79">
        <v>0.06041666666666667</v>
      </c>
      <c r="S31" s="80">
        <v>0.0625</v>
      </c>
      <c r="T31" s="67">
        <v>24.0</v>
      </c>
      <c r="U31" s="79">
        <v>0.1</v>
      </c>
      <c r="V31" s="80">
        <v>0.11458333333333333</v>
      </c>
    </row>
    <row r="32" ht="15.75" customHeight="1">
      <c r="A32" s="47">
        <v>537.0</v>
      </c>
      <c r="B32" s="11">
        <v>1.0</v>
      </c>
      <c r="C32" s="12">
        <v>0.2513888888888889</v>
      </c>
      <c r="D32" s="13">
        <v>0.2520833333333333</v>
      </c>
      <c r="E32" s="64">
        <v>9.0</v>
      </c>
      <c r="F32" s="65">
        <v>0.29444444444444445</v>
      </c>
      <c r="G32" s="66">
        <v>0.29444444444444445</v>
      </c>
      <c r="H32" s="11">
        <v>3.0</v>
      </c>
      <c r="I32" s="12">
        <v>0.34097222222222223</v>
      </c>
      <c r="J32" s="13">
        <v>0.3423611111111111</v>
      </c>
      <c r="K32" s="67">
        <v>1.0</v>
      </c>
      <c r="L32" s="12">
        <v>0.3951388888888889</v>
      </c>
      <c r="M32" s="13">
        <v>0.3958333333333333</v>
      </c>
      <c r="N32" s="67">
        <v>1.0</v>
      </c>
      <c r="O32" s="79">
        <v>0.43680555555555556</v>
      </c>
      <c r="P32" s="80">
        <v>0.43680555555555556</v>
      </c>
      <c r="Q32" s="67">
        <v>1.0</v>
      </c>
      <c r="R32" s="79">
        <v>0.47708333333333336</v>
      </c>
      <c r="S32" s="80">
        <v>0.47847222222222224</v>
      </c>
      <c r="T32" s="67">
        <v>1.0</v>
      </c>
      <c r="U32" s="79">
        <v>0.5097222222222222</v>
      </c>
      <c r="V32" s="80">
        <v>0.5111111111111111</v>
      </c>
    </row>
    <row r="33" ht="15.75" customHeight="1">
      <c r="A33" s="47">
        <v>538.0</v>
      </c>
      <c r="B33" s="11">
        <v>122.0</v>
      </c>
      <c r="C33" s="12">
        <v>0.2701388888888889</v>
      </c>
      <c r="D33" s="13">
        <v>0.2708333333333333</v>
      </c>
      <c r="E33" s="64">
        <v>128.0</v>
      </c>
      <c r="F33" s="65">
        <v>0.33194444444444443</v>
      </c>
      <c r="G33" s="66">
        <v>0.33194444444444443</v>
      </c>
      <c r="H33" s="11">
        <v>136.0</v>
      </c>
      <c r="I33" s="12">
        <v>0.4083333333333333</v>
      </c>
      <c r="J33" s="13">
        <v>0.41597222222222224</v>
      </c>
      <c r="K33" s="67">
        <v>130.0</v>
      </c>
      <c r="L33" s="12">
        <v>0.5048611111111111</v>
      </c>
      <c r="M33" s="13">
        <v>0.5097222222222222</v>
      </c>
      <c r="N33" s="67">
        <v>123.0</v>
      </c>
      <c r="O33" s="79">
        <v>0.0798611111111111</v>
      </c>
      <c r="P33" s="80">
        <v>0.08333333333333333</v>
      </c>
      <c r="Q33" s="67">
        <v>119.0</v>
      </c>
      <c r="R33" s="79">
        <v>0.15347222222222223</v>
      </c>
      <c r="S33" s="80">
        <v>0.16041666666666668</v>
      </c>
      <c r="T33" s="67">
        <v>117.0</v>
      </c>
      <c r="U33" s="79">
        <v>0.20625</v>
      </c>
      <c r="V33" s="80">
        <v>0.21875</v>
      </c>
    </row>
    <row r="34" ht="15.75" customHeight="1">
      <c r="A34" s="47">
        <v>539.0</v>
      </c>
      <c r="B34" s="11">
        <v>182.0</v>
      </c>
      <c r="C34" s="12">
        <v>0.2777777777777778</v>
      </c>
      <c r="D34" s="13">
        <v>0.27847222222222223</v>
      </c>
      <c r="E34" s="64">
        <v>186.0</v>
      </c>
      <c r="F34" s="65">
        <v>0.3458333333333333</v>
      </c>
      <c r="G34" s="66">
        <v>0.3458333333333333</v>
      </c>
      <c r="H34" s="11">
        <v>177.0</v>
      </c>
      <c r="I34" s="12">
        <v>0.42430555555555555</v>
      </c>
      <c r="J34" s="13">
        <v>0.42986111111111114</v>
      </c>
      <c r="K34" s="67">
        <v>163.0</v>
      </c>
      <c r="L34" s="12">
        <v>0.5270833333333333</v>
      </c>
      <c r="M34" s="13">
        <v>0.5298611111111111</v>
      </c>
      <c r="N34" s="67">
        <v>171.0</v>
      </c>
      <c r="O34" s="79">
        <v>0.11319444444444444</v>
      </c>
      <c r="P34" s="80">
        <v>0.125</v>
      </c>
      <c r="Q34" s="67">
        <v>181.0</v>
      </c>
      <c r="R34" s="79">
        <v>0.21666666666666667</v>
      </c>
      <c r="S34" s="80">
        <v>0.22083333333333333</v>
      </c>
      <c r="T34" s="67">
        <v>189.0</v>
      </c>
      <c r="U34" s="79">
        <v>0.30625</v>
      </c>
      <c r="V34" s="80">
        <v>0.3277777777777778</v>
      </c>
    </row>
    <row r="35" ht="15.75" customHeight="1">
      <c r="A35" s="47">
        <v>540.0</v>
      </c>
      <c r="B35" s="11">
        <v>193.0</v>
      </c>
      <c r="C35" s="12">
        <v>0.28125</v>
      </c>
      <c r="D35" s="13">
        <v>0.28194444444444444</v>
      </c>
      <c r="E35" s="64">
        <v>191.0</v>
      </c>
      <c r="F35" s="65">
        <v>0.35347222222222224</v>
      </c>
      <c r="G35" s="66">
        <v>0.35347222222222224</v>
      </c>
      <c r="H35" s="11">
        <v>194.0</v>
      </c>
      <c r="I35" s="12">
        <v>0.44305555555555554</v>
      </c>
      <c r="J35" s="13">
        <v>0.45208333333333334</v>
      </c>
      <c r="K35" s="67">
        <v>188.0</v>
      </c>
      <c r="L35" s="12">
        <v>0.05763888888888889</v>
      </c>
      <c r="M35" s="13">
        <v>0.059722222222222225</v>
      </c>
      <c r="N35" s="67">
        <v>190.0</v>
      </c>
      <c r="O35" s="79">
        <v>0.1486111111111111</v>
      </c>
      <c r="P35" s="80">
        <v>0.15</v>
      </c>
      <c r="Q35" s="67">
        <v>185.0</v>
      </c>
      <c r="R35" s="79">
        <v>0.23055555555555557</v>
      </c>
      <c r="S35" s="80">
        <v>0.2326388888888889</v>
      </c>
      <c r="T35" s="67">
        <v>182.0</v>
      </c>
      <c r="U35" s="79">
        <v>0.2951388888888889</v>
      </c>
      <c r="V35" s="80">
        <v>0.3104166666666667</v>
      </c>
    </row>
    <row r="36" ht="15.75" customHeight="1">
      <c r="A36" s="47">
        <v>541.0</v>
      </c>
      <c r="B36" s="11">
        <v>155.0</v>
      </c>
      <c r="C36" s="12">
        <v>0.2743055555555556</v>
      </c>
      <c r="D36" s="13">
        <v>0.275</v>
      </c>
      <c r="E36" s="64">
        <v>157.0</v>
      </c>
      <c r="F36" s="65">
        <v>0.33819444444444446</v>
      </c>
      <c r="G36" s="66">
        <v>0.33819444444444446</v>
      </c>
      <c r="H36" s="11">
        <v>183.0</v>
      </c>
      <c r="I36" s="12">
        <v>0.42777777777777776</v>
      </c>
      <c r="J36" s="13">
        <v>0.4326388888888889</v>
      </c>
      <c r="K36" s="67">
        <v>187.0</v>
      </c>
      <c r="L36" s="12">
        <v>0.049305555555555554</v>
      </c>
      <c r="M36" s="13">
        <v>0.05277777777777778</v>
      </c>
      <c r="N36" s="67">
        <v>188.0</v>
      </c>
      <c r="O36" s="79">
        <v>0.1375</v>
      </c>
      <c r="P36" s="80">
        <v>0.14166666666666666</v>
      </c>
      <c r="Q36" s="67">
        <v>184.0</v>
      </c>
      <c r="R36" s="79">
        <v>0.22777777777777777</v>
      </c>
      <c r="S36" s="80">
        <v>0.23055555555555557</v>
      </c>
      <c r="T36" s="67">
        <v>185.0</v>
      </c>
      <c r="U36" s="79">
        <v>0.2972222222222222</v>
      </c>
      <c r="V36" s="72" t="s">
        <v>178</v>
      </c>
    </row>
    <row r="37" ht="15.75" customHeight="1">
      <c r="A37" s="47">
        <v>542.0</v>
      </c>
      <c r="B37" s="11">
        <v>145.0</v>
      </c>
      <c r="C37" s="12">
        <v>0.27152777777777776</v>
      </c>
      <c r="D37" s="13">
        <v>0.2722222222222222</v>
      </c>
      <c r="E37" s="64">
        <v>121.0</v>
      </c>
      <c r="F37" s="65">
        <v>0.33055555555555555</v>
      </c>
      <c r="G37" s="66">
        <v>0.33055555555555555</v>
      </c>
      <c r="H37" s="11">
        <v>114.0</v>
      </c>
      <c r="I37" s="12">
        <v>0.40069444444444446</v>
      </c>
      <c r="J37" s="13">
        <v>0.4097222222222222</v>
      </c>
      <c r="K37" s="67">
        <v>138.0</v>
      </c>
      <c r="L37" s="12">
        <v>0.5055555555555555</v>
      </c>
      <c r="M37" s="13">
        <v>0.5118055555555555</v>
      </c>
      <c r="N37" s="67">
        <v>152.0</v>
      </c>
      <c r="O37" s="79">
        <v>0.09444444444444444</v>
      </c>
      <c r="P37" s="80">
        <v>0.09930555555555555</v>
      </c>
      <c r="Q37" s="67">
        <v>148.0</v>
      </c>
      <c r="R37" s="79">
        <v>0.17708333333333334</v>
      </c>
      <c r="S37" s="80">
        <v>0.18680555555555556</v>
      </c>
      <c r="T37" s="67">
        <v>158.0</v>
      </c>
      <c r="U37" s="79">
        <v>0.24375</v>
      </c>
      <c r="V37" s="80">
        <v>0.26319444444444445</v>
      </c>
    </row>
    <row r="38" ht="15.75" customHeight="1">
      <c r="A38" s="47">
        <v>543.0</v>
      </c>
      <c r="B38" s="11">
        <v>26.0</v>
      </c>
      <c r="C38" s="12">
        <v>0.25972222222222224</v>
      </c>
      <c r="D38" s="13">
        <v>0.2604166666666667</v>
      </c>
      <c r="E38" s="64">
        <v>25.0</v>
      </c>
      <c r="F38" s="65">
        <v>0.30694444444444446</v>
      </c>
      <c r="G38" s="66">
        <v>0.30694444444444446</v>
      </c>
      <c r="H38" s="11">
        <v>24.0</v>
      </c>
      <c r="I38" s="12">
        <v>0.3638888888888889</v>
      </c>
      <c r="J38" s="13">
        <v>0.36736111111111114</v>
      </c>
      <c r="K38" s="67">
        <v>19.0</v>
      </c>
      <c r="L38" s="12">
        <v>0.4354166666666667</v>
      </c>
      <c r="M38" s="13">
        <v>0.4375</v>
      </c>
      <c r="N38" s="67">
        <v>16.0</v>
      </c>
      <c r="O38" s="79">
        <v>0.49236111111111114</v>
      </c>
      <c r="P38" s="80">
        <v>0.4951388888888889</v>
      </c>
      <c r="Q38" s="67">
        <v>16.0</v>
      </c>
      <c r="R38" s="79">
        <v>0.04861111111111111</v>
      </c>
      <c r="S38" s="80">
        <v>0.05138888888888889</v>
      </c>
      <c r="T38" s="67">
        <v>16.0</v>
      </c>
      <c r="U38" s="79">
        <v>0.09097222222222222</v>
      </c>
      <c r="V38" s="80">
        <v>0.10208333333333333</v>
      </c>
    </row>
    <row r="39" ht="15.75" customHeight="1">
      <c r="A39" s="47">
        <v>545.0</v>
      </c>
      <c r="B39" s="11">
        <v>143.0</v>
      </c>
      <c r="C39" s="12">
        <v>0.27152777777777776</v>
      </c>
      <c r="D39" s="13">
        <v>0.2722222222222222</v>
      </c>
      <c r="E39" s="64">
        <v>152.0</v>
      </c>
      <c r="F39" s="65">
        <v>0.3368055555555556</v>
      </c>
      <c r="G39" s="66">
        <v>0.3368055555555556</v>
      </c>
      <c r="H39" s="11"/>
      <c r="I39" s="12"/>
      <c r="J39" s="38"/>
      <c r="K39" s="67">
        <v>147.0</v>
      </c>
      <c r="L39" s="12">
        <v>0.5138888888888888</v>
      </c>
      <c r="M39" s="13">
        <v>0.5173611111111112</v>
      </c>
      <c r="N39" s="67">
        <v>145.0</v>
      </c>
      <c r="O39" s="79">
        <v>0.09166666666666666</v>
      </c>
      <c r="P39" s="80">
        <v>0.09513888888888888</v>
      </c>
      <c r="Q39" s="67">
        <v>143.0</v>
      </c>
      <c r="R39" s="79">
        <v>0.1673611111111111</v>
      </c>
      <c r="S39" s="80">
        <v>0.16944444444444445</v>
      </c>
      <c r="T39" s="67">
        <v>135.0</v>
      </c>
      <c r="U39" s="79">
        <v>0.21875</v>
      </c>
      <c r="V39" s="80">
        <v>0.2298611111111111</v>
      </c>
    </row>
    <row r="40" ht="15.75" customHeight="1">
      <c r="A40" s="47">
        <v>545.0</v>
      </c>
      <c r="B40" s="11">
        <v>166.0</v>
      </c>
      <c r="C40" s="12">
        <v>0.2743055555555556</v>
      </c>
      <c r="D40" s="13">
        <v>0.275</v>
      </c>
      <c r="E40" s="64">
        <v>160.0</v>
      </c>
      <c r="F40" s="65">
        <v>0.3388888888888889</v>
      </c>
      <c r="G40" s="66">
        <v>0.3388888888888889</v>
      </c>
      <c r="H40" s="11">
        <v>146.0</v>
      </c>
      <c r="I40" s="12">
        <v>0.4125</v>
      </c>
      <c r="J40" s="13">
        <v>0.42083333333333334</v>
      </c>
      <c r="M40" s="72"/>
      <c r="P40" s="72"/>
      <c r="S40" s="72"/>
      <c r="V40" s="72"/>
    </row>
    <row r="41" ht="15.75" customHeight="1">
      <c r="A41" s="47">
        <v>546.0</v>
      </c>
      <c r="B41" s="11">
        <v>100.0</v>
      </c>
      <c r="C41" s="12">
        <v>0.26805555555555555</v>
      </c>
      <c r="D41" s="13">
        <v>0.26875</v>
      </c>
      <c r="E41" s="64">
        <v>88.0</v>
      </c>
      <c r="F41" s="65">
        <v>0.32430555555555557</v>
      </c>
      <c r="G41" s="66">
        <v>0.32430555555555557</v>
      </c>
      <c r="H41" s="11">
        <v>84.0</v>
      </c>
      <c r="I41" s="12">
        <v>0.38819444444444445</v>
      </c>
      <c r="J41" s="13">
        <v>0.39166666666666666</v>
      </c>
      <c r="K41" s="67">
        <v>69.0</v>
      </c>
      <c r="L41" s="12">
        <v>0.4722222222222222</v>
      </c>
      <c r="M41" s="13">
        <v>0.4756944444444444</v>
      </c>
      <c r="N41" s="67">
        <v>65.0</v>
      </c>
      <c r="O41" s="79">
        <v>0.5388888888888889</v>
      </c>
      <c r="P41" s="80">
        <v>0.5409722222222222</v>
      </c>
      <c r="Q41" s="67">
        <v>66.0</v>
      </c>
      <c r="R41" s="79">
        <v>0.10625</v>
      </c>
      <c r="S41" s="80">
        <v>0.10833333333333334</v>
      </c>
      <c r="T41" s="67">
        <v>71.0</v>
      </c>
      <c r="U41" s="79">
        <v>0.16319444444444445</v>
      </c>
      <c r="V41" s="80">
        <v>0.17083333333333334</v>
      </c>
    </row>
    <row r="42" ht="15.75" customHeight="1">
      <c r="A42" s="47">
        <v>547.0</v>
      </c>
      <c r="B42" s="11">
        <v>107.0</v>
      </c>
      <c r="C42" s="12">
        <v>0.26944444444444443</v>
      </c>
      <c r="D42" s="13">
        <v>0.2701388888888889</v>
      </c>
      <c r="E42" s="64">
        <v>103.0</v>
      </c>
      <c r="F42" s="65">
        <v>0.32569444444444445</v>
      </c>
      <c r="G42" s="66">
        <v>0.32569444444444445</v>
      </c>
      <c r="H42" s="11">
        <v>102.0</v>
      </c>
      <c r="I42" s="12">
        <v>0.39652777777777776</v>
      </c>
      <c r="J42" s="13">
        <v>0.40208333333333335</v>
      </c>
      <c r="K42" s="67">
        <v>97.0</v>
      </c>
      <c r="L42" s="12">
        <v>0.48541666666666666</v>
      </c>
      <c r="M42" s="13">
        <v>0.4888888888888889</v>
      </c>
      <c r="N42" s="67">
        <v>86.0</v>
      </c>
      <c r="O42" s="79">
        <v>0.05486111111111111</v>
      </c>
      <c r="P42" s="80">
        <v>0.05694444444444444</v>
      </c>
      <c r="Q42" s="67">
        <v>85.0</v>
      </c>
      <c r="R42" s="79">
        <v>0.125</v>
      </c>
      <c r="S42" s="80">
        <v>0.12708333333333333</v>
      </c>
      <c r="T42" s="67">
        <v>91.0</v>
      </c>
      <c r="U42" s="79">
        <v>0.1798611111111111</v>
      </c>
      <c r="V42" s="80">
        <v>0.18680555555555556</v>
      </c>
    </row>
    <row r="43" ht="15.75" customHeight="1">
      <c r="A43" s="47">
        <v>548.0</v>
      </c>
      <c r="B43" s="11"/>
      <c r="C43" s="12"/>
      <c r="D43" s="13"/>
      <c r="E43" s="64"/>
      <c r="F43" s="65"/>
      <c r="G43" s="66"/>
      <c r="H43" s="11">
        <v>130.0</v>
      </c>
      <c r="I43" s="12">
        <v>0.40555555555555556</v>
      </c>
      <c r="J43" s="13">
        <v>0.4097222222222222</v>
      </c>
      <c r="K43" s="67">
        <v>123.0</v>
      </c>
      <c r="L43" s="12">
        <v>0.5013888888888889</v>
      </c>
      <c r="M43" s="13">
        <v>0.5055555555555555</v>
      </c>
      <c r="N43" s="67">
        <v>117.0</v>
      </c>
      <c r="O43" s="79">
        <v>0.07847222222222222</v>
      </c>
      <c r="P43" s="82"/>
      <c r="Q43" s="67">
        <v>122.0</v>
      </c>
      <c r="R43" s="79">
        <v>0.15625</v>
      </c>
      <c r="S43" s="80">
        <v>0.1597222222222222</v>
      </c>
      <c r="T43" s="67">
        <v>126.0</v>
      </c>
      <c r="U43" s="79">
        <v>0.2111111111111111</v>
      </c>
      <c r="V43" s="80">
        <v>0.21805555555555556</v>
      </c>
    </row>
    <row r="44" ht="15.75" customHeight="1">
      <c r="A44" s="47">
        <v>548.0</v>
      </c>
      <c r="B44" s="11"/>
      <c r="C44" s="12"/>
      <c r="D44" s="13"/>
      <c r="E44" s="64"/>
      <c r="F44" s="65"/>
      <c r="G44" s="66"/>
      <c r="H44" s="11"/>
      <c r="I44" s="12"/>
      <c r="J44" s="13"/>
      <c r="K44" s="67"/>
      <c r="L44" s="12"/>
      <c r="M44" s="13"/>
      <c r="N44" s="67">
        <v>136.0</v>
      </c>
      <c r="O44" s="79">
        <v>0.08125</v>
      </c>
      <c r="P44" s="80">
        <v>0.08333333333333333</v>
      </c>
      <c r="S44" s="72"/>
      <c r="V44" s="72"/>
    </row>
    <row r="45" ht="15.75" customHeight="1">
      <c r="A45" s="47">
        <v>549.0</v>
      </c>
      <c r="B45" s="11">
        <v>106.0</v>
      </c>
      <c r="C45" s="12">
        <v>0.26944444444444443</v>
      </c>
      <c r="D45" s="13">
        <v>0.2701388888888889</v>
      </c>
      <c r="E45" s="64">
        <v>113.0</v>
      </c>
      <c r="F45" s="65">
        <v>0.32569444444444445</v>
      </c>
      <c r="G45" s="66">
        <v>0.32569444444444445</v>
      </c>
      <c r="H45" s="11">
        <v>104.0</v>
      </c>
      <c r="I45" s="12">
        <v>0.3972222222222222</v>
      </c>
      <c r="J45" s="13">
        <v>0.40208333333333335</v>
      </c>
      <c r="K45" s="67">
        <v>96.0</v>
      </c>
      <c r="L45" s="12">
        <v>0.48541666666666666</v>
      </c>
      <c r="M45" s="13">
        <v>0.4888888888888889</v>
      </c>
      <c r="N45" s="67">
        <v>87.0</v>
      </c>
      <c r="O45" s="79">
        <v>0.05486111111111111</v>
      </c>
      <c r="P45" s="80">
        <v>0.05694444444444444</v>
      </c>
      <c r="Q45" s="67">
        <v>84.0</v>
      </c>
      <c r="R45" s="79">
        <v>0.12430555555555556</v>
      </c>
      <c r="S45" s="80">
        <v>0.12708333333333333</v>
      </c>
      <c r="T45" s="67">
        <v>90.0</v>
      </c>
      <c r="U45" s="79">
        <v>0.1798611111111111</v>
      </c>
      <c r="V45" s="80">
        <v>0.18680555555555556</v>
      </c>
    </row>
    <row r="46" ht="15.75" customHeight="1">
      <c r="A46" s="47">
        <v>550.0</v>
      </c>
      <c r="B46" s="11">
        <v>76.0</v>
      </c>
      <c r="C46" s="12">
        <v>0.2659722222222222</v>
      </c>
      <c r="D46" s="13">
        <v>0.26666666666666666</v>
      </c>
      <c r="E46" s="64">
        <v>76.0</v>
      </c>
      <c r="F46" s="65">
        <v>0.32083333333333336</v>
      </c>
      <c r="G46" s="66">
        <v>0.32083333333333336</v>
      </c>
      <c r="H46" s="11">
        <v>82.0</v>
      </c>
      <c r="I46" s="12">
        <v>0.38819444444444445</v>
      </c>
      <c r="J46" s="13">
        <v>0.39652777777777776</v>
      </c>
      <c r="K46" s="67">
        <v>81.0</v>
      </c>
      <c r="L46" s="12">
        <v>0.47847222222222224</v>
      </c>
      <c r="M46" s="13">
        <v>0.48055555555555557</v>
      </c>
      <c r="N46" s="67">
        <v>76.0</v>
      </c>
      <c r="O46" s="79">
        <v>0.04513888888888889</v>
      </c>
      <c r="P46" s="80">
        <v>0.05416666666666667</v>
      </c>
      <c r="Q46" s="67">
        <v>78.0</v>
      </c>
      <c r="R46" s="79">
        <v>0.11666666666666667</v>
      </c>
      <c r="S46" s="72">
        <v>2.52</v>
      </c>
      <c r="T46" s="67">
        <v>70.0</v>
      </c>
      <c r="U46" s="79">
        <v>0.1625</v>
      </c>
      <c r="V46" s="80">
        <v>0.17083333333333334</v>
      </c>
    </row>
    <row r="47" ht="15.75" customHeight="1">
      <c r="A47" s="47">
        <v>552.0</v>
      </c>
      <c r="B47" s="11">
        <v>81.0</v>
      </c>
      <c r="C47" s="12">
        <v>0.2659722222222222</v>
      </c>
      <c r="D47" s="13">
        <v>0.26666666666666666</v>
      </c>
      <c r="E47" s="64">
        <v>90.0</v>
      </c>
      <c r="F47" s="65">
        <v>0.32430555555555557</v>
      </c>
      <c r="G47" s="66">
        <v>0.32430555555555557</v>
      </c>
      <c r="H47" s="11">
        <v>124.0</v>
      </c>
      <c r="I47" s="12">
        <v>0.4041666666666667</v>
      </c>
      <c r="J47" s="38" t="s">
        <v>178</v>
      </c>
      <c r="M47" s="72"/>
      <c r="P47" s="72"/>
      <c r="S47" s="72"/>
      <c r="V47" s="72"/>
    </row>
    <row r="48" ht="15.75" customHeight="1">
      <c r="A48" s="47">
        <v>553.0</v>
      </c>
      <c r="B48" s="11">
        <v>93.0</v>
      </c>
      <c r="C48" s="12">
        <v>0.2673611111111111</v>
      </c>
      <c r="D48" s="13">
        <v>0.26805555555555555</v>
      </c>
      <c r="E48" s="64">
        <v>95.0</v>
      </c>
      <c r="F48" s="65">
        <v>0.32430555555555557</v>
      </c>
      <c r="G48" s="66">
        <v>0.32430555555555557</v>
      </c>
      <c r="H48" s="11">
        <v>98.0</v>
      </c>
      <c r="I48" s="12">
        <v>0.3958333333333333</v>
      </c>
      <c r="J48" s="12">
        <v>0.4</v>
      </c>
      <c r="K48" s="67">
        <v>93.0</v>
      </c>
      <c r="L48" s="12">
        <v>0.4847222222222222</v>
      </c>
      <c r="M48" s="13">
        <v>0.4888888888888889</v>
      </c>
      <c r="N48" s="67">
        <v>91.0</v>
      </c>
      <c r="O48" s="79">
        <v>0.05555555555555555</v>
      </c>
      <c r="P48" s="80">
        <v>0.06041666666666667</v>
      </c>
      <c r="Q48" s="67">
        <v>88.0</v>
      </c>
      <c r="R48" s="79">
        <v>0.125</v>
      </c>
      <c r="S48" s="80">
        <v>0.12986111111111112</v>
      </c>
      <c r="T48" s="67">
        <v>84.0</v>
      </c>
      <c r="U48" s="79">
        <v>0.17430555555555555</v>
      </c>
      <c r="V48" s="80">
        <v>0.18611111111111112</v>
      </c>
    </row>
    <row r="49" ht="15.75" customHeight="1">
      <c r="A49" s="47">
        <v>554.0</v>
      </c>
      <c r="B49" s="11">
        <v>164.0</v>
      </c>
      <c r="C49" s="12">
        <v>0.2743055555555556</v>
      </c>
      <c r="D49" s="13">
        <v>0.275</v>
      </c>
      <c r="E49" s="64">
        <v>177.0</v>
      </c>
      <c r="F49" s="65">
        <v>0.34375</v>
      </c>
      <c r="G49" s="66">
        <v>0.34375</v>
      </c>
      <c r="H49" s="11">
        <v>171.0</v>
      </c>
      <c r="I49" s="12">
        <v>0.4222222222222222</v>
      </c>
      <c r="J49" s="13">
        <v>0.4284722222222222</v>
      </c>
      <c r="K49" s="67">
        <v>157.0</v>
      </c>
      <c r="L49" s="12">
        <v>0.5194444444444445</v>
      </c>
      <c r="M49" s="13">
        <v>0.5236111111111111</v>
      </c>
      <c r="N49" s="67">
        <v>151.0</v>
      </c>
      <c r="O49" s="79">
        <v>0.09444444444444444</v>
      </c>
      <c r="P49" s="80">
        <v>0.1</v>
      </c>
      <c r="Q49" s="67">
        <v>141.0</v>
      </c>
      <c r="R49" s="79">
        <v>0.1673611111111111</v>
      </c>
      <c r="S49" s="80">
        <v>0.17083333333333334</v>
      </c>
      <c r="T49" s="67">
        <v>139.0</v>
      </c>
      <c r="U49" s="79">
        <v>0.22083333333333333</v>
      </c>
      <c r="V49" s="80">
        <v>0.23055555555555557</v>
      </c>
    </row>
    <row r="50" ht="15.75" customHeight="1">
      <c r="A50" s="47">
        <v>556.0</v>
      </c>
      <c r="B50" s="11">
        <v>40.0</v>
      </c>
      <c r="C50" s="12">
        <v>0.2604166666666667</v>
      </c>
      <c r="D50" s="13">
        <v>0.26180555555555557</v>
      </c>
      <c r="E50" s="64">
        <v>35.0</v>
      </c>
      <c r="F50" s="65">
        <v>0.31180555555555556</v>
      </c>
      <c r="G50" s="66">
        <v>0.31180555555555556</v>
      </c>
      <c r="H50" s="11">
        <v>56.0</v>
      </c>
      <c r="I50" s="12">
        <v>0.3770833333333333</v>
      </c>
      <c r="J50" s="13">
        <v>0.38263888888888886</v>
      </c>
      <c r="K50" s="67">
        <v>76.0</v>
      </c>
      <c r="L50" s="12">
        <v>0.47430555555555554</v>
      </c>
      <c r="M50" s="13">
        <v>0.47638888888888886</v>
      </c>
      <c r="N50" s="67">
        <v>80.0</v>
      </c>
      <c r="O50" s="79">
        <v>0.05</v>
      </c>
      <c r="P50" s="80">
        <v>0.052083333333333336</v>
      </c>
      <c r="Q50" s="67">
        <v>92.0</v>
      </c>
      <c r="R50" s="79">
        <v>0.1284722222222222</v>
      </c>
      <c r="S50" s="80">
        <v>0.13055555555555556</v>
      </c>
      <c r="T50" s="67">
        <v>101.0</v>
      </c>
      <c r="U50" s="79">
        <v>0.19305555555555556</v>
      </c>
      <c r="V50" s="80">
        <v>0.20555555555555555</v>
      </c>
    </row>
    <row r="51" ht="15.75" customHeight="1">
      <c r="A51" s="47">
        <v>557.0</v>
      </c>
      <c r="B51" s="11">
        <v>142.0</v>
      </c>
      <c r="C51" s="12">
        <v>0.27152777777777776</v>
      </c>
      <c r="D51" s="13">
        <v>0.2722222222222222</v>
      </c>
      <c r="E51" s="64">
        <v>158.0</v>
      </c>
      <c r="F51" s="65">
        <v>0.33819444444444446</v>
      </c>
      <c r="G51" s="66">
        <v>0.33819444444444446</v>
      </c>
      <c r="H51" s="11">
        <v>166.0</v>
      </c>
      <c r="I51" s="12">
        <v>0.42083333333333334</v>
      </c>
      <c r="J51" s="38" t="s">
        <v>178</v>
      </c>
      <c r="M51" s="72"/>
      <c r="P51" s="72"/>
      <c r="S51" s="72"/>
      <c r="V51" s="72"/>
    </row>
    <row r="52" ht="15.75" customHeight="1">
      <c r="A52" s="47">
        <v>558.0</v>
      </c>
      <c r="B52" s="11">
        <v>156.0</v>
      </c>
      <c r="C52" s="12">
        <v>0.2743055555555556</v>
      </c>
      <c r="D52" s="13">
        <v>0.275</v>
      </c>
      <c r="E52" s="64">
        <v>171.0</v>
      </c>
      <c r="F52" s="65">
        <v>0.3388888888888889</v>
      </c>
      <c r="G52" s="66">
        <v>0.3388888888888889</v>
      </c>
      <c r="H52" s="11">
        <v>184.0</v>
      </c>
      <c r="I52" s="12">
        <v>0.42777777777777776</v>
      </c>
      <c r="J52" s="13">
        <v>0.43333333333333335</v>
      </c>
      <c r="K52" s="67">
        <v>177.0</v>
      </c>
      <c r="L52" s="12">
        <v>0.5368055555555555</v>
      </c>
      <c r="M52" s="13">
        <v>0.04236111111111111</v>
      </c>
      <c r="N52" s="67">
        <v>180.0</v>
      </c>
      <c r="O52" s="79">
        <v>0.12152777777777778</v>
      </c>
      <c r="P52" s="80">
        <v>0.12361111111111112</v>
      </c>
      <c r="Q52" s="67">
        <v>180.0</v>
      </c>
      <c r="R52" s="79">
        <v>0.2111111111111111</v>
      </c>
      <c r="S52" s="80">
        <v>0.21319444444444444</v>
      </c>
      <c r="T52" s="67">
        <v>174.0</v>
      </c>
      <c r="U52" s="79">
        <v>0.2673611111111111</v>
      </c>
      <c r="V52" s="72" t="s">
        <v>178</v>
      </c>
    </row>
    <row r="53" ht="15.75" customHeight="1">
      <c r="A53" s="47">
        <v>559.0</v>
      </c>
      <c r="B53" s="11">
        <v>176.0</v>
      </c>
      <c r="C53" s="12">
        <v>0.275</v>
      </c>
      <c r="D53" s="13">
        <v>0.27569444444444446</v>
      </c>
      <c r="E53" s="64">
        <v>139.0</v>
      </c>
      <c r="F53" s="65">
        <v>0.33402777777777776</v>
      </c>
      <c r="G53" s="66">
        <v>0.33402777777777776</v>
      </c>
      <c r="H53" s="11">
        <v>112.0</v>
      </c>
      <c r="I53" s="12">
        <v>0.40069444444444446</v>
      </c>
      <c r="J53" s="13">
        <v>0.41180555555555554</v>
      </c>
      <c r="K53" s="67">
        <v>108.0</v>
      </c>
      <c r="L53" s="12">
        <v>0.49444444444444446</v>
      </c>
      <c r="M53" s="13">
        <v>0.4986111111111111</v>
      </c>
      <c r="N53" s="67">
        <v>108.0</v>
      </c>
      <c r="O53" s="79">
        <v>0.06944444444444445</v>
      </c>
      <c r="P53" s="80">
        <v>0.07361111111111111</v>
      </c>
      <c r="Q53" s="67">
        <v>102.0</v>
      </c>
      <c r="R53" s="79">
        <v>0.1375</v>
      </c>
      <c r="S53" s="80">
        <v>0.14166666666666666</v>
      </c>
      <c r="T53" s="67">
        <v>98.0</v>
      </c>
      <c r="U53" s="79">
        <v>0.18611111111111112</v>
      </c>
      <c r="V53" s="80">
        <v>0.19652777777777777</v>
      </c>
    </row>
    <row r="54" ht="15.75" customHeight="1">
      <c r="A54" s="47">
        <v>561.0</v>
      </c>
      <c r="B54" s="11">
        <v>36.0</v>
      </c>
      <c r="C54" s="12">
        <v>0.2604166666666667</v>
      </c>
      <c r="D54" s="13">
        <v>0.26180555555555557</v>
      </c>
      <c r="E54" s="64">
        <v>36.0</v>
      </c>
      <c r="F54" s="65">
        <v>0.31180555555555556</v>
      </c>
      <c r="G54" s="66">
        <v>0.31180555555555556</v>
      </c>
      <c r="H54" s="11">
        <v>38.0</v>
      </c>
      <c r="I54" s="12">
        <v>0.3715277777777778</v>
      </c>
      <c r="J54" s="13">
        <v>0.3770833333333333</v>
      </c>
      <c r="K54" s="67">
        <v>31.0</v>
      </c>
      <c r="L54" s="12">
        <v>0.44583333333333336</v>
      </c>
      <c r="M54" s="13">
        <v>0.44722222222222224</v>
      </c>
      <c r="N54" s="67">
        <v>31.0</v>
      </c>
      <c r="O54" s="79">
        <v>0.5034722222222222</v>
      </c>
      <c r="P54" s="80">
        <v>0.5048611111111111</v>
      </c>
      <c r="Q54" s="67">
        <v>29.0</v>
      </c>
      <c r="R54" s="79">
        <v>0.06388888888888888</v>
      </c>
      <c r="S54" s="80">
        <v>0.06597222222222222</v>
      </c>
      <c r="T54" s="67">
        <v>31.0</v>
      </c>
      <c r="U54" s="79">
        <v>0.10625</v>
      </c>
      <c r="V54" s="80">
        <v>0.11041666666666666</v>
      </c>
    </row>
    <row r="55" ht="15.75" customHeight="1">
      <c r="A55" s="47">
        <v>562.0</v>
      </c>
      <c r="B55" s="11">
        <v>42.0</v>
      </c>
      <c r="C55" s="12">
        <v>0.2604166666666667</v>
      </c>
      <c r="D55" s="13">
        <v>0.26180555555555557</v>
      </c>
      <c r="E55" s="64">
        <v>40.0</v>
      </c>
      <c r="F55" s="65">
        <v>0.31319444444444444</v>
      </c>
      <c r="G55" s="66">
        <v>0.31319444444444444</v>
      </c>
      <c r="H55" s="11">
        <v>49.0</v>
      </c>
      <c r="I55" s="12">
        <v>0.375</v>
      </c>
      <c r="J55" s="13">
        <v>0.3819444444444444</v>
      </c>
      <c r="K55" s="67">
        <v>46.0</v>
      </c>
      <c r="L55" s="12">
        <v>0.45416666666666666</v>
      </c>
      <c r="M55" s="13">
        <v>0.45555555555555555</v>
      </c>
      <c r="N55" s="67">
        <v>46.0</v>
      </c>
      <c r="O55" s="79">
        <v>0.5131944444444444</v>
      </c>
      <c r="P55" s="80">
        <v>0.5201388888888889</v>
      </c>
      <c r="Q55" s="67">
        <v>45.0</v>
      </c>
      <c r="R55" s="79">
        <v>0.07847222222222222</v>
      </c>
      <c r="S55" s="80">
        <v>0.08055555555555556</v>
      </c>
      <c r="T55" s="67">
        <v>44.0</v>
      </c>
      <c r="U55" s="79">
        <v>0.12083333333333333</v>
      </c>
      <c r="V55" s="80">
        <v>0.12777777777777777</v>
      </c>
    </row>
    <row r="56" ht="15.75" customHeight="1">
      <c r="A56" s="47">
        <v>563.0</v>
      </c>
      <c r="B56" s="11">
        <v>7.0</v>
      </c>
      <c r="C56" s="12">
        <v>0.2520833333333333</v>
      </c>
      <c r="D56" s="13">
        <v>0.25277777777777777</v>
      </c>
      <c r="E56" s="64">
        <v>4.0</v>
      </c>
      <c r="F56" s="65">
        <v>0.2923611111111111</v>
      </c>
      <c r="G56" s="66">
        <v>0.2923611111111111</v>
      </c>
      <c r="H56" s="11">
        <v>7.0</v>
      </c>
      <c r="I56" s="12">
        <v>0.3458333333333333</v>
      </c>
      <c r="J56" s="13">
        <v>0.34791666666666665</v>
      </c>
      <c r="K56" s="67">
        <v>6.0</v>
      </c>
      <c r="L56" s="12">
        <v>0.41597222222222224</v>
      </c>
      <c r="M56" s="13">
        <v>0.4166666666666667</v>
      </c>
      <c r="N56" s="67">
        <v>6.0</v>
      </c>
      <c r="O56" s="79">
        <v>0.4708333333333333</v>
      </c>
      <c r="P56" s="80">
        <v>0.4722222222222222</v>
      </c>
      <c r="Q56" s="67">
        <v>5.0</v>
      </c>
      <c r="R56" s="79">
        <v>0.5180555555555556</v>
      </c>
      <c r="S56" s="80">
        <v>0.5194444444444445</v>
      </c>
      <c r="T56" s="67">
        <v>6.0</v>
      </c>
      <c r="U56" s="79">
        <v>0.05277777777777778</v>
      </c>
      <c r="V56" s="82"/>
    </row>
    <row r="57" ht="15.75" customHeight="1">
      <c r="A57" s="47">
        <v>564.0</v>
      </c>
      <c r="B57" s="11">
        <v>61.0</v>
      </c>
      <c r="C57" s="12">
        <v>0.26319444444444445</v>
      </c>
      <c r="D57" s="13">
        <v>0.2638888888888889</v>
      </c>
      <c r="E57" s="64">
        <v>47.0</v>
      </c>
      <c r="F57" s="65">
        <v>0.3138888888888889</v>
      </c>
      <c r="G57" s="66">
        <v>0.3138888888888889</v>
      </c>
      <c r="H57" s="11">
        <v>51.0</v>
      </c>
      <c r="I57" s="12">
        <v>0.3763888888888889</v>
      </c>
      <c r="J57" s="13">
        <v>0.38055555555555554</v>
      </c>
      <c r="K57" s="67">
        <v>47.0</v>
      </c>
      <c r="L57" s="12">
        <v>0.45555555555555555</v>
      </c>
      <c r="M57" s="13">
        <v>0.4576388888888889</v>
      </c>
      <c r="N57" s="67">
        <v>48.0</v>
      </c>
      <c r="O57" s="79">
        <v>0.5194444444444445</v>
      </c>
      <c r="P57" s="80">
        <v>0.5243055555555556</v>
      </c>
      <c r="Q57" s="67">
        <v>48.0</v>
      </c>
      <c r="R57" s="79">
        <v>0.08472222222222223</v>
      </c>
      <c r="S57" s="80">
        <v>0.0875</v>
      </c>
      <c r="T57" s="67">
        <v>59.0</v>
      </c>
      <c r="U57" s="79">
        <v>0.1423611111111111</v>
      </c>
      <c r="V57" s="80">
        <v>0.15138888888888888</v>
      </c>
    </row>
    <row r="58" ht="15.75" customHeight="1">
      <c r="A58" s="47">
        <v>565.0</v>
      </c>
      <c r="B58" s="11"/>
      <c r="C58" s="12"/>
      <c r="D58" s="13"/>
      <c r="E58" s="64"/>
      <c r="F58" s="65"/>
      <c r="G58" s="66"/>
      <c r="H58" s="11">
        <v>12.0</v>
      </c>
      <c r="I58" s="18" t="s">
        <v>105</v>
      </c>
      <c r="J58" s="13">
        <v>0.3541666666666667</v>
      </c>
      <c r="K58" s="67">
        <v>11.0</v>
      </c>
      <c r="L58" s="12">
        <v>0.42083333333333334</v>
      </c>
      <c r="M58" s="13">
        <v>0.42291666666666666</v>
      </c>
      <c r="N58" s="67">
        <v>10.0</v>
      </c>
      <c r="O58" s="79">
        <v>0.475</v>
      </c>
      <c r="P58" s="80">
        <v>0.4777777777777778</v>
      </c>
      <c r="Q58" s="67">
        <v>9.0</v>
      </c>
      <c r="R58" s="79">
        <v>0.5305555555555556</v>
      </c>
      <c r="S58" s="80">
        <v>0.5333333333333333</v>
      </c>
      <c r="T58" s="67">
        <v>11.0</v>
      </c>
      <c r="U58" s="79">
        <v>0.07430555555555556</v>
      </c>
      <c r="V58" s="80">
        <v>0.08680555555555555</v>
      </c>
    </row>
    <row r="59" ht="15.75" customHeight="1">
      <c r="A59" s="47">
        <v>566.0</v>
      </c>
      <c r="B59" s="11">
        <v>20.0</v>
      </c>
      <c r="C59" s="12">
        <v>0.25763888888888886</v>
      </c>
      <c r="D59" s="13">
        <v>0.25833333333333336</v>
      </c>
      <c r="E59" s="64">
        <v>16.0</v>
      </c>
      <c r="F59" s="65">
        <v>0.3020833333333333</v>
      </c>
      <c r="G59" s="66">
        <v>0.3020833333333333</v>
      </c>
      <c r="H59" s="11">
        <v>75.0</v>
      </c>
      <c r="I59" s="12">
        <v>0.38819444444444445</v>
      </c>
      <c r="J59" s="13">
        <v>0.39305555555555555</v>
      </c>
      <c r="K59" s="67">
        <v>99.0</v>
      </c>
      <c r="L59" s="12">
        <v>0.48819444444444443</v>
      </c>
      <c r="M59" s="13">
        <v>0.4909722222222222</v>
      </c>
      <c r="N59" s="67">
        <v>104.0</v>
      </c>
      <c r="O59" s="79">
        <v>0.06805555555555555</v>
      </c>
      <c r="P59" s="80">
        <v>0.07430555555555556</v>
      </c>
      <c r="Q59" s="67">
        <v>115.0</v>
      </c>
      <c r="R59" s="79">
        <v>0.15</v>
      </c>
      <c r="S59" s="80">
        <v>0.15208333333333332</v>
      </c>
      <c r="T59" s="67">
        <v>115.0</v>
      </c>
      <c r="U59" s="79">
        <v>0.20625</v>
      </c>
      <c r="V59" s="80">
        <v>0.2152777777777778</v>
      </c>
    </row>
    <row r="60" ht="15.75" customHeight="1">
      <c r="A60" s="47">
        <v>566.0</v>
      </c>
      <c r="B60" s="11">
        <v>58.0</v>
      </c>
      <c r="C60" s="12">
        <v>0.26319444444444445</v>
      </c>
      <c r="D60" s="13">
        <v>0.2638888888888889</v>
      </c>
      <c r="E60" s="64">
        <v>62.0</v>
      </c>
      <c r="F60" s="65">
        <v>0.3173611111111111</v>
      </c>
      <c r="G60" s="66">
        <v>0.3173611111111111</v>
      </c>
      <c r="H60" s="11"/>
      <c r="I60" s="18"/>
      <c r="J60" s="38"/>
      <c r="M60" s="72"/>
      <c r="P60" s="72"/>
      <c r="S60" s="72"/>
      <c r="V60" s="72"/>
    </row>
    <row r="61" ht="15.75" customHeight="1">
      <c r="A61" s="47">
        <v>567.0</v>
      </c>
      <c r="B61" s="11">
        <v>4.0</v>
      </c>
      <c r="C61" s="12">
        <v>0.2513888888888889</v>
      </c>
      <c r="D61" s="13">
        <v>0.2520833333333333</v>
      </c>
      <c r="E61" s="64">
        <v>2.0</v>
      </c>
      <c r="F61" s="65">
        <v>0.2923611111111111</v>
      </c>
      <c r="G61" s="66">
        <v>0.29305555555555557</v>
      </c>
      <c r="H61" s="11">
        <v>5.0</v>
      </c>
      <c r="I61" s="12">
        <v>0.34375</v>
      </c>
      <c r="J61" s="13">
        <v>0.3451388888888889</v>
      </c>
      <c r="K61" s="67">
        <v>12.0</v>
      </c>
      <c r="L61" s="12">
        <v>0.42430555555555555</v>
      </c>
      <c r="M61" s="13">
        <v>0.42569444444444443</v>
      </c>
      <c r="N61" s="67">
        <v>18.0</v>
      </c>
      <c r="O61" s="79">
        <v>0.49444444444444446</v>
      </c>
      <c r="P61" s="80">
        <v>0.49722222222222223</v>
      </c>
      <c r="Q61" s="67">
        <v>17.0</v>
      </c>
      <c r="R61" s="79">
        <v>0.05</v>
      </c>
      <c r="S61" s="80">
        <v>0.052083333333333336</v>
      </c>
      <c r="T61" s="67">
        <v>21.0</v>
      </c>
      <c r="U61" s="79">
        <v>0.09652777777777778</v>
      </c>
      <c r="V61" s="80">
        <v>0.10277777777777777</v>
      </c>
    </row>
    <row r="62" ht="15.75" customHeight="1">
      <c r="A62" s="47">
        <v>568.0</v>
      </c>
      <c r="B62" s="11">
        <v>30.0</v>
      </c>
      <c r="C62" s="12">
        <v>0.25972222222222224</v>
      </c>
      <c r="D62" s="13">
        <v>0.2604166666666667</v>
      </c>
      <c r="E62" s="64">
        <v>58.0</v>
      </c>
      <c r="F62" s="65">
        <v>0.3145833333333333</v>
      </c>
      <c r="G62" s="66">
        <v>0.3145833333333333</v>
      </c>
      <c r="H62" s="11">
        <v>54.0</v>
      </c>
      <c r="I62" s="12">
        <v>0.3763888888888889</v>
      </c>
      <c r="J62" s="13">
        <v>0.38263888888888886</v>
      </c>
      <c r="K62" s="67">
        <v>56.0</v>
      </c>
      <c r="L62" s="12">
        <v>0.4618055555555556</v>
      </c>
      <c r="M62" s="13">
        <v>0.4638888888888889</v>
      </c>
      <c r="N62" s="67">
        <v>57.0</v>
      </c>
      <c r="O62" s="79">
        <v>0.5277777777777778</v>
      </c>
      <c r="P62" s="80">
        <v>0.5340277777777778</v>
      </c>
      <c r="Q62" s="67">
        <v>59.0</v>
      </c>
      <c r="R62" s="79">
        <v>0.09583333333333334</v>
      </c>
      <c r="S62" s="80">
        <v>0.10069444444444445</v>
      </c>
      <c r="T62" s="67">
        <v>60.0</v>
      </c>
      <c r="U62" s="79">
        <v>0.1451388888888889</v>
      </c>
      <c r="V62" s="80">
        <v>0.15625</v>
      </c>
    </row>
    <row r="63" ht="15.75" customHeight="1">
      <c r="A63" s="47">
        <v>569.0</v>
      </c>
      <c r="B63" s="11">
        <v>85.0</v>
      </c>
      <c r="C63" s="12">
        <v>0.2659722222222222</v>
      </c>
      <c r="D63" s="13">
        <v>0.26666666666666666</v>
      </c>
      <c r="E63" s="64">
        <v>80.0</v>
      </c>
      <c r="F63" s="65">
        <v>0.3215277777777778</v>
      </c>
      <c r="G63" s="66">
        <v>0.3215277777777778</v>
      </c>
      <c r="H63" s="11">
        <v>74.0</v>
      </c>
      <c r="I63" s="12">
        <v>0.3875</v>
      </c>
      <c r="J63" s="13">
        <v>0.3909722222222222</v>
      </c>
      <c r="K63" s="67">
        <v>71.0</v>
      </c>
      <c r="L63" s="12">
        <v>0.47291666666666665</v>
      </c>
      <c r="M63" s="13">
        <v>0.475</v>
      </c>
      <c r="N63" s="67">
        <v>67.0</v>
      </c>
      <c r="O63" s="79">
        <v>0.5402777777777777</v>
      </c>
      <c r="P63" s="80">
        <v>0.04513888888888889</v>
      </c>
      <c r="Q63" s="67">
        <v>72.0</v>
      </c>
      <c r="R63" s="79">
        <v>0.10972222222222222</v>
      </c>
      <c r="S63" s="80">
        <v>0.11180555555555556</v>
      </c>
      <c r="T63" s="67">
        <v>74.0</v>
      </c>
      <c r="U63" s="79">
        <v>0.16458333333333333</v>
      </c>
      <c r="V63" s="80">
        <v>0.1736111111111111</v>
      </c>
    </row>
    <row r="64" ht="15.75" customHeight="1">
      <c r="A64" s="47">
        <v>570.0</v>
      </c>
      <c r="B64" s="11">
        <v>147.0</v>
      </c>
      <c r="C64" s="12">
        <v>0.27152777777777776</v>
      </c>
      <c r="D64" s="13">
        <v>0.2722222222222222</v>
      </c>
      <c r="E64" s="64">
        <v>148.0</v>
      </c>
      <c r="F64" s="65">
        <v>0.3368055555555556</v>
      </c>
      <c r="G64" s="66">
        <v>0.3368055555555556</v>
      </c>
      <c r="H64" s="11">
        <v>144.0</v>
      </c>
      <c r="I64" s="12">
        <v>0.41180555555555554</v>
      </c>
      <c r="J64" s="13">
        <v>0.41875</v>
      </c>
      <c r="K64" s="67">
        <v>139.0</v>
      </c>
      <c r="L64" s="12">
        <v>0.50625</v>
      </c>
      <c r="M64" s="13">
        <v>0.5125</v>
      </c>
      <c r="N64" s="67">
        <v>140.0</v>
      </c>
      <c r="O64" s="79">
        <v>0.08680555555555555</v>
      </c>
      <c r="P64" s="80">
        <v>0.09027777777777778</v>
      </c>
      <c r="Q64" s="67">
        <v>129.0</v>
      </c>
      <c r="R64" s="79">
        <v>0.15763888888888888</v>
      </c>
      <c r="S64" s="80">
        <v>0.1625</v>
      </c>
      <c r="T64" s="67">
        <v>122.0</v>
      </c>
      <c r="U64" s="79">
        <v>0.21041666666666667</v>
      </c>
      <c r="V64" s="80">
        <v>0.21944444444444444</v>
      </c>
    </row>
    <row r="65" ht="15.75" customHeight="1">
      <c r="A65" s="47">
        <v>571.0</v>
      </c>
      <c r="B65" s="11">
        <v>50.0</v>
      </c>
      <c r="C65" s="12">
        <v>0.26180555555555557</v>
      </c>
      <c r="D65" s="13">
        <v>0.2625</v>
      </c>
      <c r="E65" s="64">
        <v>55.0</v>
      </c>
      <c r="F65" s="65">
        <v>0.3145833333333333</v>
      </c>
      <c r="G65" s="66">
        <v>0.3145833333333333</v>
      </c>
      <c r="H65" s="11">
        <v>61.0</v>
      </c>
      <c r="I65" s="12">
        <v>0.38263888888888886</v>
      </c>
      <c r="J65" s="13">
        <v>0.3888888888888889</v>
      </c>
      <c r="K65" s="67">
        <v>77.0</v>
      </c>
      <c r="L65" s="12">
        <v>0.475</v>
      </c>
      <c r="M65" s="13">
        <v>0.4791666666666667</v>
      </c>
      <c r="N65" s="67">
        <v>82.0</v>
      </c>
      <c r="O65" s="79">
        <v>0.05</v>
      </c>
      <c r="P65" s="80">
        <v>0.05347222222222222</v>
      </c>
      <c r="Q65" s="67">
        <v>83.0</v>
      </c>
      <c r="R65" s="79">
        <v>0.12291666666666666</v>
      </c>
      <c r="S65" s="80">
        <v>0.12430555555555556</v>
      </c>
      <c r="T65" s="67">
        <v>80.0</v>
      </c>
      <c r="U65" s="79">
        <v>0.16944444444444445</v>
      </c>
      <c r="V65" s="80">
        <v>0.2</v>
      </c>
    </row>
    <row r="66" ht="15.75" customHeight="1">
      <c r="A66" s="47">
        <v>572.0</v>
      </c>
      <c r="B66" s="11">
        <v>80.0</v>
      </c>
      <c r="C66" s="12">
        <v>0.2659722222222222</v>
      </c>
      <c r="D66" s="13">
        <v>0.26666666666666666</v>
      </c>
      <c r="E66" s="64">
        <v>87.0</v>
      </c>
      <c r="F66" s="65">
        <v>0.32430555555555557</v>
      </c>
      <c r="G66" s="66">
        <v>0.32430555555555557</v>
      </c>
      <c r="H66" s="11">
        <v>123.0</v>
      </c>
      <c r="I66" s="12">
        <v>0.4041666666666667</v>
      </c>
      <c r="J66" s="38" t="s">
        <v>178</v>
      </c>
      <c r="M66" s="72"/>
      <c r="P66" s="72"/>
      <c r="S66" s="72"/>
      <c r="V66" s="72"/>
    </row>
    <row r="67" ht="15.75" customHeight="1">
      <c r="A67" s="47">
        <v>574.0</v>
      </c>
      <c r="B67" s="11">
        <v>111.0</v>
      </c>
      <c r="C67" s="12">
        <v>0.26944444444444443</v>
      </c>
      <c r="D67" s="13">
        <v>0.2701388888888889</v>
      </c>
      <c r="E67" s="64">
        <v>120.0</v>
      </c>
      <c r="F67" s="65">
        <v>0.33055555555555555</v>
      </c>
      <c r="G67" s="66">
        <v>0.33055555555555555</v>
      </c>
      <c r="H67" s="11">
        <v>159.0</v>
      </c>
      <c r="I67" s="12">
        <v>0.41458333333333336</v>
      </c>
      <c r="J67" s="13">
        <v>0.4215277777777778</v>
      </c>
      <c r="K67" s="67">
        <v>173.0</v>
      </c>
      <c r="L67" s="12">
        <v>0.5326388888888889</v>
      </c>
      <c r="M67" s="13">
        <v>0.5381944444444444</v>
      </c>
      <c r="N67" s="67">
        <v>182.0</v>
      </c>
      <c r="O67" s="79">
        <v>0.12430555555555556</v>
      </c>
      <c r="P67" s="80">
        <v>0.13055555555555556</v>
      </c>
      <c r="Q67" s="67">
        <v>176.0</v>
      </c>
      <c r="R67" s="79">
        <v>0.20833333333333334</v>
      </c>
      <c r="S67" s="80">
        <v>0.21319444444444444</v>
      </c>
      <c r="T67" s="67">
        <v>175.0</v>
      </c>
      <c r="U67" s="79">
        <v>0.26875</v>
      </c>
      <c r="V67" s="72" t="s">
        <v>178</v>
      </c>
    </row>
    <row r="68" ht="15.75" customHeight="1">
      <c r="A68" s="47">
        <v>575.0</v>
      </c>
      <c r="B68" s="11">
        <v>91.0</v>
      </c>
      <c r="C68" s="12">
        <v>0.2673611111111111</v>
      </c>
      <c r="D68" s="13">
        <v>0.26805555555555555</v>
      </c>
      <c r="E68" s="64">
        <v>98.0</v>
      </c>
      <c r="F68" s="65">
        <v>0.32569444444444445</v>
      </c>
      <c r="G68" s="66">
        <v>0.32569444444444445</v>
      </c>
      <c r="H68" s="11">
        <v>100.0</v>
      </c>
      <c r="I68" s="12">
        <v>0.39652777777777776</v>
      </c>
      <c r="J68" s="13">
        <v>0.4</v>
      </c>
      <c r="K68" s="67">
        <v>92.0</v>
      </c>
      <c r="L68" s="12">
        <v>0.4840277777777778</v>
      </c>
      <c r="M68" s="13">
        <v>0.48819444444444443</v>
      </c>
      <c r="N68" s="67">
        <v>94.0</v>
      </c>
      <c r="O68" s="79">
        <v>0.05694444444444444</v>
      </c>
      <c r="P68" s="80">
        <v>0.059027777777777776</v>
      </c>
      <c r="Q68" s="67">
        <v>96.0</v>
      </c>
      <c r="R68" s="79">
        <v>0.12986111111111112</v>
      </c>
      <c r="S68" s="80">
        <v>0.13333333333333333</v>
      </c>
      <c r="T68" s="67">
        <v>95.0</v>
      </c>
      <c r="U68" s="79">
        <v>0.18125</v>
      </c>
      <c r="V68" s="80">
        <v>0.1875</v>
      </c>
    </row>
    <row r="69" ht="15.75" customHeight="1">
      <c r="A69" s="47">
        <v>576.0</v>
      </c>
      <c r="B69" s="11">
        <v>186.0</v>
      </c>
      <c r="C69" s="12">
        <v>0.2791666666666667</v>
      </c>
      <c r="D69" s="13">
        <v>0.2798611111111111</v>
      </c>
      <c r="E69" s="64">
        <v>184.0</v>
      </c>
      <c r="F69" s="65">
        <v>0.34444444444444444</v>
      </c>
      <c r="G69" s="66">
        <v>0.34444444444444444</v>
      </c>
      <c r="H69" s="11">
        <v>192.0</v>
      </c>
      <c r="I69" s="12">
        <v>0.44027777777777777</v>
      </c>
      <c r="J69" s="13">
        <v>0.44375</v>
      </c>
      <c r="K69" s="67">
        <v>189.0</v>
      </c>
      <c r="L69" s="12">
        <v>0.059722222222222225</v>
      </c>
      <c r="M69" s="13">
        <v>0.06388888888888888</v>
      </c>
      <c r="N69" s="67">
        <v>191.0</v>
      </c>
      <c r="O69" s="79">
        <v>0.1527777777777778</v>
      </c>
      <c r="P69" s="80">
        <v>0.15694444444444444</v>
      </c>
      <c r="Q69" s="67">
        <v>189.0</v>
      </c>
      <c r="R69" s="79">
        <v>0.24375</v>
      </c>
      <c r="S69" s="80">
        <v>0.24791666666666667</v>
      </c>
      <c r="T69" s="67">
        <v>190.0</v>
      </c>
      <c r="U69" s="79">
        <v>0.3104166666666667</v>
      </c>
      <c r="V69" s="80">
        <v>0.3298611111111111</v>
      </c>
    </row>
    <row r="70" ht="15.75" customHeight="1">
      <c r="A70" s="47">
        <v>577.0</v>
      </c>
      <c r="B70" s="11">
        <v>117.0</v>
      </c>
      <c r="C70" s="12">
        <v>0.26944444444444443</v>
      </c>
      <c r="D70" s="13">
        <v>0.2701388888888889</v>
      </c>
      <c r="E70" s="64">
        <v>122.0</v>
      </c>
      <c r="F70" s="65">
        <v>0.33055555555555555</v>
      </c>
      <c r="G70" s="66">
        <v>0.33055555555555555</v>
      </c>
      <c r="H70" s="11">
        <v>134.0</v>
      </c>
      <c r="I70" s="12">
        <v>0.4083333333333333</v>
      </c>
      <c r="J70" s="13">
        <v>0.4111111111111111</v>
      </c>
      <c r="K70" s="67">
        <v>134.0</v>
      </c>
      <c r="L70" s="12">
        <v>0.5048611111111111</v>
      </c>
      <c r="M70" s="13">
        <v>0.5069444444444444</v>
      </c>
      <c r="N70" s="67">
        <v>128.0</v>
      </c>
      <c r="O70" s="79">
        <v>0.0798611111111111</v>
      </c>
      <c r="P70" s="80">
        <v>0.08263888888888889</v>
      </c>
      <c r="Q70" s="67">
        <v>127.0</v>
      </c>
      <c r="R70" s="79">
        <v>0.15625</v>
      </c>
      <c r="S70" s="80">
        <v>0.15833333333333333</v>
      </c>
      <c r="T70" s="67">
        <v>116.0</v>
      </c>
      <c r="U70" s="79">
        <v>0.20625</v>
      </c>
      <c r="V70" s="80">
        <v>0.21319444444444444</v>
      </c>
    </row>
    <row r="71" ht="15.75" customHeight="1">
      <c r="A71" s="47">
        <v>578.0</v>
      </c>
      <c r="B71" s="11">
        <v>118.0</v>
      </c>
      <c r="C71" s="12">
        <v>0.26944444444444443</v>
      </c>
      <c r="D71" s="13">
        <v>0.2701388888888889</v>
      </c>
      <c r="E71" s="64">
        <v>102.0</v>
      </c>
      <c r="F71" s="65">
        <v>0.32569444444444445</v>
      </c>
      <c r="G71" s="66">
        <v>0.32569444444444445</v>
      </c>
      <c r="H71" s="11">
        <v>86.0</v>
      </c>
      <c r="I71" s="12">
        <v>0.3888888888888889</v>
      </c>
      <c r="J71" s="13">
        <v>0.3902777777777778</v>
      </c>
      <c r="K71" s="67">
        <v>60.0</v>
      </c>
      <c r="L71" s="12">
        <v>0.4638888888888889</v>
      </c>
      <c r="M71" s="13">
        <v>0.4673611111111111</v>
      </c>
      <c r="N71" s="67">
        <v>55.0</v>
      </c>
      <c r="O71" s="79">
        <v>0.5270833333333333</v>
      </c>
      <c r="P71" s="80">
        <v>0.5375</v>
      </c>
      <c r="Q71" s="67">
        <v>57.0</v>
      </c>
      <c r="R71" s="79">
        <v>0.09444444444444444</v>
      </c>
      <c r="S71" s="80">
        <v>0.09722222222222222</v>
      </c>
      <c r="T71" s="67">
        <v>56.0</v>
      </c>
      <c r="U71" s="79">
        <v>0.14097222222222222</v>
      </c>
      <c r="V71" s="80">
        <v>0.15555555555555556</v>
      </c>
    </row>
    <row r="72" ht="15.75" customHeight="1">
      <c r="A72" s="47">
        <v>579.0</v>
      </c>
      <c r="B72" s="11">
        <v>197.0</v>
      </c>
      <c r="C72" s="12">
        <v>0.2826388888888889</v>
      </c>
      <c r="D72" s="13">
        <v>0.2833333333333333</v>
      </c>
      <c r="E72" s="64">
        <v>197.0</v>
      </c>
      <c r="F72" s="65">
        <v>0.3576388888888889</v>
      </c>
      <c r="G72" s="66">
        <v>0.3576388888888889</v>
      </c>
      <c r="H72" s="11">
        <v>200.0</v>
      </c>
      <c r="I72" s="12">
        <v>0.44930555555555557</v>
      </c>
      <c r="J72" s="13">
        <v>0.45208333333333334</v>
      </c>
      <c r="K72" s="67">
        <v>192.0</v>
      </c>
      <c r="L72" s="12">
        <v>0.06805555555555555</v>
      </c>
      <c r="M72" s="13">
        <v>0.07013888888888889</v>
      </c>
      <c r="N72" s="67">
        <v>193.0</v>
      </c>
      <c r="O72" s="79">
        <v>0.15486111111111112</v>
      </c>
      <c r="P72" s="80">
        <v>0.15694444444444444</v>
      </c>
      <c r="Q72" s="67">
        <v>188.0</v>
      </c>
      <c r="R72" s="79">
        <v>0.23472222222222222</v>
      </c>
      <c r="S72" s="80">
        <v>0.2361111111111111</v>
      </c>
      <c r="T72" s="67">
        <v>184.0</v>
      </c>
      <c r="U72" s="79">
        <v>0.2965277777777778</v>
      </c>
      <c r="V72" s="80">
        <v>0.3020833333333333</v>
      </c>
    </row>
    <row r="73" ht="15.75" customHeight="1">
      <c r="A73" s="47">
        <v>580.0</v>
      </c>
      <c r="B73" s="11">
        <v>120.0</v>
      </c>
      <c r="C73" s="12">
        <v>0.2701388888888889</v>
      </c>
      <c r="D73" s="13">
        <v>0.2708333333333333</v>
      </c>
      <c r="E73" s="64">
        <v>104.0</v>
      </c>
      <c r="F73" s="65">
        <v>0.32569444444444445</v>
      </c>
      <c r="G73" s="66">
        <v>0.32569444444444445</v>
      </c>
      <c r="H73" s="11">
        <v>116.0</v>
      </c>
      <c r="I73" s="12">
        <v>0.4013888888888889</v>
      </c>
      <c r="J73" s="13">
        <v>0.41180555555555554</v>
      </c>
      <c r="K73" s="67">
        <v>122.0</v>
      </c>
      <c r="L73" s="12">
        <v>0.5013888888888889</v>
      </c>
      <c r="M73" s="13">
        <v>0.50625</v>
      </c>
      <c r="N73" s="67">
        <v>131.0</v>
      </c>
      <c r="O73" s="79">
        <v>0.08055555555555556</v>
      </c>
      <c r="P73" s="80">
        <v>0.08541666666666667</v>
      </c>
      <c r="Q73" s="67">
        <v>125.0</v>
      </c>
      <c r="R73" s="79">
        <v>0.15625</v>
      </c>
      <c r="S73" s="80">
        <v>0.16041666666666668</v>
      </c>
      <c r="T73" s="67">
        <v>119.0</v>
      </c>
      <c r="U73" s="79">
        <v>0.20902777777777778</v>
      </c>
      <c r="V73" s="80">
        <v>0.23194444444444445</v>
      </c>
    </row>
    <row r="74" ht="15.75" customHeight="1">
      <c r="A74" s="47">
        <v>581.0</v>
      </c>
      <c r="B74" s="11">
        <v>104.0</v>
      </c>
      <c r="C74" s="12">
        <v>0.26875</v>
      </c>
      <c r="D74" s="13">
        <v>0.26944444444444443</v>
      </c>
      <c r="E74" s="64">
        <v>117.0</v>
      </c>
      <c r="F74" s="65">
        <v>0.3298611111111111</v>
      </c>
      <c r="G74" s="66">
        <v>0.3298611111111111</v>
      </c>
      <c r="H74" s="11">
        <v>107.0</v>
      </c>
      <c r="I74" s="12">
        <v>0.39861111111111114</v>
      </c>
      <c r="J74" s="13">
        <v>0.40208333333333335</v>
      </c>
      <c r="K74" s="67">
        <v>88.0</v>
      </c>
      <c r="L74" s="12">
        <v>0.48333333333333334</v>
      </c>
      <c r="M74" s="13">
        <v>0.4840277777777778</v>
      </c>
      <c r="N74" s="67">
        <v>85.0</v>
      </c>
      <c r="O74" s="79">
        <v>0.05347222222222222</v>
      </c>
      <c r="P74" s="80">
        <v>0.05625</v>
      </c>
      <c r="Q74" s="67">
        <v>80.0</v>
      </c>
      <c r="R74" s="79">
        <v>0.11875</v>
      </c>
      <c r="S74" s="80">
        <v>0.12083333333333333</v>
      </c>
      <c r="T74" s="67">
        <v>77.0</v>
      </c>
      <c r="U74" s="79">
        <v>0.16944444444444445</v>
      </c>
      <c r="V74" s="80">
        <v>0.1736111111111111</v>
      </c>
    </row>
    <row r="75" ht="15.75" customHeight="1">
      <c r="A75" s="47">
        <v>582.0</v>
      </c>
      <c r="B75" s="11">
        <v>70.0</v>
      </c>
      <c r="C75" s="12">
        <v>0.2638888888888889</v>
      </c>
      <c r="D75" s="13">
        <v>0.26458333333333334</v>
      </c>
      <c r="E75" s="64">
        <v>42.0</v>
      </c>
      <c r="F75" s="65">
        <v>0.3138888888888889</v>
      </c>
      <c r="G75" s="66">
        <v>0.3138888888888889</v>
      </c>
      <c r="H75" s="11">
        <v>119.0</v>
      </c>
      <c r="I75" s="12">
        <v>0.40208333333333335</v>
      </c>
      <c r="J75" s="13">
        <v>0.4097222222222222</v>
      </c>
      <c r="K75" s="67">
        <v>114.0</v>
      </c>
      <c r="L75" s="12">
        <v>0.4986111111111111</v>
      </c>
      <c r="M75" s="13">
        <v>0.5020833333333333</v>
      </c>
      <c r="N75" s="67">
        <v>121.0</v>
      </c>
      <c r="O75" s="79">
        <v>0.07916666666666666</v>
      </c>
      <c r="P75" s="80">
        <v>0.08333333333333333</v>
      </c>
      <c r="Q75" s="67">
        <v>120.0</v>
      </c>
      <c r="R75" s="79">
        <v>0.15416666666666667</v>
      </c>
      <c r="S75" s="80">
        <v>0.15555555555555556</v>
      </c>
      <c r="T75" s="67">
        <v>114.0</v>
      </c>
      <c r="U75" s="79">
        <v>0.20277777777777778</v>
      </c>
      <c r="V75" s="80">
        <v>0.2076388888888889</v>
      </c>
    </row>
    <row r="76" ht="15.75" customHeight="1">
      <c r="A76" s="47">
        <v>583.0</v>
      </c>
      <c r="B76" s="11">
        <v>98.0</v>
      </c>
      <c r="C76" s="12">
        <v>0.26805555555555555</v>
      </c>
      <c r="D76" s="13">
        <v>0.26875</v>
      </c>
      <c r="E76" s="64">
        <v>86.0</v>
      </c>
      <c r="F76" s="65">
        <v>0.32430555555555557</v>
      </c>
      <c r="G76" s="66">
        <v>0.32430555555555557</v>
      </c>
      <c r="H76" s="11">
        <v>77.0</v>
      </c>
      <c r="I76" s="12">
        <v>0.38819444444444445</v>
      </c>
      <c r="J76" s="13">
        <v>0.3902777777777778</v>
      </c>
      <c r="K76" s="67">
        <v>67.0</v>
      </c>
      <c r="L76" s="12">
        <v>0.4708333333333333</v>
      </c>
      <c r="M76" s="13">
        <v>0.4722222222222222</v>
      </c>
      <c r="N76" s="67">
        <v>64.0</v>
      </c>
      <c r="O76" s="79">
        <v>0.5381944444444444</v>
      </c>
      <c r="P76" s="80">
        <v>0.5395833333333333</v>
      </c>
      <c r="Q76" s="67">
        <v>63.0</v>
      </c>
      <c r="R76" s="79">
        <v>0.10625</v>
      </c>
      <c r="S76" s="80">
        <v>0.10833333333333334</v>
      </c>
      <c r="T76" s="67">
        <v>65.0</v>
      </c>
      <c r="U76" s="79">
        <v>0.15625</v>
      </c>
      <c r="V76" s="80">
        <v>0.16041666666666668</v>
      </c>
    </row>
    <row r="77" ht="15.75" customHeight="1">
      <c r="A77" s="47">
        <v>584.0</v>
      </c>
      <c r="B77" s="11">
        <v>160.0</v>
      </c>
      <c r="C77" s="12">
        <v>0.2743055555555556</v>
      </c>
      <c r="D77" s="13">
        <v>0.275</v>
      </c>
      <c r="E77" s="64">
        <v>174.0</v>
      </c>
      <c r="F77" s="65">
        <v>0.3416666666666667</v>
      </c>
      <c r="G77" s="66">
        <v>0.3416666666666667</v>
      </c>
      <c r="H77" s="11">
        <v>176.0</v>
      </c>
      <c r="I77" s="12">
        <v>0.42430555555555555</v>
      </c>
      <c r="J77" s="13">
        <v>0.43194444444444446</v>
      </c>
      <c r="K77" s="67">
        <v>166.0</v>
      </c>
      <c r="L77" s="12">
        <v>0.5284722222222222</v>
      </c>
      <c r="M77" s="13">
        <v>0.53125</v>
      </c>
      <c r="N77" s="67">
        <v>162.0</v>
      </c>
      <c r="O77" s="79">
        <v>0.10555555555555556</v>
      </c>
      <c r="P77" s="80">
        <v>0.10972222222222222</v>
      </c>
      <c r="Q77" s="67">
        <v>153.0</v>
      </c>
      <c r="R77" s="79">
        <v>0.18125</v>
      </c>
      <c r="S77" s="80">
        <v>0.18333333333333332</v>
      </c>
      <c r="T77" s="67">
        <v>149.0</v>
      </c>
      <c r="U77" s="79">
        <v>0.2375</v>
      </c>
      <c r="V77" s="80">
        <v>0.2520833333333333</v>
      </c>
    </row>
    <row r="78" ht="15.75" customHeight="1">
      <c r="A78" s="47">
        <v>585.0</v>
      </c>
      <c r="B78" s="11">
        <v>144.0</v>
      </c>
      <c r="C78" s="12">
        <v>0.27152777777777776</v>
      </c>
      <c r="D78" s="13">
        <v>0.2722222222222222</v>
      </c>
      <c r="E78" s="64">
        <v>142.0</v>
      </c>
      <c r="F78" s="65">
        <v>0.33611111111111114</v>
      </c>
      <c r="G78" s="66">
        <v>0.33611111111111114</v>
      </c>
      <c r="H78" s="11">
        <v>147.0</v>
      </c>
      <c r="I78" s="12">
        <v>0.4125</v>
      </c>
      <c r="J78" s="13">
        <v>0.41944444444444445</v>
      </c>
      <c r="K78" s="67">
        <v>129.0</v>
      </c>
      <c r="L78" s="12">
        <v>0.5041666666666667</v>
      </c>
      <c r="M78" s="13">
        <v>0.5076388888888889</v>
      </c>
      <c r="N78" s="67">
        <v>124.0</v>
      </c>
      <c r="O78" s="79">
        <v>0.0798611111111111</v>
      </c>
      <c r="P78" s="80">
        <v>0.08263888888888889</v>
      </c>
      <c r="Q78" s="67">
        <v>114.0</v>
      </c>
      <c r="R78" s="79">
        <v>0.14791666666666667</v>
      </c>
      <c r="S78" s="80">
        <v>0.15069444444444444</v>
      </c>
      <c r="T78" s="67">
        <v>105.0</v>
      </c>
      <c r="U78" s="79">
        <v>0.19583333333333333</v>
      </c>
      <c r="V78" s="80">
        <v>0.2</v>
      </c>
    </row>
    <row r="79" ht="15.75" customHeight="1">
      <c r="A79" s="47">
        <v>587.0</v>
      </c>
      <c r="B79" s="11">
        <v>170.0</v>
      </c>
      <c r="C79" s="12">
        <v>0.2743055555555556</v>
      </c>
      <c r="D79" s="13">
        <v>0.275</v>
      </c>
      <c r="E79" s="64">
        <v>175.0</v>
      </c>
      <c r="F79" s="65">
        <v>0.3416666666666667</v>
      </c>
      <c r="G79" s="66">
        <v>0.3416666666666667</v>
      </c>
      <c r="H79" s="11">
        <v>142.0</v>
      </c>
      <c r="I79" s="12">
        <v>0.4097222222222222</v>
      </c>
      <c r="J79" s="13">
        <v>0.41597222222222224</v>
      </c>
      <c r="K79" s="67">
        <v>145.0</v>
      </c>
      <c r="L79" s="12">
        <v>0.5125</v>
      </c>
      <c r="M79" s="13">
        <v>0.5291666666666667</v>
      </c>
      <c r="N79" s="67">
        <v>161.0</v>
      </c>
      <c r="O79" s="79">
        <v>0.10555555555555556</v>
      </c>
      <c r="P79" s="80">
        <v>0.11319444444444444</v>
      </c>
      <c r="Q79" s="67">
        <v>163.0</v>
      </c>
      <c r="R79" s="79">
        <v>0.18888888888888888</v>
      </c>
      <c r="S79" s="80">
        <v>0.19930555555555557</v>
      </c>
      <c r="T79" s="67">
        <v>163.0</v>
      </c>
      <c r="U79" s="79">
        <v>0.24930555555555556</v>
      </c>
      <c r="V79" s="80">
        <v>0.2743055555555556</v>
      </c>
    </row>
    <row r="80" ht="15.75" customHeight="1">
      <c r="A80" s="47">
        <v>588.0</v>
      </c>
      <c r="B80" s="11">
        <v>21.0</v>
      </c>
      <c r="C80" s="12">
        <v>0.25763888888888886</v>
      </c>
      <c r="D80" s="13">
        <v>0.25833333333333336</v>
      </c>
      <c r="E80" s="64">
        <v>22.0</v>
      </c>
      <c r="F80" s="65">
        <v>0.30625</v>
      </c>
      <c r="G80" s="66">
        <v>0.30625</v>
      </c>
      <c r="H80" s="11">
        <v>28.0</v>
      </c>
      <c r="I80" s="12">
        <v>0.3659722222222222</v>
      </c>
      <c r="J80" s="13">
        <v>0.37916666666666665</v>
      </c>
      <c r="K80" s="67">
        <v>38.0</v>
      </c>
      <c r="L80" s="12">
        <v>0.4479166666666667</v>
      </c>
      <c r="M80" s="13">
        <v>0.44930555555555557</v>
      </c>
      <c r="N80" s="67">
        <v>36.0</v>
      </c>
      <c r="O80" s="79">
        <v>0.5083333333333333</v>
      </c>
      <c r="P80" s="80">
        <v>0.5104166666666666</v>
      </c>
      <c r="Q80" s="67">
        <v>32.0</v>
      </c>
      <c r="R80" s="79">
        <v>0.06527777777777778</v>
      </c>
      <c r="S80" s="80">
        <v>0.06736111111111111</v>
      </c>
      <c r="T80" s="67">
        <v>33.0</v>
      </c>
      <c r="U80" s="79">
        <v>0.1076388888888889</v>
      </c>
      <c r="V80" s="80">
        <v>0.11875</v>
      </c>
    </row>
    <row r="81" ht="15.75" customHeight="1">
      <c r="A81" s="47">
        <v>589.0</v>
      </c>
      <c r="B81" s="11">
        <v>22.0</v>
      </c>
      <c r="C81" s="12">
        <v>0.25763888888888886</v>
      </c>
      <c r="D81" s="13">
        <v>0.25833333333333336</v>
      </c>
      <c r="E81" s="64">
        <v>19.0</v>
      </c>
      <c r="F81" s="65">
        <v>0.30625</v>
      </c>
      <c r="G81" s="66">
        <v>0.30625</v>
      </c>
      <c r="H81" s="11">
        <v>22.0</v>
      </c>
      <c r="I81" s="12">
        <v>0.3638888888888889</v>
      </c>
      <c r="J81" s="13">
        <v>0.3659722222222222</v>
      </c>
      <c r="K81" s="67">
        <v>21.0</v>
      </c>
      <c r="L81" s="12">
        <v>0.4361111111111111</v>
      </c>
      <c r="M81" s="13">
        <v>0.43819444444444444</v>
      </c>
      <c r="N81" s="67">
        <v>21.0</v>
      </c>
      <c r="O81" s="79">
        <v>0.49583333333333335</v>
      </c>
      <c r="P81" s="80">
        <v>0.5</v>
      </c>
      <c r="Q81" s="67">
        <v>24.0</v>
      </c>
      <c r="R81" s="79">
        <v>0.05763888888888889</v>
      </c>
      <c r="S81" s="80">
        <v>0.06180555555555556</v>
      </c>
      <c r="T81" s="67">
        <v>27.0</v>
      </c>
      <c r="U81" s="79">
        <v>0.10208333333333333</v>
      </c>
      <c r="V81" s="80">
        <v>0.11041666666666666</v>
      </c>
    </row>
    <row r="82" ht="15.75" customHeight="1">
      <c r="A82" s="47">
        <v>590.0</v>
      </c>
      <c r="B82" s="11">
        <v>109.0</v>
      </c>
      <c r="C82" s="12">
        <v>0.26944444444444443</v>
      </c>
      <c r="D82" s="13">
        <v>0.2701388888888889</v>
      </c>
      <c r="E82" s="64">
        <v>112.0</v>
      </c>
      <c r="F82" s="65">
        <v>0.32569444444444445</v>
      </c>
      <c r="G82" s="66">
        <v>0.32569444444444445</v>
      </c>
      <c r="H82" s="11">
        <v>120.0</v>
      </c>
      <c r="I82" s="12">
        <v>0.40208333333333335</v>
      </c>
      <c r="J82" s="13">
        <v>0.4222222222222222</v>
      </c>
      <c r="K82" s="67">
        <v>119.0</v>
      </c>
      <c r="L82" s="12">
        <v>0.5</v>
      </c>
      <c r="M82" s="13">
        <v>0.5027777777777778</v>
      </c>
      <c r="N82" s="67">
        <v>116.0</v>
      </c>
      <c r="O82" s="79">
        <v>0.07777777777777778</v>
      </c>
      <c r="P82" s="80">
        <v>0.08125</v>
      </c>
      <c r="Q82" s="67">
        <v>132.0</v>
      </c>
      <c r="R82" s="79">
        <v>0.16041666666666668</v>
      </c>
      <c r="S82" s="80">
        <v>0.1638888888888889</v>
      </c>
      <c r="T82" s="67">
        <v>143.0</v>
      </c>
      <c r="U82" s="79">
        <v>0.22430555555555556</v>
      </c>
      <c r="V82" s="80">
        <v>0.23819444444444443</v>
      </c>
    </row>
    <row r="83" ht="15.75" customHeight="1">
      <c r="A83" s="47">
        <v>591.0</v>
      </c>
      <c r="B83" s="11">
        <v>169.0</v>
      </c>
      <c r="C83" s="12">
        <v>0.2743055555555556</v>
      </c>
      <c r="D83" s="13">
        <v>0.275</v>
      </c>
      <c r="E83" s="64">
        <v>144.0</v>
      </c>
      <c r="F83" s="65">
        <v>0.33611111111111114</v>
      </c>
      <c r="G83" s="66">
        <v>0.33611111111111114</v>
      </c>
      <c r="H83" s="11">
        <v>110.0</v>
      </c>
      <c r="I83" s="12">
        <v>0.4</v>
      </c>
      <c r="J83" s="13">
        <v>0.4097222222222222</v>
      </c>
      <c r="K83" s="67">
        <v>94.0</v>
      </c>
      <c r="L83" s="12">
        <v>0.4847222222222222</v>
      </c>
      <c r="M83" s="13">
        <v>0.4861111111111111</v>
      </c>
      <c r="N83" s="67">
        <v>79.0</v>
      </c>
      <c r="O83" s="79">
        <v>0.04722222222222222</v>
      </c>
      <c r="P83" s="80">
        <v>0.05</v>
      </c>
      <c r="Q83" s="67">
        <v>67.0</v>
      </c>
      <c r="R83" s="79">
        <v>0.10694444444444444</v>
      </c>
      <c r="S83" s="80">
        <v>0.10833333333333334</v>
      </c>
      <c r="T83" s="67">
        <v>63.0</v>
      </c>
      <c r="U83" s="79">
        <v>0.14722222222222223</v>
      </c>
      <c r="V83" s="80">
        <v>0.15486111111111112</v>
      </c>
    </row>
    <row r="84" ht="15.75" customHeight="1">
      <c r="A84" s="47">
        <v>592.0</v>
      </c>
      <c r="B84" s="11">
        <v>148.0</v>
      </c>
      <c r="C84" s="12">
        <v>0.27152777777777776</v>
      </c>
      <c r="D84" s="13">
        <v>0.2722222222222222</v>
      </c>
      <c r="E84" s="64">
        <v>143.0</v>
      </c>
      <c r="F84" s="65">
        <v>0.33611111111111114</v>
      </c>
      <c r="G84" s="66">
        <v>0.33611111111111114</v>
      </c>
      <c r="H84" s="11">
        <v>132.0</v>
      </c>
      <c r="I84" s="12">
        <v>0.4076388888888889</v>
      </c>
      <c r="J84" s="13">
        <v>0.4097222222222222</v>
      </c>
      <c r="K84" s="67">
        <v>118.0</v>
      </c>
      <c r="L84" s="12">
        <v>0.5</v>
      </c>
      <c r="M84" s="13">
        <v>0.5020833333333333</v>
      </c>
      <c r="N84" s="67">
        <v>114.0</v>
      </c>
      <c r="O84" s="79">
        <v>0.07777777777777778</v>
      </c>
      <c r="P84" s="80">
        <v>0.0798611111111111</v>
      </c>
      <c r="Q84" s="67">
        <v>121.0</v>
      </c>
      <c r="R84" s="79">
        <v>0.15555555555555556</v>
      </c>
      <c r="S84" s="80">
        <v>0.15902777777777777</v>
      </c>
      <c r="T84" s="67">
        <v>118.0</v>
      </c>
      <c r="U84" s="79">
        <v>0.20833333333333334</v>
      </c>
      <c r="V84" s="80">
        <v>0.21736111111111112</v>
      </c>
    </row>
    <row r="85" ht="15.75" customHeight="1">
      <c r="A85" s="18">
        <v>593.0</v>
      </c>
      <c r="B85" s="11">
        <v>200.0</v>
      </c>
      <c r="C85" s="12">
        <v>0.28958333333333336</v>
      </c>
      <c r="D85" s="13">
        <v>0.2902777777777778</v>
      </c>
      <c r="E85" s="67"/>
      <c r="F85" s="67"/>
      <c r="G85" s="72"/>
      <c r="H85" s="11"/>
      <c r="I85" s="18"/>
      <c r="J85" s="38"/>
      <c r="M85" s="72"/>
      <c r="P85" s="72"/>
      <c r="S85" s="72"/>
      <c r="V85" s="72"/>
    </row>
    <row r="86" ht="15.75" customHeight="1">
      <c r="A86" s="47">
        <v>595.0</v>
      </c>
      <c r="B86" s="11">
        <v>137.0</v>
      </c>
      <c r="C86" s="12">
        <v>0.27152777777777776</v>
      </c>
      <c r="D86" s="13">
        <v>0.2722222222222222</v>
      </c>
      <c r="E86" s="64">
        <v>129.0</v>
      </c>
      <c r="F86" s="65">
        <v>0.3326388888888889</v>
      </c>
      <c r="G86" s="66">
        <v>0.3326388888888889</v>
      </c>
      <c r="H86" s="11">
        <v>162.0</v>
      </c>
      <c r="I86" s="12">
        <v>0.41597222222222224</v>
      </c>
      <c r="J86" s="13">
        <v>0.4284722222222222</v>
      </c>
      <c r="K86" s="67">
        <v>164.0</v>
      </c>
      <c r="L86" s="12">
        <v>0.5270833333333333</v>
      </c>
      <c r="M86" s="13">
        <v>0.5368055555555555</v>
      </c>
      <c r="N86" s="67">
        <v>169.0</v>
      </c>
      <c r="O86" s="79">
        <v>0.1111111111111111</v>
      </c>
      <c r="P86" s="80">
        <v>0.11944444444444445</v>
      </c>
      <c r="Q86" s="67">
        <v>164.0</v>
      </c>
      <c r="R86" s="79">
        <v>0.19236111111111112</v>
      </c>
      <c r="S86" s="80">
        <v>0.19444444444444445</v>
      </c>
      <c r="T86" s="67">
        <v>148.0</v>
      </c>
      <c r="U86" s="79">
        <v>0.23680555555555555</v>
      </c>
      <c r="V86" s="80">
        <v>0.25555555555555554</v>
      </c>
    </row>
    <row r="87" ht="15.75" customHeight="1">
      <c r="A87" s="47">
        <v>596.0</v>
      </c>
      <c r="B87" s="11">
        <v>3.0</v>
      </c>
      <c r="C87" s="12">
        <v>0.2513888888888889</v>
      </c>
      <c r="D87" s="13">
        <v>0.2520833333333333</v>
      </c>
      <c r="E87" s="64">
        <v>1.0</v>
      </c>
      <c r="F87" s="65">
        <v>0.29097222222222224</v>
      </c>
      <c r="G87" s="66">
        <v>0.2916666666666667</v>
      </c>
      <c r="H87" s="11">
        <v>2.0</v>
      </c>
      <c r="I87" s="12">
        <v>0.34097222222222223</v>
      </c>
      <c r="J87" s="13">
        <v>0.34305555555555556</v>
      </c>
      <c r="K87" s="67">
        <v>2.0</v>
      </c>
      <c r="L87" s="12">
        <v>0.40069444444444446</v>
      </c>
      <c r="M87" s="13">
        <v>0.4013888888888889</v>
      </c>
      <c r="N87" s="67">
        <v>2.0</v>
      </c>
      <c r="O87" s="79">
        <v>0.44722222222222224</v>
      </c>
      <c r="P87" s="80">
        <v>0.44930555555555557</v>
      </c>
      <c r="Q87" s="67">
        <v>2.0</v>
      </c>
      <c r="R87" s="79">
        <v>0.5118055555555555</v>
      </c>
      <c r="S87" s="80">
        <v>0.5090277777777777</v>
      </c>
      <c r="T87" s="67">
        <v>2.0</v>
      </c>
      <c r="U87" s="79">
        <v>0.5409722222222222</v>
      </c>
      <c r="V87" s="80">
        <v>0.043055555555555555</v>
      </c>
    </row>
    <row r="88" ht="15.75" customHeight="1">
      <c r="A88" s="47">
        <v>597.0</v>
      </c>
      <c r="B88" s="11">
        <v>185.0</v>
      </c>
      <c r="C88" s="12">
        <v>0.27847222222222223</v>
      </c>
      <c r="D88" s="13">
        <v>0.2791666666666667</v>
      </c>
      <c r="E88" s="64">
        <v>188.0</v>
      </c>
      <c r="F88" s="65">
        <v>0.35138888888888886</v>
      </c>
      <c r="G88" s="66">
        <v>0.35138888888888886</v>
      </c>
      <c r="H88" s="11">
        <v>178.0</v>
      </c>
      <c r="I88" s="12">
        <v>0.425</v>
      </c>
      <c r="J88" s="13">
        <v>0.4388888888888889</v>
      </c>
      <c r="K88" s="67">
        <v>159.0</v>
      </c>
      <c r="L88" s="12">
        <v>0.5222222222222223</v>
      </c>
      <c r="M88" s="13">
        <v>0.5243055555555556</v>
      </c>
      <c r="N88" s="67">
        <v>154.0</v>
      </c>
      <c r="O88" s="79">
        <v>0.09513888888888888</v>
      </c>
      <c r="P88" s="80">
        <v>0.09722222222222222</v>
      </c>
      <c r="Q88" s="67">
        <v>145.0</v>
      </c>
      <c r="R88" s="79">
        <v>0.1673611111111111</v>
      </c>
      <c r="S88" s="80">
        <v>0.16875</v>
      </c>
      <c r="T88" s="67">
        <v>130.0</v>
      </c>
      <c r="U88" s="79">
        <v>0.2152777777777778</v>
      </c>
      <c r="V88" s="80">
        <v>0.23055555555555557</v>
      </c>
    </row>
    <row r="89" ht="15.75" customHeight="1">
      <c r="A89" s="47">
        <v>598.0</v>
      </c>
      <c r="B89" s="11">
        <v>126.0</v>
      </c>
      <c r="C89" s="12">
        <v>0.2708333333333333</v>
      </c>
      <c r="D89" s="13">
        <v>0.27152777777777776</v>
      </c>
      <c r="E89" s="64">
        <v>135.0</v>
      </c>
      <c r="F89" s="65">
        <v>0.33402777777777776</v>
      </c>
      <c r="G89" s="66">
        <v>0.33402777777777776</v>
      </c>
      <c r="H89" s="11">
        <v>138.0</v>
      </c>
      <c r="I89" s="12">
        <v>0.40902777777777777</v>
      </c>
      <c r="J89" s="13">
        <v>0.4131944444444444</v>
      </c>
      <c r="K89" s="67">
        <v>144.0</v>
      </c>
      <c r="L89" s="12">
        <v>0.5111111111111111</v>
      </c>
      <c r="M89" s="13">
        <v>0.5145833333333333</v>
      </c>
      <c r="N89" s="67">
        <v>143.0</v>
      </c>
      <c r="O89" s="79">
        <v>0.09166666666666666</v>
      </c>
      <c r="P89" s="80">
        <v>0.09166666666666666</v>
      </c>
      <c r="Q89" s="67">
        <v>137.0</v>
      </c>
      <c r="R89" s="79">
        <v>0.16527777777777777</v>
      </c>
      <c r="S89" s="80">
        <v>0.1673611111111111</v>
      </c>
      <c r="T89" s="67">
        <v>137.0</v>
      </c>
      <c r="U89" s="79">
        <v>0.22013888888888888</v>
      </c>
      <c r="V89" s="80">
        <v>0.23055555555555557</v>
      </c>
    </row>
    <row r="90" ht="15.75" customHeight="1">
      <c r="A90" s="47">
        <v>599.0</v>
      </c>
      <c r="B90" s="11">
        <v>2.0</v>
      </c>
      <c r="C90" s="12">
        <v>0.2513888888888889</v>
      </c>
      <c r="D90" s="13">
        <v>0.2520833333333333</v>
      </c>
      <c r="E90" s="64">
        <v>10.0</v>
      </c>
      <c r="F90" s="65">
        <v>0.2951388888888889</v>
      </c>
      <c r="G90" s="66">
        <v>0.2951388888888889</v>
      </c>
      <c r="H90" s="11">
        <v>10.0</v>
      </c>
      <c r="I90" s="12">
        <v>0.34652777777777777</v>
      </c>
      <c r="J90" s="13">
        <v>0.35</v>
      </c>
      <c r="K90" s="67">
        <v>10.0</v>
      </c>
      <c r="L90" s="12">
        <v>0.42083333333333334</v>
      </c>
      <c r="M90" s="13">
        <v>0.4222222222222222</v>
      </c>
      <c r="N90" s="67">
        <v>11.0</v>
      </c>
      <c r="O90" s="79">
        <v>0.48194444444444445</v>
      </c>
      <c r="P90" s="80">
        <v>0.4826388888888889</v>
      </c>
      <c r="Q90" s="67">
        <v>11.0</v>
      </c>
      <c r="R90" s="79">
        <v>0.5333333333333333</v>
      </c>
      <c r="S90" s="80">
        <v>0.5347222222222222</v>
      </c>
      <c r="T90" s="67">
        <v>10.0</v>
      </c>
      <c r="U90" s="79">
        <v>0.07291666666666667</v>
      </c>
      <c r="V90" s="80">
        <v>0.07777777777777778</v>
      </c>
    </row>
    <row r="91" ht="15.75" customHeight="1">
      <c r="A91" s="47">
        <v>600.0</v>
      </c>
      <c r="B91" s="11">
        <v>55.0</v>
      </c>
      <c r="C91" s="12">
        <v>0.26319444444444445</v>
      </c>
      <c r="D91" s="13">
        <v>0.2638888888888889</v>
      </c>
      <c r="E91" s="64">
        <v>74.0</v>
      </c>
      <c r="F91" s="65">
        <v>0.32083333333333336</v>
      </c>
      <c r="G91" s="66">
        <v>0.32083333333333336</v>
      </c>
      <c r="H91" s="11">
        <v>97.0</v>
      </c>
      <c r="I91" s="12">
        <v>0.3958333333333333</v>
      </c>
      <c r="J91" s="13">
        <v>0.40347222222222223</v>
      </c>
      <c r="K91" s="67">
        <v>116.0</v>
      </c>
      <c r="L91" s="12">
        <v>0.5</v>
      </c>
      <c r="M91" s="13">
        <v>0.5034722222222222</v>
      </c>
      <c r="N91" s="67">
        <v>122.0</v>
      </c>
      <c r="O91" s="79">
        <v>0.0798611111111111</v>
      </c>
      <c r="P91" s="80">
        <v>0.09097222222222222</v>
      </c>
      <c r="Q91" s="67">
        <v>149.0</v>
      </c>
      <c r="R91" s="79">
        <v>0.17708333333333334</v>
      </c>
      <c r="S91" s="80">
        <v>0.18680555555555556</v>
      </c>
      <c r="T91" s="67">
        <v>157.0</v>
      </c>
      <c r="U91" s="79">
        <v>0.24375</v>
      </c>
      <c r="V91" s="72" t="s">
        <v>178</v>
      </c>
    </row>
    <row r="92" ht="15.75" customHeight="1">
      <c r="A92" s="47">
        <v>601.0</v>
      </c>
      <c r="B92" s="11">
        <v>11.0</v>
      </c>
      <c r="C92" s="12">
        <v>0.25416666666666665</v>
      </c>
      <c r="D92" s="13">
        <v>0.25416666666666665</v>
      </c>
      <c r="E92" s="64">
        <v>12.0</v>
      </c>
      <c r="F92" s="65">
        <v>0.3013888888888889</v>
      </c>
      <c r="G92" s="66">
        <v>0.3013888888888889</v>
      </c>
      <c r="H92" s="11">
        <v>15.0</v>
      </c>
      <c r="I92" s="12">
        <v>0.3590277777777778</v>
      </c>
      <c r="J92" s="13">
        <v>0.36180555555555555</v>
      </c>
      <c r="K92" s="67">
        <v>22.0</v>
      </c>
      <c r="L92" s="12">
        <v>0.43680555555555556</v>
      </c>
      <c r="M92" s="13">
        <v>0.43819444444444444</v>
      </c>
      <c r="N92" s="67">
        <v>20.0</v>
      </c>
      <c r="O92" s="79">
        <v>0.49583333333333335</v>
      </c>
      <c r="P92" s="80">
        <v>0.4979166666666667</v>
      </c>
      <c r="Q92" s="67">
        <v>20.0</v>
      </c>
      <c r="R92" s="79">
        <v>0.05347222222222222</v>
      </c>
      <c r="S92" s="80">
        <v>0.05555555555555555</v>
      </c>
      <c r="T92" s="67">
        <v>19.0</v>
      </c>
      <c r="U92" s="79">
        <v>0.09305555555555556</v>
      </c>
      <c r="V92" s="80">
        <v>0.09791666666666667</v>
      </c>
    </row>
    <row r="93" ht="15.75" customHeight="1">
      <c r="A93" s="47">
        <v>602.0</v>
      </c>
      <c r="B93" s="11">
        <v>101.0</v>
      </c>
      <c r="C93" s="12">
        <v>0.26875</v>
      </c>
      <c r="D93" s="13">
        <v>0.26944444444444443</v>
      </c>
      <c r="E93" s="64">
        <v>83.0</v>
      </c>
      <c r="F93" s="65">
        <v>0.3215277777777778</v>
      </c>
      <c r="G93" s="66">
        <v>0.3215277777777778</v>
      </c>
      <c r="H93" s="11">
        <v>60.0</v>
      </c>
      <c r="I93" s="12">
        <v>0.3819444444444444</v>
      </c>
      <c r="J93" s="13">
        <v>0.38472222222222224</v>
      </c>
      <c r="K93" s="67">
        <v>48.0</v>
      </c>
      <c r="L93" s="12">
        <v>0.45555555555555555</v>
      </c>
      <c r="M93" s="13">
        <v>0.45694444444444443</v>
      </c>
      <c r="N93" s="67">
        <v>40.0</v>
      </c>
      <c r="O93" s="79">
        <v>0.5125</v>
      </c>
      <c r="P93" s="80">
        <v>0.5145833333333333</v>
      </c>
      <c r="Q93" s="67">
        <v>35.0</v>
      </c>
      <c r="R93" s="79">
        <v>0.06666666666666667</v>
      </c>
      <c r="S93" s="80">
        <v>0.07013888888888889</v>
      </c>
      <c r="T93" s="67">
        <v>34.0</v>
      </c>
      <c r="U93" s="79">
        <v>0.10972222222222222</v>
      </c>
      <c r="V93" s="80">
        <v>0.11319444444444444</v>
      </c>
    </row>
    <row r="94" ht="15.75" customHeight="1">
      <c r="A94" s="47">
        <v>603.0</v>
      </c>
      <c r="B94" s="11">
        <v>6.0</v>
      </c>
      <c r="C94" s="12">
        <v>0.2520833333333333</v>
      </c>
      <c r="D94" s="13">
        <v>0.25277777777777777</v>
      </c>
      <c r="E94" s="64">
        <v>6.0</v>
      </c>
      <c r="F94" s="65">
        <v>0.2923611111111111</v>
      </c>
      <c r="G94" s="66">
        <v>0.2923611111111111</v>
      </c>
      <c r="H94" s="11">
        <v>8.0</v>
      </c>
      <c r="I94" s="12">
        <v>0.3458333333333333</v>
      </c>
      <c r="J94" s="13">
        <v>0.34791666666666665</v>
      </c>
      <c r="K94" s="67">
        <v>9.0</v>
      </c>
      <c r="L94" s="12">
        <v>0.4166666666666667</v>
      </c>
      <c r="M94" s="13">
        <v>0.41875</v>
      </c>
      <c r="N94" s="67">
        <v>9.0</v>
      </c>
      <c r="O94" s="79">
        <v>0.47291666666666665</v>
      </c>
      <c r="P94" s="80">
        <v>0.475</v>
      </c>
      <c r="Q94" s="67">
        <v>8.0</v>
      </c>
      <c r="R94" s="79">
        <v>0.5229166666666667</v>
      </c>
      <c r="S94" s="80">
        <v>0.525</v>
      </c>
      <c r="T94" s="67">
        <v>8.0</v>
      </c>
      <c r="U94" s="79">
        <v>0.059027777777777776</v>
      </c>
      <c r="V94" s="80">
        <v>0.06319444444444444</v>
      </c>
    </row>
    <row r="95" ht="15.75" customHeight="1">
      <c r="A95" s="47">
        <v>604.0</v>
      </c>
      <c r="B95" s="11">
        <v>32.0</v>
      </c>
      <c r="C95" s="12">
        <v>0.25972222222222224</v>
      </c>
      <c r="D95" s="13">
        <v>0.2604166666666667</v>
      </c>
      <c r="E95" s="64">
        <v>36.0</v>
      </c>
      <c r="F95" s="65">
        <v>0.31180555555555556</v>
      </c>
      <c r="G95" s="66">
        <v>0.31180555555555556</v>
      </c>
      <c r="H95" s="11">
        <v>50.0</v>
      </c>
      <c r="I95" s="12">
        <v>0.3763888888888889</v>
      </c>
      <c r="J95" s="13">
        <v>0.38055555555555554</v>
      </c>
      <c r="K95" s="67">
        <v>65.0</v>
      </c>
      <c r="L95" s="12">
        <v>0.4701388888888889</v>
      </c>
      <c r="M95" s="13">
        <v>0.4722222222222222</v>
      </c>
      <c r="N95" s="67">
        <v>71.0</v>
      </c>
      <c r="O95" s="79">
        <v>0.043055555555555555</v>
      </c>
      <c r="P95" s="80">
        <v>0.04513888888888889</v>
      </c>
      <c r="Q95" s="67">
        <v>74.0</v>
      </c>
      <c r="R95" s="79">
        <v>0.1111111111111111</v>
      </c>
      <c r="S95" s="80">
        <v>0.11319444444444444</v>
      </c>
      <c r="T95" s="67">
        <v>69.0</v>
      </c>
      <c r="U95" s="79">
        <v>0.16111111111111112</v>
      </c>
      <c r="V95" s="80">
        <v>0.16875</v>
      </c>
    </row>
    <row r="96" ht="15.75" customHeight="1">
      <c r="A96" s="47">
        <v>605.0</v>
      </c>
      <c r="B96" s="11">
        <v>141.0</v>
      </c>
      <c r="C96" s="12">
        <v>0.27152777777777776</v>
      </c>
      <c r="D96" s="13">
        <v>0.2722222222222222</v>
      </c>
      <c r="E96" s="64">
        <v>164.0</v>
      </c>
      <c r="F96" s="65">
        <v>0.3388888888888889</v>
      </c>
      <c r="G96" s="66">
        <v>0.3388888888888889</v>
      </c>
      <c r="H96" s="11">
        <v>174.0</v>
      </c>
      <c r="I96" s="12">
        <v>0.4236111111111111</v>
      </c>
      <c r="J96" s="13">
        <v>0.4284722222222222</v>
      </c>
      <c r="K96" s="67">
        <v>179.0</v>
      </c>
      <c r="L96" s="12">
        <v>0.5381944444444444</v>
      </c>
      <c r="M96" s="13">
        <v>0.04236111111111111</v>
      </c>
      <c r="N96" s="67">
        <v>178.0</v>
      </c>
      <c r="O96" s="79">
        <v>0.11805555555555555</v>
      </c>
      <c r="P96" s="80">
        <v>0.12569444444444444</v>
      </c>
      <c r="Q96" s="67">
        <v>174.0</v>
      </c>
      <c r="R96" s="79">
        <v>0.20416666666666666</v>
      </c>
      <c r="S96" s="80">
        <v>0.21180555555555555</v>
      </c>
      <c r="T96" s="67">
        <v>173.0</v>
      </c>
      <c r="U96" s="79">
        <v>0.2638888888888889</v>
      </c>
      <c r="V96" s="80">
        <v>0.27152777777777776</v>
      </c>
    </row>
    <row r="97" ht="15.75" customHeight="1">
      <c r="A97" s="47">
        <v>606.0</v>
      </c>
      <c r="B97" s="11">
        <v>92.0</v>
      </c>
      <c r="C97" s="12">
        <v>0.2673611111111111</v>
      </c>
      <c r="D97" s="13">
        <v>0.26805555555555555</v>
      </c>
      <c r="E97" s="64">
        <v>94.0</v>
      </c>
      <c r="F97" s="65">
        <v>0.32430555555555557</v>
      </c>
      <c r="G97" s="66">
        <v>0.32430555555555557</v>
      </c>
      <c r="H97" s="11">
        <v>118.0</v>
      </c>
      <c r="I97" s="12">
        <v>0.4013888888888889</v>
      </c>
      <c r="J97" s="13">
        <v>0.4097222222222222</v>
      </c>
      <c r="K97" s="67">
        <v>115.0</v>
      </c>
      <c r="L97" s="12">
        <v>0.4986111111111111</v>
      </c>
      <c r="M97" s="13">
        <v>0.5020833333333333</v>
      </c>
      <c r="N97" s="67">
        <v>120.0</v>
      </c>
      <c r="O97" s="79">
        <v>0.07916666666666666</v>
      </c>
      <c r="P97" s="80">
        <v>0.08333333333333333</v>
      </c>
      <c r="Q97" s="67">
        <v>126.0</v>
      </c>
      <c r="R97" s="79">
        <v>0.15625</v>
      </c>
      <c r="S97" s="80">
        <v>0.1597222222222222</v>
      </c>
      <c r="T97" s="67">
        <v>120.0</v>
      </c>
      <c r="U97" s="79">
        <v>0.20902777777777778</v>
      </c>
      <c r="V97" s="80">
        <v>0.21458333333333332</v>
      </c>
    </row>
    <row r="98" ht="15.75" customHeight="1">
      <c r="A98" s="47">
        <v>607.0</v>
      </c>
      <c r="B98" s="11">
        <v>172.0</v>
      </c>
      <c r="C98" s="12">
        <v>0.2743055555555556</v>
      </c>
      <c r="D98" s="13">
        <v>0.275</v>
      </c>
      <c r="E98" s="64">
        <v>170.0</v>
      </c>
      <c r="F98" s="65">
        <v>0.3388888888888889</v>
      </c>
      <c r="G98" s="66">
        <v>0.3388888888888889</v>
      </c>
      <c r="H98" s="11">
        <v>155.0</v>
      </c>
      <c r="I98" s="12">
        <v>0.41388888888888886</v>
      </c>
      <c r="J98" s="13">
        <v>0.42083333333333334</v>
      </c>
      <c r="K98" s="67">
        <v>140.0</v>
      </c>
      <c r="L98" s="12">
        <v>0.5069444444444444</v>
      </c>
      <c r="M98" s="13">
        <v>0.5083333333333333</v>
      </c>
      <c r="N98" s="67">
        <v>130.0</v>
      </c>
      <c r="O98" s="79">
        <v>0.0798611111111111</v>
      </c>
      <c r="P98" s="80">
        <v>0.08541666666666667</v>
      </c>
      <c r="Q98" s="67">
        <v>130.0</v>
      </c>
      <c r="R98" s="79">
        <v>0.15763888888888888</v>
      </c>
      <c r="S98" s="80">
        <v>0.15833333333333333</v>
      </c>
      <c r="T98" s="67">
        <v>124.0</v>
      </c>
      <c r="U98" s="79">
        <v>0.2111111111111111</v>
      </c>
      <c r="V98" s="80">
        <v>0.21944444444444444</v>
      </c>
    </row>
    <row r="99" ht="15.75" customHeight="1">
      <c r="A99" s="47">
        <v>608.0</v>
      </c>
      <c r="B99" s="11">
        <v>196.0</v>
      </c>
      <c r="C99" s="12">
        <v>0.28125</v>
      </c>
      <c r="D99" s="13">
        <v>0.28194444444444444</v>
      </c>
      <c r="E99" s="64">
        <v>193.0</v>
      </c>
      <c r="F99" s="65">
        <v>0.3541666666666667</v>
      </c>
      <c r="G99" s="66">
        <v>0.3541666666666667</v>
      </c>
      <c r="H99" s="11">
        <v>195.0</v>
      </c>
      <c r="I99" s="12">
        <v>0.44583333333333336</v>
      </c>
      <c r="J99" s="13">
        <v>0.45069444444444445</v>
      </c>
      <c r="K99" s="67">
        <v>193.0</v>
      </c>
      <c r="L99" s="12">
        <v>0.06805555555555555</v>
      </c>
      <c r="M99" s="13">
        <v>0.06944444444444445</v>
      </c>
      <c r="N99" s="67">
        <v>195.0</v>
      </c>
      <c r="O99" s="79">
        <v>0.1597222222222222</v>
      </c>
      <c r="P99" s="80">
        <v>0.16319444444444445</v>
      </c>
      <c r="Q99" s="67">
        <v>191.0</v>
      </c>
      <c r="R99" s="79">
        <v>0.2520833333333333</v>
      </c>
      <c r="S99" s="72" t="s">
        <v>178</v>
      </c>
      <c r="V99" s="72"/>
    </row>
    <row r="100" ht="15.75" customHeight="1">
      <c r="A100" s="47">
        <v>609.0</v>
      </c>
      <c r="B100" s="11"/>
      <c r="C100" s="12"/>
      <c r="D100" s="13"/>
      <c r="E100" s="64"/>
      <c r="F100" s="65"/>
      <c r="G100" s="66"/>
      <c r="H100" s="11">
        <v>11.0</v>
      </c>
      <c r="I100" s="12">
        <v>0.3486111111111111</v>
      </c>
      <c r="J100" s="13">
        <v>0.34930555555555554</v>
      </c>
      <c r="K100" s="67">
        <v>5.0</v>
      </c>
      <c r="L100" s="12">
        <v>0.41458333333333336</v>
      </c>
      <c r="M100" s="13">
        <v>0.4152777777777778</v>
      </c>
      <c r="N100" s="67">
        <v>5.0</v>
      </c>
      <c r="O100" s="79">
        <v>0.4666666666666667</v>
      </c>
      <c r="P100" s="80">
        <v>0.46805555555555556</v>
      </c>
      <c r="Q100" s="67">
        <v>4.0</v>
      </c>
      <c r="R100" s="79">
        <v>0.5180555555555556</v>
      </c>
      <c r="S100" s="80">
        <v>0.51875</v>
      </c>
      <c r="T100" s="67">
        <v>5.0</v>
      </c>
      <c r="U100" s="79">
        <v>0.052083333333333336</v>
      </c>
      <c r="V100" s="80">
        <v>0.05486111111111111</v>
      </c>
    </row>
    <row r="101" ht="15.75" customHeight="1">
      <c r="A101" s="47">
        <v>611.0</v>
      </c>
      <c r="B101" s="11">
        <v>49.0</v>
      </c>
      <c r="C101" s="12">
        <v>0.2611111111111111</v>
      </c>
      <c r="D101" s="13">
        <v>0.26180555555555557</v>
      </c>
      <c r="E101" s="64">
        <v>11.0</v>
      </c>
      <c r="F101" s="65">
        <v>0.2986111111111111</v>
      </c>
      <c r="G101" s="66">
        <v>0.2986111111111111</v>
      </c>
      <c r="H101" s="11">
        <v>44.0</v>
      </c>
      <c r="I101" s="12">
        <v>0.3736111111111111</v>
      </c>
      <c r="J101" s="13">
        <v>0.3784722222222222</v>
      </c>
      <c r="K101" s="67">
        <v>40.0</v>
      </c>
      <c r="L101" s="12">
        <v>0.45</v>
      </c>
      <c r="M101" s="13">
        <v>0.4527777777777778</v>
      </c>
      <c r="N101" s="67">
        <v>41.0</v>
      </c>
      <c r="O101" s="79">
        <v>0.5125</v>
      </c>
      <c r="P101" s="80">
        <v>0.5152777777777777</v>
      </c>
      <c r="Q101" s="67">
        <v>38.0</v>
      </c>
      <c r="R101" s="79">
        <v>0.07013888888888889</v>
      </c>
      <c r="S101" s="80">
        <v>0.07083333333333333</v>
      </c>
      <c r="T101" s="67">
        <v>32.0</v>
      </c>
      <c r="U101" s="79">
        <v>0.10694444444444444</v>
      </c>
      <c r="V101" s="80">
        <v>0.11736111111111111</v>
      </c>
    </row>
    <row r="102" ht="15.75" customHeight="1">
      <c r="A102" s="47">
        <v>612.0</v>
      </c>
      <c r="B102" s="11">
        <v>190.0</v>
      </c>
      <c r="C102" s="12">
        <v>0.28055555555555556</v>
      </c>
      <c r="D102" s="13">
        <v>0.28125</v>
      </c>
      <c r="E102" s="64">
        <v>51.0</v>
      </c>
      <c r="F102" s="65">
        <v>0.3145833333333333</v>
      </c>
      <c r="G102" s="66">
        <v>0.3145833333333333</v>
      </c>
      <c r="H102" s="11">
        <v>191.0</v>
      </c>
      <c r="I102" s="12">
        <v>0.4395833333333333</v>
      </c>
      <c r="J102" s="13">
        <v>0.4444444444444444</v>
      </c>
      <c r="K102" s="67">
        <v>184.0</v>
      </c>
      <c r="L102" s="12">
        <v>0.04375</v>
      </c>
      <c r="M102" s="13">
        <v>0.04583333333333333</v>
      </c>
      <c r="N102" s="67">
        <v>186.0</v>
      </c>
      <c r="O102" s="79">
        <v>0.1326388888888889</v>
      </c>
      <c r="P102" s="80">
        <v>0.13541666666666666</v>
      </c>
      <c r="Q102" s="67">
        <v>183.0</v>
      </c>
      <c r="R102" s="79">
        <v>0.21805555555555556</v>
      </c>
      <c r="S102" s="80">
        <v>0.21944444444444444</v>
      </c>
      <c r="T102" s="67">
        <v>177.0</v>
      </c>
      <c r="U102" s="79">
        <v>0.27361111111111114</v>
      </c>
      <c r="V102" s="80">
        <v>0.28194444444444444</v>
      </c>
    </row>
    <row r="103" ht="15.75" customHeight="1">
      <c r="A103" s="47">
        <v>613.0</v>
      </c>
      <c r="B103" s="11">
        <v>19.0</v>
      </c>
      <c r="C103" s="12">
        <v>0.25763888888888886</v>
      </c>
      <c r="D103" s="13">
        <v>0.25833333333333336</v>
      </c>
      <c r="E103" s="64">
        <v>192.0</v>
      </c>
      <c r="F103" s="65">
        <v>0.35347222222222224</v>
      </c>
      <c r="G103" s="66">
        <v>0.35347222222222224</v>
      </c>
      <c r="H103" s="11">
        <v>17.0</v>
      </c>
      <c r="I103" s="12">
        <v>0.3611111111111111</v>
      </c>
      <c r="J103" s="38" t="s">
        <v>178</v>
      </c>
      <c r="M103" s="72"/>
      <c r="P103" s="72"/>
      <c r="S103" s="72"/>
      <c r="V103" s="72"/>
    </row>
    <row r="104" ht="15.75" customHeight="1">
      <c r="A104" s="47">
        <v>614.0</v>
      </c>
      <c r="B104" s="11">
        <v>157.0</v>
      </c>
      <c r="C104" s="12">
        <v>0.2743055555555556</v>
      </c>
      <c r="D104" s="13">
        <v>0.275</v>
      </c>
      <c r="E104" s="64">
        <v>15.0</v>
      </c>
      <c r="F104" s="65">
        <v>0.3020833333333333</v>
      </c>
      <c r="G104" s="66">
        <v>0.3020833333333333</v>
      </c>
      <c r="H104" s="11">
        <v>182.0</v>
      </c>
      <c r="I104" s="12">
        <v>0.42777777777777776</v>
      </c>
      <c r="J104" s="13">
        <v>0.43333333333333335</v>
      </c>
      <c r="K104" s="67">
        <v>176.0</v>
      </c>
      <c r="L104" s="12">
        <v>0.5368055555555555</v>
      </c>
      <c r="M104" s="13">
        <v>0.04236111111111111</v>
      </c>
      <c r="N104" s="67">
        <v>176.0</v>
      </c>
      <c r="O104" s="79">
        <v>0.11736111111111111</v>
      </c>
      <c r="P104" s="80">
        <v>0.12291666666666666</v>
      </c>
      <c r="Q104" s="67">
        <v>173.0</v>
      </c>
      <c r="R104" s="79">
        <v>0.20208333333333334</v>
      </c>
      <c r="S104" s="80">
        <v>0.21319444444444444</v>
      </c>
      <c r="T104" s="67">
        <v>170.0</v>
      </c>
      <c r="U104" s="79">
        <v>0.2625</v>
      </c>
      <c r="V104" s="80">
        <v>0.26875</v>
      </c>
    </row>
    <row r="105" ht="15.75" customHeight="1">
      <c r="A105" s="47">
        <v>615.0</v>
      </c>
      <c r="B105" s="11">
        <v>48.0</v>
      </c>
      <c r="C105" s="12">
        <v>0.2611111111111111</v>
      </c>
      <c r="D105" s="13">
        <v>0.26180555555555557</v>
      </c>
      <c r="E105" s="64">
        <v>169.0</v>
      </c>
      <c r="F105" s="65">
        <v>0.3388888888888889</v>
      </c>
      <c r="G105" s="66">
        <v>0.3388888888888889</v>
      </c>
      <c r="H105" s="11">
        <v>73.0</v>
      </c>
      <c r="I105" s="12">
        <v>0.3875</v>
      </c>
      <c r="J105" s="13">
        <v>0.4013888888888889</v>
      </c>
      <c r="K105" s="67">
        <v>86.0</v>
      </c>
      <c r="L105" s="12">
        <v>0.48055555555555557</v>
      </c>
      <c r="M105" s="13">
        <v>0.4840277777777778</v>
      </c>
      <c r="N105" s="67">
        <v>97.0</v>
      </c>
      <c r="O105" s="79">
        <v>0.059722222222222225</v>
      </c>
      <c r="P105" s="80">
        <v>0.06388888888888888</v>
      </c>
      <c r="Q105" s="67">
        <v>103.0</v>
      </c>
      <c r="R105" s="79">
        <v>0.13819444444444445</v>
      </c>
      <c r="S105" s="80">
        <v>0.14375</v>
      </c>
      <c r="T105" s="67">
        <v>102.0</v>
      </c>
      <c r="U105" s="79">
        <v>0.19375</v>
      </c>
      <c r="V105" s="80">
        <v>0.20625</v>
      </c>
    </row>
    <row r="106" ht="15.75" customHeight="1">
      <c r="A106" s="47">
        <v>616.0</v>
      </c>
      <c r="B106" s="11">
        <v>138.0</v>
      </c>
      <c r="C106" s="12">
        <v>0.27152777777777776</v>
      </c>
      <c r="D106" s="13">
        <v>0.2722222222222222</v>
      </c>
      <c r="E106" s="64">
        <v>69.0</v>
      </c>
      <c r="F106" s="65">
        <v>0.32013888888888886</v>
      </c>
      <c r="G106" s="66">
        <v>0.32013888888888886</v>
      </c>
      <c r="H106" s="11">
        <v>187.0</v>
      </c>
      <c r="I106" s="12">
        <v>0.42916666666666664</v>
      </c>
      <c r="J106" s="13">
        <v>0.4305555555555556</v>
      </c>
      <c r="K106" s="67">
        <v>186.0</v>
      </c>
      <c r="L106" s="12">
        <v>0.04652777777777778</v>
      </c>
      <c r="M106" s="13">
        <v>0.04791666666666667</v>
      </c>
      <c r="N106" s="67">
        <v>194.0</v>
      </c>
      <c r="O106" s="79">
        <v>0.1597222222222222</v>
      </c>
      <c r="P106" s="72" t="s">
        <v>178</v>
      </c>
      <c r="S106" s="72"/>
      <c r="V106" s="72"/>
    </row>
    <row r="107" ht="15.75" customHeight="1">
      <c r="A107" s="47">
        <v>617.0</v>
      </c>
      <c r="B107" s="11">
        <v>82.0</v>
      </c>
      <c r="C107" s="12">
        <v>0.2659722222222222</v>
      </c>
      <c r="D107" s="13">
        <v>0.26666666666666666</v>
      </c>
      <c r="E107" s="64">
        <v>173.0</v>
      </c>
      <c r="F107" s="65">
        <v>0.3388888888888889</v>
      </c>
      <c r="G107" s="66">
        <v>0.3388888888888889</v>
      </c>
      <c r="H107" s="11">
        <v>69.0</v>
      </c>
      <c r="I107" s="12">
        <v>0.3861111111111111</v>
      </c>
      <c r="J107" s="13">
        <v>0.38819444444444445</v>
      </c>
      <c r="K107" s="67">
        <v>58.0</v>
      </c>
      <c r="L107" s="12">
        <v>0.4625</v>
      </c>
      <c r="M107" s="13">
        <v>0.4652777777777778</v>
      </c>
      <c r="N107" s="67">
        <v>56.0</v>
      </c>
      <c r="O107" s="79">
        <v>0.5277777777777778</v>
      </c>
      <c r="P107" s="80">
        <v>0.5305555555555556</v>
      </c>
      <c r="Q107" s="67">
        <v>52.0</v>
      </c>
      <c r="R107" s="79">
        <v>0.08819444444444445</v>
      </c>
      <c r="S107" s="80">
        <v>0.08958333333333333</v>
      </c>
      <c r="T107" s="67">
        <v>51.0</v>
      </c>
      <c r="U107" s="79">
        <v>0.13125</v>
      </c>
      <c r="V107" s="80">
        <v>0.1375</v>
      </c>
    </row>
    <row r="108" ht="15.75" customHeight="1">
      <c r="A108" s="47">
        <v>618.0</v>
      </c>
      <c r="B108" s="11">
        <v>8.0</v>
      </c>
      <c r="C108" s="12">
        <v>0.2520833333333333</v>
      </c>
      <c r="D108" s="13">
        <v>0.25277777777777777</v>
      </c>
      <c r="E108" s="64">
        <v>82.0</v>
      </c>
      <c r="F108" s="65">
        <v>0.3215277777777778</v>
      </c>
      <c r="G108" s="66">
        <v>0.3215277777777778</v>
      </c>
      <c r="H108" s="11">
        <v>4.0</v>
      </c>
      <c r="I108" s="12">
        <v>0.34375</v>
      </c>
      <c r="J108" s="13">
        <v>0.3451388888888889</v>
      </c>
      <c r="K108" s="67">
        <v>4.0</v>
      </c>
      <c r="L108" s="12">
        <v>0.4111111111111111</v>
      </c>
      <c r="M108" s="13">
        <v>0.4131944444444444</v>
      </c>
      <c r="N108" s="67">
        <v>4.0</v>
      </c>
      <c r="O108" s="79">
        <v>0.46319444444444446</v>
      </c>
      <c r="P108" s="80">
        <v>0.4652777777777778</v>
      </c>
      <c r="Q108" s="67">
        <v>3.0</v>
      </c>
      <c r="R108" s="79">
        <v>0.5118055555555555</v>
      </c>
      <c r="S108" s="80">
        <v>0.5131944444444444</v>
      </c>
      <c r="T108" s="67">
        <v>3.0</v>
      </c>
      <c r="U108" s="79">
        <v>0.05</v>
      </c>
      <c r="V108" s="82"/>
    </row>
    <row r="109" ht="15.75" customHeight="1">
      <c r="A109" s="47">
        <v>620.0</v>
      </c>
      <c r="B109" s="11">
        <v>10.0</v>
      </c>
      <c r="C109" s="12">
        <v>0.2520833333333333</v>
      </c>
      <c r="D109" s="13">
        <v>0.25277777777777777</v>
      </c>
      <c r="E109" s="64">
        <v>5.0</v>
      </c>
      <c r="F109" s="65">
        <v>0.2923611111111111</v>
      </c>
      <c r="G109" s="66">
        <v>0.2923611111111111</v>
      </c>
      <c r="H109" s="11">
        <v>6.0</v>
      </c>
      <c r="I109" s="12">
        <v>0.34444444444444444</v>
      </c>
      <c r="J109" s="13">
        <v>0.34652777777777777</v>
      </c>
      <c r="K109" s="67">
        <v>7.0</v>
      </c>
      <c r="L109" s="12">
        <v>0.41597222222222224</v>
      </c>
      <c r="M109" s="13">
        <v>0.4166666666666667</v>
      </c>
      <c r="N109" s="67">
        <v>7.0</v>
      </c>
      <c r="O109" s="79">
        <v>0.4708333333333333</v>
      </c>
      <c r="P109" s="80">
        <v>0.4722222222222222</v>
      </c>
      <c r="Q109" s="67">
        <v>7.0</v>
      </c>
      <c r="R109" s="79">
        <v>0.5194444444444445</v>
      </c>
      <c r="S109" s="80">
        <v>0.5208333333333334</v>
      </c>
      <c r="T109" s="67">
        <v>7.0</v>
      </c>
      <c r="U109" s="79">
        <v>0.05277777777777778</v>
      </c>
      <c r="V109" s="80">
        <v>0.06111111111111111</v>
      </c>
    </row>
    <row r="110" ht="15.75" customHeight="1">
      <c r="A110" s="47">
        <v>622.0</v>
      </c>
      <c r="B110" s="11">
        <v>184.0</v>
      </c>
      <c r="C110" s="12">
        <v>0.2777777777777778</v>
      </c>
      <c r="D110" s="13">
        <v>0.27847222222222223</v>
      </c>
      <c r="E110" s="64">
        <v>8.0</v>
      </c>
      <c r="F110" s="65">
        <v>0.29444444444444445</v>
      </c>
      <c r="G110" s="66">
        <v>0.29444444444444445</v>
      </c>
      <c r="H110" s="11">
        <v>189.0</v>
      </c>
      <c r="I110" s="12">
        <v>0.4305555555555556</v>
      </c>
      <c r="J110" s="13">
        <v>0.4375</v>
      </c>
      <c r="K110" s="67">
        <v>185.0</v>
      </c>
      <c r="L110" s="12">
        <v>0.044444444444444446</v>
      </c>
      <c r="M110" s="13">
        <v>0.04722222222222222</v>
      </c>
      <c r="N110" s="67">
        <v>185.0</v>
      </c>
      <c r="O110" s="79">
        <v>0.1284722222222222</v>
      </c>
      <c r="P110" s="80">
        <v>0.13055555555555556</v>
      </c>
      <c r="Q110" s="67">
        <v>179.0</v>
      </c>
      <c r="R110" s="79">
        <v>0.2111111111111111</v>
      </c>
      <c r="S110" s="80">
        <v>0.21319444444444444</v>
      </c>
      <c r="T110" s="67">
        <v>178.0</v>
      </c>
      <c r="U110" s="79">
        <v>0.27569444444444446</v>
      </c>
      <c r="V110" s="80">
        <v>0.27847222222222223</v>
      </c>
    </row>
    <row r="111" ht="15.75" customHeight="1">
      <c r="A111" s="47">
        <v>623.0</v>
      </c>
      <c r="B111" s="11">
        <v>51.0</v>
      </c>
      <c r="C111" s="12">
        <v>0.2625</v>
      </c>
      <c r="D111" s="13">
        <v>0.26319444444444445</v>
      </c>
      <c r="E111" s="64">
        <v>185.0</v>
      </c>
      <c r="F111" s="65">
        <v>0.34444444444444444</v>
      </c>
      <c r="G111" s="66">
        <v>0.34444444444444444</v>
      </c>
      <c r="H111" s="11">
        <v>37.0</v>
      </c>
      <c r="I111" s="12">
        <v>0.37083333333333335</v>
      </c>
      <c r="J111" s="13">
        <v>0.3736111111111111</v>
      </c>
      <c r="K111" s="67">
        <v>32.0</v>
      </c>
      <c r="L111" s="12">
        <v>0.44583333333333336</v>
      </c>
      <c r="M111" s="13">
        <v>0.44722222222222224</v>
      </c>
      <c r="N111" s="67">
        <v>34.0</v>
      </c>
      <c r="O111" s="79">
        <v>0.5069444444444444</v>
      </c>
      <c r="P111" s="80">
        <v>0.5076388888888889</v>
      </c>
      <c r="Q111" s="67">
        <v>30.0</v>
      </c>
      <c r="R111" s="79">
        <v>0.06458333333333334</v>
      </c>
      <c r="S111" s="80">
        <v>0.06666666666666667</v>
      </c>
      <c r="T111" s="67">
        <v>37.0</v>
      </c>
      <c r="U111" s="79">
        <v>0.11180555555555556</v>
      </c>
      <c r="V111" s="80">
        <v>0.11180555555555556</v>
      </c>
    </row>
    <row r="112" ht="15.75" customHeight="1">
      <c r="A112" s="47">
        <v>623.0</v>
      </c>
      <c r="B112" s="11"/>
      <c r="C112" s="12"/>
      <c r="D112" s="13"/>
      <c r="E112" s="64"/>
      <c r="F112" s="65"/>
      <c r="G112" s="66"/>
      <c r="H112" s="11"/>
      <c r="I112" s="12"/>
      <c r="J112" s="38"/>
      <c r="M112" s="72"/>
      <c r="P112" s="72"/>
      <c r="S112" s="72"/>
      <c r="T112" s="67">
        <v>55.0</v>
      </c>
      <c r="U112" s="79">
        <v>0.14097222222222222</v>
      </c>
      <c r="V112" s="80">
        <v>0.15555555555555556</v>
      </c>
    </row>
    <row r="113" ht="15.75" customHeight="1">
      <c r="A113" s="47">
        <v>624.0</v>
      </c>
      <c r="B113" s="11">
        <v>180.0</v>
      </c>
      <c r="C113" s="12">
        <v>0.2777777777777778</v>
      </c>
      <c r="D113" s="13">
        <v>0.27847222222222223</v>
      </c>
      <c r="E113" s="64">
        <v>59.0</v>
      </c>
      <c r="F113" s="65">
        <v>0.3159722222222222</v>
      </c>
      <c r="G113" s="66">
        <v>0.3159722222222222</v>
      </c>
      <c r="H113" s="11">
        <v>199.0</v>
      </c>
      <c r="I113" s="12">
        <v>0.44930555555555557</v>
      </c>
      <c r="J113" s="38" t="s">
        <v>178</v>
      </c>
      <c r="M113" s="72"/>
      <c r="P113" s="72"/>
      <c r="S113" s="72"/>
      <c r="V113" s="72"/>
    </row>
    <row r="114" ht="15.75" customHeight="1">
      <c r="A114" s="47">
        <v>625.0</v>
      </c>
      <c r="B114" s="11">
        <v>134.0</v>
      </c>
      <c r="C114" s="12">
        <v>0.27152777777777776</v>
      </c>
      <c r="D114" s="13">
        <v>0.2722222222222222</v>
      </c>
      <c r="E114" s="64">
        <v>183.0</v>
      </c>
      <c r="F114" s="65">
        <v>0.34444444444444444</v>
      </c>
      <c r="G114" s="66">
        <v>0.34444444444444444</v>
      </c>
      <c r="H114" s="11">
        <v>125.0</v>
      </c>
      <c r="I114" s="12">
        <v>0.4041666666666667</v>
      </c>
      <c r="J114" s="13">
        <v>0.4125</v>
      </c>
      <c r="K114" s="67">
        <v>112.0</v>
      </c>
      <c r="L114" s="12">
        <v>0.4979166666666667</v>
      </c>
      <c r="M114" s="13">
        <v>0.5</v>
      </c>
      <c r="N114" s="67">
        <v>107.0</v>
      </c>
      <c r="O114" s="79">
        <v>0.06875</v>
      </c>
      <c r="P114" s="80">
        <v>0.07152777777777777</v>
      </c>
      <c r="Q114" s="67">
        <v>100.0</v>
      </c>
      <c r="R114" s="79">
        <v>0.13680555555555557</v>
      </c>
      <c r="S114" s="80">
        <v>0.14027777777777778</v>
      </c>
      <c r="T114" s="67">
        <v>96.0</v>
      </c>
      <c r="U114" s="79">
        <v>0.18541666666666667</v>
      </c>
      <c r="V114" s="80">
        <v>0.19930555555555557</v>
      </c>
    </row>
    <row r="115" ht="15.75" customHeight="1">
      <c r="A115" s="47">
        <v>626.0</v>
      </c>
      <c r="B115" s="11">
        <v>139.0</v>
      </c>
      <c r="C115" s="12">
        <v>0.27152777777777776</v>
      </c>
      <c r="D115" s="13">
        <v>0.2722222222222222</v>
      </c>
      <c r="E115" s="64">
        <v>130.0</v>
      </c>
      <c r="F115" s="65">
        <v>0.3326388888888889</v>
      </c>
      <c r="G115" s="66">
        <v>0.3326388888888889</v>
      </c>
      <c r="H115" s="11">
        <v>151.0</v>
      </c>
      <c r="I115" s="12">
        <v>0.4131944444444444</v>
      </c>
      <c r="J115" s="13">
        <v>0.41805555555555557</v>
      </c>
      <c r="K115" s="67">
        <v>137.0</v>
      </c>
      <c r="L115" s="12">
        <v>0.5055555555555555</v>
      </c>
      <c r="M115" s="13">
        <v>0.5076388888888889</v>
      </c>
      <c r="N115" s="67">
        <v>127.0</v>
      </c>
      <c r="O115" s="79">
        <v>0.0798611111111111</v>
      </c>
      <c r="P115" s="80">
        <v>0.08333333333333333</v>
      </c>
      <c r="Q115" s="67">
        <v>110.0</v>
      </c>
      <c r="R115" s="79">
        <v>0.14791666666666667</v>
      </c>
      <c r="S115" s="80">
        <v>0.15069444444444444</v>
      </c>
      <c r="T115" s="67">
        <v>106.0</v>
      </c>
      <c r="U115" s="79">
        <v>0.19791666666666666</v>
      </c>
      <c r="V115" s="80">
        <v>0.20625</v>
      </c>
    </row>
    <row r="116" ht="15.75" customHeight="1">
      <c r="A116" s="47">
        <v>627.0</v>
      </c>
      <c r="B116" s="11">
        <v>127.0</v>
      </c>
      <c r="C116" s="12">
        <v>0.2708333333333333</v>
      </c>
      <c r="D116" s="13">
        <v>0.27152777777777776</v>
      </c>
      <c r="E116" s="64">
        <v>145.0</v>
      </c>
      <c r="F116" s="65">
        <v>0.3368055555555556</v>
      </c>
      <c r="G116" s="66">
        <v>0.3368055555555556</v>
      </c>
      <c r="H116" s="11">
        <v>160.0</v>
      </c>
      <c r="I116" s="12">
        <v>0.41597222222222224</v>
      </c>
      <c r="J116" s="13">
        <v>0.4222222222222222</v>
      </c>
      <c r="K116" s="67">
        <v>150.0</v>
      </c>
      <c r="L116" s="12">
        <v>0.5145833333333333</v>
      </c>
      <c r="M116" s="13">
        <v>0.5159722222222223</v>
      </c>
      <c r="N116" s="67">
        <v>149.0</v>
      </c>
      <c r="O116" s="79">
        <v>0.09236111111111112</v>
      </c>
      <c r="P116" s="80">
        <v>0.09444444444444444</v>
      </c>
      <c r="Q116" s="67">
        <v>140.0</v>
      </c>
      <c r="R116" s="79">
        <v>0.1673611111111111</v>
      </c>
      <c r="S116" s="80">
        <v>0.16944444444444445</v>
      </c>
      <c r="T116" s="67">
        <v>140.0</v>
      </c>
      <c r="U116" s="79">
        <v>0.22291666666666668</v>
      </c>
      <c r="V116" s="80">
        <v>0.2263888888888889</v>
      </c>
    </row>
    <row r="117" ht="15.75" customHeight="1">
      <c r="A117" s="47">
        <v>628.0</v>
      </c>
      <c r="B117" s="11">
        <v>135.0</v>
      </c>
      <c r="C117" s="12">
        <v>0.27152777777777776</v>
      </c>
      <c r="D117" s="13">
        <v>0.2722222222222222</v>
      </c>
      <c r="E117" s="64">
        <v>147.0</v>
      </c>
      <c r="F117" s="65">
        <v>0.3368055555555556</v>
      </c>
      <c r="G117" s="66">
        <v>0.3368055555555556</v>
      </c>
      <c r="H117" s="11">
        <v>157.0</v>
      </c>
      <c r="I117" s="12">
        <v>0.41458333333333336</v>
      </c>
      <c r="J117" s="13">
        <v>0.42083333333333334</v>
      </c>
      <c r="K117" s="67">
        <v>148.0</v>
      </c>
      <c r="L117" s="12">
        <v>0.5138888888888888</v>
      </c>
      <c r="M117" s="13">
        <v>0.5173611111111112</v>
      </c>
      <c r="N117" s="67">
        <v>144.0</v>
      </c>
      <c r="O117" s="79">
        <v>0.09166666666666666</v>
      </c>
      <c r="P117" s="80">
        <v>0.09305555555555556</v>
      </c>
      <c r="Q117" s="67">
        <v>146.0</v>
      </c>
      <c r="R117" s="79">
        <v>0.16805555555555557</v>
      </c>
      <c r="S117" s="80">
        <v>0.1701388888888889</v>
      </c>
      <c r="T117" s="67">
        <v>138.0</v>
      </c>
      <c r="U117" s="79">
        <v>0.22083333333333333</v>
      </c>
      <c r="V117" s="80">
        <v>0.225</v>
      </c>
    </row>
    <row r="118" ht="15.75" customHeight="1">
      <c r="A118" s="47">
        <v>629.0</v>
      </c>
      <c r="B118" s="11">
        <v>29.0</v>
      </c>
      <c r="C118" s="12">
        <v>0.25972222222222224</v>
      </c>
      <c r="D118" s="13">
        <v>0.2604166666666667</v>
      </c>
      <c r="E118" s="64">
        <v>118.0</v>
      </c>
      <c r="F118" s="65">
        <v>0.3298611111111111</v>
      </c>
      <c r="G118" s="66">
        <v>0.3298611111111111</v>
      </c>
      <c r="H118" s="11">
        <v>19.0</v>
      </c>
      <c r="I118" s="12">
        <v>0.3625</v>
      </c>
      <c r="J118" s="13">
        <v>0.36527777777777776</v>
      </c>
      <c r="K118" s="67">
        <v>17.0</v>
      </c>
      <c r="L118" s="12">
        <v>0.43472222222222223</v>
      </c>
      <c r="M118" s="13">
        <v>0.43680555555555556</v>
      </c>
      <c r="N118" s="67">
        <v>17.0</v>
      </c>
      <c r="O118" s="79">
        <v>0.4930555555555556</v>
      </c>
      <c r="P118" s="80">
        <v>0.4965277777777778</v>
      </c>
      <c r="Q118" s="67">
        <v>18.0</v>
      </c>
      <c r="R118" s="79">
        <v>0.050694444444444445</v>
      </c>
      <c r="S118" s="80">
        <v>0.05416666666666667</v>
      </c>
      <c r="T118" s="67">
        <v>15.0</v>
      </c>
      <c r="U118" s="79">
        <v>0.09027777777777778</v>
      </c>
      <c r="V118" s="80">
        <v>0.09583333333333334</v>
      </c>
    </row>
    <row r="119" ht="15.75" customHeight="1">
      <c r="A119" s="47">
        <v>630.0</v>
      </c>
      <c r="B119" s="11">
        <v>149.0</v>
      </c>
      <c r="C119" s="12">
        <v>0.27152777777777776</v>
      </c>
      <c r="D119" s="13">
        <v>0.2722222222222222</v>
      </c>
      <c r="E119" s="64">
        <v>28.0</v>
      </c>
      <c r="F119" s="65">
        <v>0.30694444444444446</v>
      </c>
      <c r="G119" s="66">
        <v>0.30694444444444446</v>
      </c>
      <c r="H119" s="11">
        <v>164.0</v>
      </c>
      <c r="I119" s="12">
        <v>0.41875</v>
      </c>
      <c r="J119" s="13">
        <v>0.43472222222222223</v>
      </c>
      <c r="K119" s="67">
        <v>167.0</v>
      </c>
      <c r="L119" s="12">
        <v>0.5291666666666667</v>
      </c>
      <c r="M119" s="13">
        <v>0.5333333333333333</v>
      </c>
      <c r="N119" s="67">
        <v>173.0</v>
      </c>
      <c r="O119" s="79">
        <v>0.11388888888888889</v>
      </c>
      <c r="P119" s="80">
        <v>0.12222222222222222</v>
      </c>
      <c r="Q119" s="67">
        <v>175.0</v>
      </c>
      <c r="R119" s="79">
        <v>0.20555555555555555</v>
      </c>
      <c r="S119" s="80">
        <v>0.20972222222222223</v>
      </c>
      <c r="T119" s="67">
        <v>172.0</v>
      </c>
      <c r="U119" s="79">
        <v>0.2625</v>
      </c>
      <c r="V119" s="80">
        <v>0.28194444444444444</v>
      </c>
    </row>
    <row r="120" ht="15.75" customHeight="1">
      <c r="A120" s="47">
        <v>631.0</v>
      </c>
      <c r="B120" s="11">
        <v>33.0</v>
      </c>
      <c r="C120" s="12">
        <v>0.25972222222222224</v>
      </c>
      <c r="D120" s="13">
        <v>0.2604166666666667</v>
      </c>
      <c r="E120" s="64">
        <v>155.0</v>
      </c>
      <c r="F120" s="65">
        <v>0.33819444444444446</v>
      </c>
      <c r="G120" s="66">
        <v>0.33819444444444446</v>
      </c>
      <c r="H120" s="11">
        <v>32.0</v>
      </c>
      <c r="I120" s="12">
        <v>0.36875</v>
      </c>
      <c r="J120" s="13">
        <v>0.37083333333333335</v>
      </c>
      <c r="K120" s="67">
        <v>45.0</v>
      </c>
      <c r="L120" s="12">
        <v>0.4534722222222222</v>
      </c>
      <c r="M120" s="13">
        <v>0.45555555555555555</v>
      </c>
      <c r="N120" s="67">
        <v>51.0</v>
      </c>
      <c r="O120" s="79">
        <v>0.5222222222222223</v>
      </c>
      <c r="P120" s="80">
        <v>0.5243055555555556</v>
      </c>
      <c r="Q120" s="67">
        <v>56.0</v>
      </c>
      <c r="R120" s="79">
        <v>0.09097222222222222</v>
      </c>
      <c r="S120" s="80">
        <v>0.09236111111111112</v>
      </c>
      <c r="T120" s="67">
        <v>58.0</v>
      </c>
      <c r="U120" s="79">
        <v>0.14166666666666666</v>
      </c>
      <c r="V120" s="80">
        <v>0.14583333333333334</v>
      </c>
    </row>
    <row r="121" ht="15.75" customHeight="1">
      <c r="A121" s="47">
        <v>632.0</v>
      </c>
      <c r="B121" s="11">
        <v>179.0</v>
      </c>
      <c r="C121" s="12">
        <v>0.2763888888888889</v>
      </c>
      <c r="D121" s="13">
        <v>0.27708333333333335</v>
      </c>
      <c r="E121" s="64">
        <v>32.0</v>
      </c>
      <c r="F121" s="65">
        <v>0.3090277777777778</v>
      </c>
      <c r="G121" s="66">
        <v>0.3090277777777778</v>
      </c>
      <c r="H121" s="11">
        <v>172.0</v>
      </c>
      <c r="I121" s="12">
        <v>0.4236111111111111</v>
      </c>
      <c r="J121" s="13">
        <v>0.4284722222222222</v>
      </c>
      <c r="K121" s="67">
        <v>160.0</v>
      </c>
      <c r="L121" s="12">
        <v>0.5256944444444445</v>
      </c>
      <c r="M121" s="13">
        <v>0.5270833333333333</v>
      </c>
      <c r="N121" s="67">
        <v>160.0</v>
      </c>
      <c r="O121" s="79">
        <v>0.10555555555555556</v>
      </c>
      <c r="P121" s="80">
        <v>0.10694444444444444</v>
      </c>
      <c r="Q121" s="67">
        <v>150.0</v>
      </c>
      <c r="R121" s="79">
        <v>0.18055555555555555</v>
      </c>
      <c r="S121" s="80">
        <v>0.18125</v>
      </c>
      <c r="T121" s="67">
        <v>150.0</v>
      </c>
      <c r="U121" s="79">
        <v>0.2375</v>
      </c>
      <c r="V121" s="80">
        <v>0.24444444444444444</v>
      </c>
    </row>
    <row r="122" ht="15.75" customHeight="1">
      <c r="A122" s="47">
        <v>633.0</v>
      </c>
      <c r="B122" s="11">
        <v>183.0</v>
      </c>
      <c r="C122" s="12">
        <v>0.2777777777777778</v>
      </c>
      <c r="D122" s="13">
        <v>0.27847222222222223</v>
      </c>
      <c r="E122" s="64">
        <v>178.0</v>
      </c>
      <c r="F122" s="65">
        <v>0.34375</v>
      </c>
      <c r="G122" s="66">
        <v>0.34375</v>
      </c>
      <c r="H122" s="11">
        <v>186.0</v>
      </c>
      <c r="I122" s="12">
        <v>0.4284722222222222</v>
      </c>
      <c r="J122" s="13">
        <v>0.4326388888888889</v>
      </c>
      <c r="K122" s="67">
        <v>168.0</v>
      </c>
      <c r="L122" s="12">
        <v>0.5298611111111111</v>
      </c>
      <c r="M122" s="13">
        <v>0.5326388888888889</v>
      </c>
      <c r="N122" s="67">
        <v>166.0</v>
      </c>
      <c r="O122" s="79">
        <v>0.10833333333333334</v>
      </c>
      <c r="P122" s="80">
        <v>0.11180555555555556</v>
      </c>
      <c r="Q122" s="67">
        <v>157.0</v>
      </c>
      <c r="R122" s="79">
        <v>0.18541666666666667</v>
      </c>
      <c r="S122" s="80">
        <v>0.18888888888888888</v>
      </c>
      <c r="T122" s="67">
        <v>155.0</v>
      </c>
      <c r="U122" s="79">
        <v>0.24097222222222223</v>
      </c>
      <c r="V122" s="80">
        <v>0.24861111111111112</v>
      </c>
    </row>
    <row r="123" ht="15.75" customHeight="1">
      <c r="A123" s="47">
        <v>637.0</v>
      </c>
      <c r="B123" s="11">
        <v>73.0</v>
      </c>
      <c r="C123" s="12">
        <v>0.26458333333333334</v>
      </c>
      <c r="D123" s="13">
        <v>0.2652777777777778</v>
      </c>
      <c r="E123" s="64">
        <v>187.0</v>
      </c>
      <c r="F123" s="65">
        <v>0.3486111111111111</v>
      </c>
      <c r="G123" s="66">
        <v>0.3486111111111111</v>
      </c>
      <c r="H123" s="11">
        <v>76.0</v>
      </c>
      <c r="I123" s="12">
        <v>0.38819444444444445</v>
      </c>
      <c r="J123" s="13">
        <v>0.3909722222222222</v>
      </c>
      <c r="K123" s="67">
        <v>72.0</v>
      </c>
      <c r="L123" s="12">
        <v>0.4736111111111111</v>
      </c>
      <c r="M123" s="13">
        <v>0.4756944444444444</v>
      </c>
      <c r="N123" s="67">
        <v>81.0</v>
      </c>
      <c r="O123" s="79">
        <v>0.05</v>
      </c>
      <c r="P123" s="80">
        <v>0.050694444444444445</v>
      </c>
      <c r="Q123" s="67">
        <v>76.0</v>
      </c>
      <c r="R123" s="79">
        <v>0.11319444444444444</v>
      </c>
      <c r="S123" s="80">
        <v>0.11458333333333333</v>
      </c>
      <c r="T123" s="67">
        <v>68.0</v>
      </c>
      <c r="U123" s="79">
        <v>0.1597222222222222</v>
      </c>
      <c r="V123" s="80">
        <v>0.1625</v>
      </c>
    </row>
    <row r="124" ht="15.75" customHeight="1">
      <c r="A124" s="47">
        <v>638.0</v>
      </c>
      <c r="B124" s="11">
        <v>161.0</v>
      </c>
      <c r="C124" s="12">
        <v>0.2743055555555556</v>
      </c>
      <c r="D124" s="13">
        <v>0.275</v>
      </c>
      <c r="E124" s="64">
        <v>69.0</v>
      </c>
      <c r="F124" s="65">
        <v>0.32083333333333336</v>
      </c>
      <c r="G124" s="66">
        <v>0.32083333333333336</v>
      </c>
      <c r="H124" s="11">
        <v>140.0</v>
      </c>
      <c r="I124" s="12">
        <v>0.4097222222222222</v>
      </c>
      <c r="J124" s="13">
        <v>0.4131944444444444</v>
      </c>
      <c r="K124" s="67">
        <v>113.0</v>
      </c>
      <c r="L124" s="12">
        <v>0.4986111111111111</v>
      </c>
      <c r="M124" s="13">
        <v>0.5006944444444444</v>
      </c>
      <c r="N124" s="67">
        <v>106.0</v>
      </c>
      <c r="O124" s="79">
        <v>0.06875</v>
      </c>
      <c r="P124" s="80">
        <v>0.07152777777777777</v>
      </c>
      <c r="Q124" s="67">
        <v>101.0</v>
      </c>
      <c r="R124" s="79">
        <v>0.13680555555555557</v>
      </c>
      <c r="S124" s="80">
        <v>0.13958333333333334</v>
      </c>
      <c r="T124" s="67">
        <v>97.0</v>
      </c>
      <c r="U124" s="79">
        <v>0.18541666666666667</v>
      </c>
      <c r="V124" s="80">
        <v>0.18958333333333333</v>
      </c>
    </row>
    <row r="125" ht="15.75" customHeight="1">
      <c r="A125" s="47">
        <v>639.0</v>
      </c>
      <c r="B125" s="11">
        <v>83.0</v>
      </c>
      <c r="C125" s="12">
        <v>0.2659722222222222</v>
      </c>
      <c r="D125" s="13">
        <v>0.26666666666666666</v>
      </c>
      <c r="E125" s="64">
        <v>167.0</v>
      </c>
      <c r="F125" s="65">
        <v>0.3388888888888889</v>
      </c>
      <c r="G125" s="66">
        <v>0.3388888888888889</v>
      </c>
      <c r="H125" s="11">
        <v>105.0</v>
      </c>
      <c r="I125" s="12">
        <v>0.3972222222222222</v>
      </c>
      <c r="J125" s="13">
        <v>0.4041666666666667</v>
      </c>
      <c r="K125" s="67">
        <v>120.0</v>
      </c>
      <c r="L125" s="12">
        <v>0.5006944444444444</v>
      </c>
      <c r="M125" s="13">
        <v>0.5041666666666667</v>
      </c>
      <c r="N125" s="67">
        <v>139.0</v>
      </c>
      <c r="O125" s="81"/>
      <c r="P125" s="80">
        <v>0.0875</v>
      </c>
      <c r="Q125" s="67">
        <v>136.0</v>
      </c>
      <c r="R125" s="79">
        <v>0.16458333333333333</v>
      </c>
      <c r="S125" s="80">
        <v>0.16944444444444445</v>
      </c>
      <c r="T125" s="67">
        <v>145.0</v>
      </c>
      <c r="U125" s="79">
        <v>0.22847222222222222</v>
      </c>
      <c r="V125" s="80">
        <v>0.24027777777777778</v>
      </c>
    </row>
    <row r="126" ht="15.75" customHeight="1">
      <c r="A126" s="47">
        <v>640.0</v>
      </c>
      <c r="B126" s="11">
        <v>25.0</v>
      </c>
      <c r="C126" s="12">
        <v>0.2590277777777778</v>
      </c>
      <c r="D126" s="13">
        <v>0.25972222222222224</v>
      </c>
      <c r="E126" s="64">
        <v>89.0</v>
      </c>
      <c r="F126" s="65">
        <v>0.32430555555555557</v>
      </c>
      <c r="G126" s="66">
        <v>0.32430555555555557</v>
      </c>
      <c r="H126" s="11">
        <v>25.0</v>
      </c>
      <c r="I126" s="12">
        <v>0.3638888888888889</v>
      </c>
      <c r="J126" s="13">
        <v>0.3680555555555556</v>
      </c>
      <c r="K126" s="67">
        <v>28.0</v>
      </c>
      <c r="L126" s="12">
        <v>0.4444444444444444</v>
      </c>
      <c r="M126" s="13">
        <v>0.44722222222222224</v>
      </c>
      <c r="N126" s="67">
        <v>32.0</v>
      </c>
      <c r="O126" s="79">
        <v>0.5048611111111111</v>
      </c>
      <c r="P126" s="80">
        <v>0.5069444444444444</v>
      </c>
      <c r="Q126" s="67">
        <v>34.0</v>
      </c>
      <c r="R126" s="79">
        <v>0.06666666666666667</v>
      </c>
      <c r="S126" s="80">
        <v>0.07013888888888889</v>
      </c>
      <c r="T126" s="67">
        <v>42.0</v>
      </c>
      <c r="U126" s="79">
        <v>0.11458333333333333</v>
      </c>
      <c r="V126" s="72" t="s">
        <v>178</v>
      </c>
    </row>
    <row r="127" ht="15.75" customHeight="1">
      <c r="A127" s="47">
        <v>641.0</v>
      </c>
      <c r="B127" s="11">
        <v>171.0</v>
      </c>
      <c r="C127" s="12">
        <v>0.2743055555555556</v>
      </c>
      <c r="D127" s="13">
        <v>0.275</v>
      </c>
      <c r="E127" s="64">
        <v>31.0</v>
      </c>
      <c r="F127" s="65">
        <v>0.3076388888888889</v>
      </c>
      <c r="G127" s="66">
        <v>0.3076388888888889</v>
      </c>
      <c r="H127" s="11">
        <v>150.0</v>
      </c>
      <c r="I127" s="12">
        <v>0.4125</v>
      </c>
      <c r="J127" s="13">
        <v>0.4305555555555556</v>
      </c>
      <c r="K127" s="67">
        <v>171.0</v>
      </c>
      <c r="L127" s="12">
        <v>0.53125</v>
      </c>
      <c r="M127" s="13">
        <v>0.5361111111111111</v>
      </c>
      <c r="N127" s="67">
        <v>187.0</v>
      </c>
      <c r="O127" s="79">
        <v>0.1326388888888889</v>
      </c>
      <c r="P127" s="80">
        <v>0.13819444444444445</v>
      </c>
      <c r="Q127" s="67">
        <v>187.0</v>
      </c>
      <c r="R127" s="79">
        <v>0.23194444444444445</v>
      </c>
      <c r="S127" s="80">
        <v>0.23541666666666666</v>
      </c>
      <c r="T127" s="67">
        <v>186.0</v>
      </c>
      <c r="U127" s="79">
        <v>0.29791666666666666</v>
      </c>
      <c r="V127" s="72" t="s">
        <v>178</v>
      </c>
    </row>
    <row r="128" ht="15.75" customHeight="1">
      <c r="A128" s="47">
        <v>642.0</v>
      </c>
      <c r="B128" s="11">
        <v>39.0</v>
      </c>
      <c r="C128" s="12">
        <v>0.2604166666666667</v>
      </c>
      <c r="D128" s="13">
        <v>0.26180555555555557</v>
      </c>
      <c r="E128" s="64">
        <v>159.0</v>
      </c>
      <c r="F128" s="65">
        <v>0.3388888888888889</v>
      </c>
      <c r="G128" s="66">
        <v>0.3388888888888889</v>
      </c>
      <c r="H128" s="11">
        <v>45.0</v>
      </c>
      <c r="I128" s="12">
        <v>0.37430555555555556</v>
      </c>
      <c r="J128" s="13">
        <v>0.3763888888888889</v>
      </c>
      <c r="K128" s="67">
        <v>50.0</v>
      </c>
      <c r="L128" s="12">
        <v>0.45902777777777776</v>
      </c>
      <c r="M128" s="13">
        <v>0.46041666666666664</v>
      </c>
      <c r="N128" s="67">
        <v>52.0</v>
      </c>
      <c r="O128" s="79">
        <v>0.5229166666666667</v>
      </c>
      <c r="P128" s="82"/>
      <c r="Q128" s="67">
        <v>54.0</v>
      </c>
      <c r="R128" s="79">
        <v>0.08819444444444445</v>
      </c>
      <c r="S128" s="80">
        <v>0.08958333333333333</v>
      </c>
      <c r="T128" s="67">
        <v>54.0</v>
      </c>
      <c r="U128" s="79">
        <v>0.13333333333333333</v>
      </c>
      <c r="V128" s="80">
        <v>0.13819444444444445</v>
      </c>
    </row>
    <row r="129" ht="15.75" customHeight="1">
      <c r="A129" s="47">
        <v>643.0</v>
      </c>
      <c r="B129" s="11">
        <v>66.0</v>
      </c>
      <c r="C129" s="12">
        <v>0.26319444444444445</v>
      </c>
      <c r="D129" s="13">
        <v>0.2638888888888889</v>
      </c>
      <c r="E129" s="64">
        <v>38.0</v>
      </c>
      <c r="F129" s="65">
        <v>0.31319444444444444</v>
      </c>
      <c r="G129" s="66">
        <v>0.31319444444444444</v>
      </c>
      <c r="H129" s="11">
        <v>106.0</v>
      </c>
      <c r="I129" s="12">
        <v>0.3972222222222222</v>
      </c>
      <c r="J129" s="13">
        <v>0.40347222222222223</v>
      </c>
      <c r="K129" s="67">
        <v>106.0</v>
      </c>
      <c r="L129" s="12">
        <v>0.49236111111111114</v>
      </c>
      <c r="M129" s="13">
        <v>0.49583333333333335</v>
      </c>
      <c r="N129" s="67">
        <v>103.0</v>
      </c>
      <c r="O129" s="79">
        <v>0.06805555555555555</v>
      </c>
      <c r="P129" s="80">
        <v>0.07222222222222222</v>
      </c>
      <c r="Q129" s="67">
        <v>108.0</v>
      </c>
      <c r="R129" s="79">
        <v>0.14652777777777778</v>
      </c>
      <c r="S129" s="80">
        <v>0.15</v>
      </c>
      <c r="T129" s="67">
        <v>112.0</v>
      </c>
      <c r="U129" s="79">
        <v>0.2</v>
      </c>
      <c r="V129" s="80">
        <v>0.21805555555555556</v>
      </c>
    </row>
    <row r="130" ht="15.75" customHeight="1">
      <c r="A130" s="47">
        <v>644.0</v>
      </c>
      <c r="B130" s="11">
        <v>13.0</v>
      </c>
      <c r="C130" s="12">
        <v>0.25416666666666665</v>
      </c>
      <c r="D130" s="13">
        <v>0.2548611111111111</v>
      </c>
      <c r="E130" s="64">
        <v>85.0</v>
      </c>
      <c r="F130" s="65">
        <v>0.3229166666666667</v>
      </c>
      <c r="G130" s="66">
        <v>0.3229166666666667</v>
      </c>
      <c r="H130" s="11">
        <v>16.0</v>
      </c>
      <c r="I130" s="12">
        <v>0.3590277777777778</v>
      </c>
      <c r="J130" s="13">
        <v>0.3625</v>
      </c>
      <c r="K130" s="67">
        <v>23.0</v>
      </c>
      <c r="L130" s="12">
        <v>0.43680555555555556</v>
      </c>
      <c r="M130" s="13">
        <v>0.43819444444444444</v>
      </c>
      <c r="N130" s="67">
        <v>22.0</v>
      </c>
      <c r="O130" s="79">
        <v>0.49722222222222223</v>
      </c>
      <c r="P130" s="80">
        <v>0.5</v>
      </c>
      <c r="Q130" s="67">
        <v>23.0</v>
      </c>
      <c r="R130" s="79">
        <v>0.05694444444444444</v>
      </c>
      <c r="S130" s="80">
        <v>0.06041666666666667</v>
      </c>
      <c r="T130" s="67">
        <v>25.0</v>
      </c>
      <c r="U130" s="79">
        <v>0.10069444444444445</v>
      </c>
      <c r="V130" s="80">
        <v>0.10833333333333334</v>
      </c>
    </row>
    <row r="131" ht="15.75" customHeight="1">
      <c r="A131" s="47">
        <v>645.0</v>
      </c>
      <c r="B131" s="11">
        <v>56.0</v>
      </c>
      <c r="C131" s="12">
        <v>0.26319444444444445</v>
      </c>
      <c r="D131" s="13">
        <v>0.2638888888888889</v>
      </c>
      <c r="E131" s="64">
        <v>13.0</v>
      </c>
      <c r="F131" s="65">
        <v>0.3013888888888889</v>
      </c>
      <c r="G131" s="66">
        <v>0.3013888888888889</v>
      </c>
      <c r="H131" s="11">
        <v>72.0</v>
      </c>
      <c r="I131" s="12">
        <v>0.38680555555555557</v>
      </c>
      <c r="J131" s="13">
        <v>0.38958333333333334</v>
      </c>
      <c r="K131" s="67">
        <v>61.0</v>
      </c>
      <c r="L131" s="12">
        <v>0.46458333333333335</v>
      </c>
      <c r="M131" s="13">
        <v>0.46597222222222223</v>
      </c>
      <c r="N131" s="67">
        <v>54.0</v>
      </c>
      <c r="O131" s="79">
        <v>0.525</v>
      </c>
      <c r="P131" s="80">
        <v>0.5277777777777778</v>
      </c>
      <c r="Q131" s="67">
        <v>50.0</v>
      </c>
      <c r="R131" s="79">
        <v>0.0875</v>
      </c>
      <c r="S131" s="80">
        <v>0.09027777777777778</v>
      </c>
      <c r="T131" s="67">
        <v>52.0</v>
      </c>
      <c r="U131" s="79">
        <v>0.13125</v>
      </c>
      <c r="V131" s="80">
        <v>0.14166666666666666</v>
      </c>
    </row>
    <row r="132" ht="15.75" customHeight="1">
      <c r="A132" s="47">
        <v>647.0</v>
      </c>
      <c r="B132" s="11">
        <v>112.0</v>
      </c>
      <c r="C132" s="12">
        <v>0.26944444444444443</v>
      </c>
      <c r="D132" s="13">
        <v>0.2701388888888889</v>
      </c>
      <c r="E132" s="64">
        <v>73.0</v>
      </c>
      <c r="F132" s="65">
        <v>0.32083333333333336</v>
      </c>
      <c r="G132" s="66">
        <v>0.32083333333333336</v>
      </c>
      <c r="H132" s="11">
        <v>93.0</v>
      </c>
      <c r="I132" s="12">
        <v>0.39375</v>
      </c>
      <c r="J132" s="13">
        <v>0.39861111111111114</v>
      </c>
      <c r="K132" s="67">
        <v>89.0</v>
      </c>
      <c r="L132" s="12">
        <v>0.4840277777777778</v>
      </c>
      <c r="M132" s="13">
        <v>0.4875</v>
      </c>
      <c r="N132" s="67">
        <v>93.0</v>
      </c>
      <c r="O132" s="79">
        <v>0.05694444444444444</v>
      </c>
      <c r="P132" s="80">
        <v>0.059722222222222225</v>
      </c>
      <c r="Q132" s="67">
        <v>89.0</v>
      </c>
      <c r="R132" s="79">
        <v>0.125</v>
      </c>
      <c r="S132" s="80">
        <v>0.12916666666666668</v>
      </c>
      <c r="T132" s="67">
        <v>83.0</v>
      </c>
      <c r="U132" s="79">
        <v>0.17430555555555555</v>
      </c>
      <c r="V132" s="80">
        <v>0.18958333333333333</v>
      </c>
    </row>
    <row r="133" ht="15.75" customHeight="1">
      <c r="A133" s="47">
        <v>648.0</v>
      </c>
      <c r="B133" s="11">
        <v>99.0</v>
      </c>
      <c r="C133" s="12">
        <v>0.26805555555555555</v>
      </c>
      <c r="D133" s="13">
        <v>0.26875</v>
      </c>
      <c r="E133" s="64">
        <v>108.0</v>
      </c>
      <c r="F133" s="65">
        <v>0.32569444444444445</v>
      </c>
      <c r="G133" s="66">
        <v>0.32569444444444445</v>
      </c>
      <c r="H133" s="11">
        <v>103.0</v>
      </c>
      <c r="I133" s="12">
        <v>0.39652777777777776</v>
      </c>
      <c r="J133" s="13">
        <v>0.4048611111111111</v>
      </c>
      <c r="K133" s="67">
        <v>104.0</v>
      </c>
      <c r="L133" s="12">
        <v>0.49166666666666664</v>
      </c>
      <c r="M133" s="13">
        <v>0.5041666666666667</v>
      </c>
      <c r="N133" s="67">
        <v>115.0</v>
      </c>
      <c r="O133" s="79">
        <v>0.07777777777777778</v>
      </c>
      <c r="P133" s="80">
        <v>0.08541666666666667</v>
      </c>
      <c r="Q133" s="67">
        <v>133.0</v>
      </c>
      <c r="R133" s="79">
        <v>0.1625</v>
      </c>
      <c r="S133" s="80">
        <v>0.16666666666666666</v>
      </c>
      <c r="T133" s="67">
        <v>141.0</v>
      </c>
      <c r="U133" s="79">
        <v>0.22361111111111112</v>
      </c>
      <c r="V133" s="80">
        <v>0.25972222222222224</v>
      </c>
    </row>
    <row r="134" ht="15.75" customHeight="1">
      <c r="A134" s="47">
        <v>649.0</v>
      </c>
      <c r="B134" s="11">
        <v>119.0</v>
      </c>
      <c r="C134" s="12">
        <v>0.26944444444444443</v>
      </c>
      <c r="D134" s="13">
        <v>0.2701388888888889</v>
      </c>
      <c r="E134" s="64">
        <v>111.0</v>
      </c>
      <c r="F134" s="65">
        <v>0.32569444444444445</v>
      </c>
      <c r="G134" s="66">
        <v>0.32569444444444445</v>
      </c>
      <c r="H134" s="11">
        <v>115.0</v>
      </c>
      <c r="I134" s="12">
        <v>0.40069444444444446</v>
      </c>
      <c r="J134" s="13">
        <v>0.41180555555555554</v>
      </c>
      <c r="K134" s="67">
        <v>109.0</v>
      </c>
      <c r="L134" s="12">
        <v>0.49444444444444446</v>
      </c>
      <c r="M134" s="13">
        <v>0.49930555555555556</v>
      </c>
      <c r="N134" s="67">
        <v>112.0</v>
      </c>
      <c r="O134" s="79">
        <v>0.07291666666666667</v>
      </c>
      <c r="P134" s="80">
        <v>0.07777777777777778</v>
      </c>
      <c r="Q134" s="67">
        <v>112.0</v>
      </c>
      <c r="R134" s="79">
        <v>0.14791666666666667</v>
      </c>
      <c r="S134" s="80">
        <v>0.15138888888888888</v>
      </c>
      <c r="T134" s="67">
        <v>133.0</v>
      </c>
      <c r="U134" s="79">
        <v>0.21805555555555556</v>
      </c>
      <c r="V134" s="80">
        <v>0.23194444444444445</v>
      </c>
    </row>
    <row r="135" ht="15.75" customHeight="1">
      <c r="A135" s="47">
        <v>650.0</v>
      </c>
      <c r="B135" s="11">
        <v>28.0</v>
      </c>
      <c r="C135" s="12">
        <v>0.25972222222222224</v>
      </c>
      <c r="D135" s="13">
        <v>0.2604166666666667</v>
      </c>
      <c r="E135" s="64">
        <v>116.0</v>
      </c>
      <c r="F135" s="65">
        <v>0.3298611111111111</v>
      </c>
      <c r="G135" s="66">
        <v>0.3298611111111111</v>
      </c>
      <c r="H135" s="11">
        <v>31.0</v>
      </c>
      <c r="I135" s="12">
        <v>0.36875</v>
      </c>
      <c r="J135" s="13">
        <v>0.3701388888888889</v>
      </c>
      <c r="K135" s="67">
        <v>24.0</v>
      </c>
      <c r="L135" s="12">
        <v>0.44027777777777777</v>
      </c>
      <c r="M135" s="13">
        <v>0.4409722222222222</v>
      </c>
      <c r="N135" s="67">
        <v>24.0</v>
      </c>
      <c r="O135" s="79">
        <v>0.4986111111111111</v>
      </c>
      <c r="P135" s="80">
        <v>0.5</v>
      </c>
      <c r="Q135" s="67">
        <v>19.0</v>
      </c>
      <c r="R135" s="79">
        <v>0.052083333333333336</v>
      </c>
      <c r="S135" s="80">
        <v>0.05347222222222222</v>
      </c>
      <c r="T135" s="67">
        <v>18.0</v>
      </c>
      <c r="U135" s="79">
        <v>0.09097222222222222</v>
      </c>
      <c r="V135" s="80">
        <v>0.09375</v>
      </c>
    </row>
    <row r="136" ht="15.75" customHeight="1">
      <c r="A136" s="47">
        <v>651.0</v>
      </c>
      <c r="B136" s="11">
        <v>123.0</v>
      </c>
      <c r="C136" s="12">
        <v>0.2701388888888889</v>
      </c>
      <c r="D136" s="13">
        <v>0.2708333333333333</v>
      </c>
      <c r="E136" s="64">
        <v>37.0</v>
      </c>
      <c r="F136" s="65">
        <v>0.3125</v>
      </c>
      <c r="G136" s="66">
        <v>0.3125</v>
      </c>
      <c r="H136" s="11">
        <v>67.0</v>
      </c>
      <c r="I136" s="12">
        <v>0.3854166666666667</v>
      </c>
      <c r="J136" s="13">
        <v>0.39305555555555555</v>
      </c>
      <c r="K136" s="67">
        <v>73.0</v>
      </c>
      <c r="L136" s="12">
        <v>0.4736111111111111</v>
      </c>
      <c r="M136" s="13">
        <v>0.475</v>
      </c>
      <c r="N136" s="67">
        <v>74.0</v>
      </c>
      <c r="O136" s="79">
        <v>0.04513888888888889</v>
      </c>
      <c r="P136" s="80">
        <v>0.04722222222222222</v>
      </c>
      <c r="Q136" s="67">
        <v>75.0</v>
      </c>
      <c r="R136" s="79">
        <v>0.1125</v>
      </c>
      <c r="S136" s="80">
        <v>0.11319444444444444</v>
      </c>
      <c r="T136" s="67">
        <v>66.0</v>
      </c>
      <c r="U136" s="79">
        <v>0.15625</v>
      </c>
      <c r="V136" s="80">
        <v>0.17222222222222222</v>
      </c>
    </row>
    <row r="137" ht="15.75" customHeight="1">
      <c r="A137" s="47">
        <v>653.0</v>
      </c>
      <c r="B137" s="11">
        <v>41.0</v>
      </c>
      <c r="C137" s="12">
        <v>0.2604166666666667</v>
      </c>
      <c r="D137" s="13">
        <v>0.26180555555555557</v>
      </c>
      <c r="E137" s="64">
        <v>71.0</v>
      </c>
      <c r="F137" s="65">
        <v>0.32083333333333336</v>
      </c>
      <c r="G137" s="66">
        <v>0.32083333333333336</v>
      </c>
      <c r="H137" s="11">
        <v>47.0</v>
      </c>
      <c r="I137" s="12">
        <v>0.375</v>
      </c>
      <c r="J137" s="13">
        <v>0.38125</v>
      </c>
      <c r="K137" s="67">
        <v>54.0</v>
      </c>
      <c r="L137" s="12">
        <v>0.46111111111111114</v>
      </c>
      <c r="M137" s="13">
        <v>0.4652777777777778</v>
      </c>
      <c r="N137" s="67">
        <v>60.0</v>
      </c>
      <c r="O137" s="79">
        <v>0.53125</v>
      </c>
      <c r="P137" s="80">
        <v>0.5368055555555555</v>
      </c>
      <c r="Q137" s="67">
        <v>61.0</v>
      </c>
      <c r="R137" s="79">
        <v>0.09861111111111111</v>
      </c>
      <c r="S137" s="80">
        <v>0.10208333333333333</v>
      </c>
      <c r="T137" s="67">
        <v>62.0</v>
      </c>
      <c r="U137" s="79">
        <v>0.14583333333333334</v>
      </c>
      <c r="V137" s="80">
        <v>0.1597222222222222</v>
      </c>
    </row>
    <row r="138" ht="15.75" customHeight="1">
      <c r="A138" s="47">
        <v>654.0</v>
      </c>
      <c r="B138" s="11">
        <v>192.0</v>
      </c>
      <c r="C138" s="12">
        <v>0.28125</v>
      </c>
      <c r="D138" s="13">
        <v>0.28194444444444444</v>
      </c>
      <c r="E138" s="64">
        <v>46.0</v>
      </c>
      <c r="F138" s="65">
        <v>0.3138888888888889</v>
      </c>
      <c r="G138" s="66">
        <v>0.3138888888888889</v>
      </c>
      <c r="H138" s="11">
        <v>198.0</v>
      </c>
      <c r="I138" s="12">
        <v>0.44722222222222224</v>
      </c>
      <c r="J138" s="13">
        <v>0.45416666666666666</v>
      </c>
      <c r="K138" s="67">
        <v>194.0</v>
      </c>
      <c r="L138" s="12">
        <v>0.07361111111111111</v>
      </c>
      <c r="M138" s="13">
        <v>0.09583333333333334</v>
      </c>
      <c r="N138" s="67">
        <v>196.0</v>
      </c>
      <c r="O138" s="79">
        <v>0.19236111111111112</v>
      </c>
      <c r="P138" s="72" t="s">
        <v>178</v>
      </c>
      <c r="S138" s="72"/>
      <c r="V138" s="72"/>
    </row>
    <row r="139" ht="15.75" customHeight="1">
      <c r="A139" s="47">
        <v>655.0</v>
      </c>
      <c r="B139" s="11">
        <v>54.0</v>
      </c>
      <c r="C139" s="12">
        <v>0.26319444444444445</v>
      </c>
      <c r="D139" s="13">
        <v>0.2638888888888889</v>
      </c>
      <c r="E139" s="64">
        <v>195.0</v>
      </c>
      <c r="F139" s="65">
        <v>0.3541666666666667</v>
      </c>
      <c r="G139" s="66">
        <v>0.3541666666666667</v>
      </c>
      <c r="H139" s="11">
        <v>40.0</v>
      </c>
      <c r="I139" s="12">
        <v>0.3715277777777778</v>
      </c>
      <c r="J139" s="13">
        <v>0.37569444444444444</v>
      </c>
      <c r="K139" s="67">
        <v>33.0</v>
      </c>
      <c r="L139" s="12">
        <v>0.44583333333333336</v>
      </c>
      <c r="M139" s="13">
        <v>0.44722222222222224</v>
      </c>
      <c r="N139" s="67">
        <v>27.0</v>
      </c>
      <c r="O139" s="79">
        <v>0.5020833333333333</v>
      </c>
      <c r="P139" s="80">
        <v>0.5041666666666667</v>
      </c>
      <c r="Q139" s="67">
        <v>27.0</v>
      </c>
      <c r="R139" s="79">
        <v>0.06041666666666667</v>
      </c>
      <c r="S139" s="80">
        <v>0.0625</v>
      </c>
      <c r="T139" s="67">
        <v>26.0</v>
      </c>
      <c r="U139" s="79">
        <v>0.10208333333333333</v>
      </c>
      <c r="V139" s="80">
        <v>0.10972222222222222</v>
      </c>
    </row>
    <row r="140" ht="15.75" customHeight="1">
      <c r="A140" s="47">
        <v>657.0</v>
      </c>
      <c r="B140" s="11">
        <v>198.0</v>
      </c>
      <c r="C140" s="12">
        <v>0.2833333333333333</v>
      </c>
      <c r="D140" s="13">
        <v>0.28402777777777777</v>
      </c>
      <c r="E140" s="64">
        <v>44.0</v>
      </c>
      <c r="F140" s="65">
        <v>0.3138888888888889</v>
      </c>
      <c r="G140" s="66">
        <v>0.3138888888888889</v>
      </c>
      <c r="H140" s="11">
        <v>185.0</v>
      </c>
      <c r="I140" s="12">
        <v>0.4284722222222222</v>
      </c>
      <c r="J140" s="13">
        <v>0.4361111111111111</v>
      </c>
      <c r="K140" s="67">
        <v>175.0</v>
      </c>
      <c r="L140" s="12">
        <v>0.5347222222222222</v>
      </c>
      <c r="M140" s="13">
        <v>0.5402777777777777</v>
      </c>
      <c r="N140" s="67">
        <v>172.0</v>
      </c>
      <c r="O140" s="79">
        <v>0.11388888888888889</v>
      </c>
      <c r="P140" s="80">
        <v>0.11666666666666667</v>
      </c>
      <c r="Q140" s="67">
        <v>167.0</v>
      </c>
      <c r="R140" s="79">
        <v>0.19444444444444445</v>
      </c>
      <c r="S140" s="80">
        <v>0.19791666666666666</v>
      </c>
      <c r="T140" s="67">
        <v>167.0</v>
      </c>
      <c r="U140" s="79">
        <v>0.2534722222222222</v>
      </c>
      <c r="V140" s="80">
        <v>0.2722222222222222</v>
      </c>
    </row>
    <row r="141" ht="15.75" customHeight="1">
      <c r="A141" s="47">
        <v>662.0</v>
      </c>
      <c r="B141" s="11">
        <v>53.0</v>
      </c>
      <c r="C141" s="12">
        <v>0.26319444444444445</v>
      </c>
      <c r="D141" s="13">
        <v>0.2638888888888889</v>
      </c>
      <c r="E141" s="64">
        <v>189.0</v>
      </c>
      <c r="F141" s="65">
        <v>0.3527777777777778</v>
      </c>
      <c r="G141" s="66">
        <v>0.3527777777777778</v>
      </c>
      <c r="H141" s="11">
        <v>46.0</v>
      </c>
      <c r="I141" s="12">
        <v>0.375</v>
      </c>
      <c r="J141" s="13">
        <v>0.3784722222222222</v>
      </c>
      <c r="K141" s="67">
        <v>43.0</v>
      </c>
      <c r="L141" s="12">
        <v>0.4527777777777778</v>
      </c>
      <c r="M141" s="13">
        <v>0.4548611111111111</v>
      </c>
      <c r="N141" s="67">
        <v>43.0</v>
      </c>
      <c r="O141" s="79">
        <v>0.5125</v>
      </c>
      <c r="P141" s="80">
        <v>0.5152777777777777</v>
      </c>
      <c r="Q141" s="67">
        <v>41.0</v>
      </c>
      <c r="R141" s="79">
        <v>0.07083333333333333</v>
      </c>
      <c r="S141" s="80">
        <v>0.07291666666666667</v>
      </c>
      <c r="T141" s="67">
        <v>35.0</v>
      </c>
      <c r="U141" s="79">
        <v>0.1111111111111111</v>
      </c>
      <c r="V141" s="80">
        <v>0.11666666666666667</v>
      </c>
    </row>
    <row r="142" ht="15.75" customHeight="1">
      <c r="A142" s="47">
        <v>663.0</v>
      </c>
      <c r="B142" s="11">
        <v>74.0</v>
      </c>
      <c r="C142" s="12">
        <v>0.26458333333333334</v>
      </c>
      <c r="D142" s="13">
        <v>0.2652777777777778</v>
      </c>
      <c r="E142" s="64">
        <v>43.0</v>
      </c>
      <c r="F142" s="65">
        <v>0.3138888888888889</v>
      </c>
      <c r="G142" s="66">
        <v>0.3138888888888889</v>
      </c>
      <c r="H142" s="11">
        <v>95.0</v>
      </c>
      <c r="I142" s="12">
        <v>0.3951388888888889</v>
      </c>
      <c r="J142" s="13">
        <v>0.3972222222222222</v>
      </c>
      <c r="K142" s="67">
        <v>95.0</v>
      </c>
      <c r="L142" s="12">
        <v>0.48541666666666666</v>
      </c>
      <c r="M142" s="13">
        <v>0.48680555555555555</v>
      </c>
      <c r="N142" s="67">
        <v>92.0</v>
      </c>
      <c r="O142" s="79">
        <v>0.05694444444444444</v>
      </c>
      <c r="P142" s="80">
        <v>0.05763888888888889</v>
      </c>
      <c r="Q142" s="67">
        <v>87.0</v>
      </c>
      <c r="R142" s="79">
        <v>0.125</v>
      </c>
      <c r="S142" s="80">
        <v>0.12708333333333333</v>
      </c>
      <c r="T142" s="67">
        <v>85.0</v>
      </c>
      <c r="U142" s="79">
        <v>0.17430555555555555</v>
      </c>
      <c r="V142" s="80">
        <v>0.17916666666666667</v>
      </c>
    </row>
    <row r="143" ht="15.75" customHeight="1">
      <c r="A143" s="47">
        <v>664.0</v>
      </c>
      <c r="B143" s="11">
        <v>158.0</v>
      </c>
      <c r="C143" s="12">
        <v>0.2743055555555556</v>
      </c>
      <c r="D143" s="13">
        <v>0.275</v>
      </c>
      <c r="E143" s="64">
        <v>92.0</v>
      </c>
      <c r="F143" s="65">
        <v>0.32430555555555557</v>
      </c>
      <c r="G143" s="66">
        <v>0.32430555555555557</v>
      </c>
      <c r="H143" s="11">
        <v>170.0</v>
      </c>
      <c r="I143" s="12">
        <v>0.4222222222222222</v>
      </c>
      <c r="J143" s="13">
        <v>0.42986111111111114</v>
      </c>
      <c r="K143" s="67">
        <v>162.0</v>
      </c>
      <c r="L143" s="12">
        <v>0.5270833333333333</v>
      </c>
      <c r="M143" s="13">
        <v>0.5305555555555556</v>
      </c>
      <c r="N143" s="67">
        <v>163.0</v>
      </c>
      <c r="O143" s="79">
        <v>0.10625</v>
      </c>
      <c r="P143" s="80">
        <v>0.10972222222222222</v>
      </c>
      <c r="Q143" s="67">
        <v>152.0</v>
      </c>
      <c r="R143" s="79">
        <v>0.18125</v>
      </c>
      <c r="S143" s="80">
        <v>0.18472222222222223</v>
      </c>
      <c r="T143" s="67">
        <v>152.0</v>
      </c>
      <c r="U143" s="79">
        <v>0.24027777777777778</v>
      </c>
      <c r="V143" s="80">
        <v>0.25625</v>
      </c>
    </row>
    <row r="144" ht="15.75" customHeight="1">
      <c r="A144" s="47">
        <v>665.0</v>
      </c>
      <c r="B144" s="11">
        <v>159.0</v>
      </c>
      <c r="C144" s="12">
        <v>0.2743055555555556</v>
      </c>
      <c r="D144" s="13">
        <v>0.275</v>
      </c>
      <c r="E144" s="64">
        <v>149.0</v>
      </c>
      <c r="F144" s="65">
        <v>0.3368055555555556</v>
      </c>
      <c r="G144" s="66">
        <v>0.3368055555555556</v>
      </c>
      <c r="H144" s="11">
        <v>169.0</v>
      </c>
      <c r="I144" s="12">
        <v>0.4222222222222222</v>
      </c>
      <c r="J144" s="13">
        <v>0.42986111111111114</v>
      </c>
      <c r="K144" s="67">
        <v>161.0</v>
      </c>
      <c r="L144" s="12">
        <v>0.5270833333333333</v>
      </c>
      <c r="M144" s="13">
        <v>0.53125</v>
      </c>
      <c r="N144" s="67">
        <v>164.0</v>
      </c>
      <c r="O144" s="79">
        <v>0.10625</v>
      </c>
      <c r="P144" s="80">
        <v>0.10972222222222222</v>
      </c>
      <c r="Q144" s="67">
        <v>151.0</v>
      </c>
      <c r="R144" s="79">
        <v>0.18125</v>
      </c>
      <c r="S144" s="80">
        <v>0.18472222222222223</v>
      </c>
      <c r="T144" s="67">
        <v>151.0</v>
      </c>
      <c r="U144" s="79">
        <v>0.24027777777777778</v>
      </c>
      <c r="V144" s="80">
        <v>0.25625</v>
      </c>
    </row>
    <row r="145" ht="15.75" customHeight="1">
      <c r="A145" s="47">
        <v>667.0</v>
      </c>
      <c r="B145" s="11">
        <v>188.0</v>
      </c>
      <c r="C145" s="12">
        <v>0.2798611111111111</v>
      </c>
      <c r="D145" s="13">
        <v>0.28055555555555556</v>
      </c>
      <c r="E145" s="64">
        <v>153.0</v>
      </c>
      <c r="F145" s="65">
        <v>0.3368055555555556</v>
      </c>
      <c r="G145" s="66">
        <v>0.3368055555555556</v>
      </c>
      <c r="H145" s="11">
        <v>180.0</v>
      </c>
      <c r="I145" s="12">
        <v>0.425</v>
      </c>
      <c r="J145" s="13">
        <v>0.43472222222222223</v>
      </c>
      <c r="K145" s="67">
        <v>180.0</v>
      </c>
      <c r="L145" s="12">
        <v>0.5388888888888889</v>
      </c>
      <c r="M145" s="13">
        <v>0.04375</v>
      </c>
      <c r="N145" s="67">
        <v>183.0</v>
      </c>
      <c r="O145" s="79">
        <v>0.12430555555555556</v>
      </c>
      <c r="P145" s="80">
        <v>0.12916666666666668</v>
      </c>
      <c r="Q145" s="67">
        <v>182.0</v>
      </c>
      <c r="R145" s="79">
        <v>0.21736111111111112</v>
      </c>
      <c r="S145" s="80">
        <v>0.22361111111111112</v>
      </c>
      <c r="T145" s="67">
        <v>188.0</v>
      </c>
      <c r="U145" s="79">
        <v>0.3034722222222222</v>
      </c>
      <c r="V145" s="80">
        <v>0.3104166666666667</v>
      </c>
    </row>
    <row r="146" ht="15.75" customHeight="1">
      <c r="A146" s="47">
        <v>669.0</v>
      </c>
      <c r="B146" s="11">
        <v>194.0</v>
      </c>
      <c r="C146" s="12">
        <v>0.28125</v>
      </c>
      <c r="D146" s="13">
        <v>0.28194444444444444</v>
      </c>
      <c r="E146" s="64">
        <v>176.0</v>
      </c>
      <c r="F146" s="65">
        <v>0.3416666666666667</v>
      </c>
      <c r="G146" s="66">
        <v>0.3416666666666667</v>
      </c>
      <c r="H146" s="11">
        <v>190.0</v>
      </c>
      <c r="I146" s="12">
        <v>0.43472222222222223</v>
      </c>
      <c r="J146" s="13">
        <v>0.44305555555555554</v>
      </c>
      <c r="K146" s="67">
        <v>183.0</v>
      </c>
      <c r="L146" s="12">
        <v>0.5409722222222222</v>
      </c>
      <c r="M146" s="13">
        <v>0.043055555555555555</v>
      </c>
      <c r="N146" s="67">
        <v>174.0</v>
      </c>
      <c r="O146" s="79">
        <v>0.11597222222222223</v>
      </c>
      <c r="P146" s="80">
        <v>0.12083333333333333</v>
      </c>
      <c r="Q146" s="67">
        <v>169.0</v>
      </c>
      <c r="R146" s="79">
        <v>0.19791666666666666</v>
      </c>
      <c r="S146" s="80">
        <v>0.19930555555555557</v>
      </c>
      <c r="T146" s="67">
        <v>166.0</v>
      </c>
      <c r="U146" s="79">
        <v>0.25277777777777777</v>
      </c>
      <c r="V146" s="80">
        <v>0.26944444444444443</v>
      </c>
    </row>
    <row r="147" ht="15.75" customHeight="1">
      <c r="A147" s="47">
        <v>670.0</v>
      </c>
      <c r="B147" s="11">
        <v>96.0</v>
      </c>
      <c r="C147" s="12">
        <v>0.26805555555555555</v>
      </c>
      <c r="D147" s="13">
        <v>0.26875</v>
      </c>
      <c r="E147" s="64">
        <v>190.0</v>
      </c>
      <c r="F147" s="65">
        <v>0.3527777777777778</v>
      </c>
      <c r="G147" s="66">
        <v>0.3527777777777778</v>
      </c>
      <c r="H147" s="11"/>
      <c r="I147" s="18"/>
      <c r="J147" s="38"/>
      <c r="K147" s="67">
        <v>75.0</v>
      </c>
      <c r="L147" s="12">
        <v>0.47430555555555554</v>
      </c>
      <c r="M147" s="13">
        <v>0.47638888888888886</v>
      </c>
      <c r="N147" s="67">
        <v>73.0</v>
      </c>
      <c r="O147" s="79">
        <v>0.04375</v>
      </c>
      <c r="P147" s="80">
        <v>0.04791666666666667</v>
      </c>
      <c r="Q147" s="67">
        <v>71.0</v>
      </c>
      <c r="R147" s="79">
        <v>0.10972222222222222</v>
      </c>
      <c r="S147" s="80">
        <v>0.11180555555555556</v>
      </c>
      <c r="T147" s="67">
        <v>78.0</v>
      </c>
      <c r="U147" s="79">
        <v>0.16944444444444445</v>
      </c>
      <c r="V147" s="80">
        <v>0.1736111111111111</v>
      </c>
    </row>
    <row r="148" ht="15.75" customHeight="1">
      <c r="A148" s="47">
        <v>673.0</v>
      </c>
      <c r="B148" s="11">
        <v>181.0</v>
      </c>
      <c r="C148" s="12">
        <v>0.2777777777777778</v>
      </c>
      <c r="D148" s="13">
        <v>0.27847222222222223</v>
      </c>
      <c r="E148" s="64">
        <v>115.0</v>
      </c>
      <c r="F148" s="65">
        <v>0.32916666666666666</v>
      </c>
      <c r="G148" s="66">
        <v>0.32916666666666666</v>
      </c>
      <c r="H148" s="11">
        <v>173.0</v>
      </c>
      <c r="I148" s="12">
        <v>0.4236111111111111</v>
      </c>
      <c r="J148" s="13">
        <v>0.43333333333333335</v>
      </c>
      <c r="K148" s="67">
        <v>165.0</v>
      </c>
      <c r="L148" s="12">
        <v>0.5284722222222222</v>
      </c>
      <c r="M148" s="13">
        <v>0.5319444444444444</v>
      </c>
      <c r="N148" s="67">
        <v>167.0</v>
      </c>
      <c r="O148" s="79">
        <v>0.10833333333333334</v>
      </c>
      <c r="P148" s="80">
        <v>0.1125</v>
      </c>
      <c r="Q148" s="67">
        <v>162.0</v>
      </c>
      <c r="R148" s="79">
        <v>0.18888888888888888</v>
      </c>
      <c r="S148" s="80">
        <v>0.19444444444444445</v>
      </c>
      <c r="T148" s="67">
        <v>160.0</v>
      </c>
      <c r="U148" s="79">
        <v>0.24722222222222223</v>
      </c>
      <c r="V148" s="80">
        <v>0.2569444444444444</v>
      </c>
    </row>
    <row r="149" ht="15.75" customHeight="1">
      <c r="A149" s="47">
        <v>674.0</v>
      </c>
      <c r="B149" s="11">
        <v>199.0</v>
      </c>
      <c r="C149" s="12">
        <v>0.28680555555555554</v>
      </c>
      <c r="D149" s="13">
        <v>0.2875</v>
      </c>
      <c r="E149" s="64">
        <v>182.0</v>
      </c>
      <c r="F149" s="65">
        <v>0.34444444444444444</v>
      </c>
      <c r="G149" s="66">
        <v>0.34444444444444444</v>
      </c>
      <c r="H149" s="11">
        <v>201.0</v>
      </c>
      <c r="I149" s="12">
        <v>0.4930555555555556</v>
      </c>
      <c r="J149" s="38" t="s">
        <v>178</v>
      </c>
      <c r="M149" s="72"/>
      <c r="P149" s="72"/>
      <c r="S149" s="72"/>
      <c r="V149" s="72"/>
    </row>
    <row r="150" ht="15.75" customHeight="1">
      <c r="A150" s="47">
        <v>675.0</v>
      </c>
      <c r="B150" s="11">
        <v>94.0</v>
      </c>
      <c r="C150" s="12">
        <v>0.2673611111111111</v>
      </c>
      <c r="D150" s="13">
        <v>0.26805555555555555</v>
      </c>
      <c r="E150" s="64">
        <v>198.0</v>
      </c>
      <c r="F150" s="65">
        <v>0.3729166666666667</v>
      </c>
      <c r="G150" s="66">
        <v>0.3729166666666667</v>
      </c>
      <c r="H150" s="11">
        <v>88.0</v>
      </c>
      <c r="I150" s="18" t="s">
        <v>183</v>
      </c>
      <c r="J150" s="13">
        <v>0.3951388888888889</v>
      </c>
      <c r="K150" s="67">
        <v>79.0</v>
      </c>
      <c r="L150" s="12">
        <v>0.4756944444444444</v>
      </c>
      <c r="M150" s="13">
        <v>0.48055555555555557</v>
      </c>
      <c r="N150" s="67">
        <v>77.0</v>
      </c>
      <c r="O150" s="79">
        <v>0.04652777777777778</v>
      </c>
      <c r="P150" s="80">
        <v>0.04791666666666667</v>
      </c>
      <c r="Q150" s="67">
        <v>65.0</v>
      </c>
      <c r="R150" s="79">
        <v>0.10625</v>
      </c>
      <c r="S150" s="80">
        <v>0.1076388888888889</v>
      </c>
      <c r="T150" s="67">
        <v>64.0</v>
      </c>
      <c r="U150" s="79">
        <v>0.14930555555555555</v>
      </c>
      <c r="V150" s="80">
        <v>0.15763888888888888</v>
      </c>
    </row>
    <row r="151" ht="15.75" customHeight="1">
      <c r="A151" s="47">
        <v>676.0</v>
      </c>
      <c r="B151" s="11">
        <v>130.0</v>
      </c>
      <c r="C151" s="12">
        <v>0.2708333333333333</v>
      </c>
      <c r="D151" s="13">
        <v>0.27152777777777776</v>
      </c>
      <c r="E151" s="64">
        <v>109.0</v>
      </c>
      <c r="F151" s="65">
        <v>0.32569444444444445</v>
      </c>
      <c r="G151" s="66">
        <v>0.32569444444444445</v>
      </c>
      <c r="H151" s="11">
        <v>127.0</v>
      </c>
      <c r="I151" s="12">
        <v>0.40555555555555556</v>
      </c>
      <c r="J151" s="13">
        <v>0.4076388888888889</v>
      </c>
      <c r="K151" s="67">
        <v>125.0</v>
      </c>
      <c r="L151" s="12">
        <v>0.5027777777777778</v>
      </c>
      <c r="M151" s="13">
        <v>0.5048611111111111</v>
      </c>
      <c r="N151" s="67">
        <v>132.0</v>
      </c>
      <c r="O151" s="79">
        <v>0.08055555555555556</v>
      </c>
      <c r="P151" s="80">
        <v>0.08333333333333333</v>
      </c>
      <c r="Q151" s="67">
        <v>138.0</v>
      </c>
      <c r="R151" s="79">
        <v>0.16527777777777777</v>
      </c>
      <c r="S151" s="80">
        <v>0.1673611111111111</v>
      </c>
      <c r="T151" s="67">
        <v>136.0</v>
      </c>
      <c r="U151" s="79">
        <v>0.21875</v>
      </c>
      <c r="V151" s="80">
        <v>0.2263888888888889</v>
      </c>
    </row>
    <row r="152" ht="15.75" customHeight="1">
      <c r="A152" s="47">
        <v>677.0</v>
      </c>
      <c r="B152" s="11">
        <v>35.0</v>
      </c>
      <c r="C152" s="12">
        <v>0.2604166666666667</v>
      </c>
      <c r="D152" s="13">
        <v>0.26180555555555557</v>
      </c>
      <c r="E152" s="64">
        <v>132.0</v>
      </c>
      <c r="F152" s="65">
        <v>0.3326388888888889</v>
      </c>
      <c r="G152" s="66">
        <v>0.3326388888888889</v>
      </c>
      <c r="H152" s="11">
        <v>78.0</v>
      </c>
      <c r="I152" s="12">
        <v>0.38819444444444445</v>
      </c>
      <c r="J152" s="13">
        <v>0.3923611111111111</v>
      </c>
      <c r="K152" s="67">
        <v>98.0</v>
      </c>
      <c r="L152" s="12">
        <v>0.4875</v>
      </c>
      <c r="M152" s="13">
        <v>0.4930555555555556</v>
      </c>
      <c r="N152" s="67">
        <v>105.0</v>
      </c>
      <c r="O152" s="79">
        <v>0.06805555555555555</v>
      </c>
      <c r="P152" s="80">
        <v>0.07708333333333334</v>
      </c>
      <c r="Q152" s="67">
        <v>116.0</v>
      </c>
      <c r="R152" s="79">
        <v>0.1527777777777778</v>
      </c>
      <c r="S152" s="80">
        <v>0.15763888888888888</v>
      </c>
      <c r="T152" s="67">
        <v>129.0</v>
      </c>
      <c r="U152" s="79">
        <v>0.21388888888888888</v>
      </c>
      <c r="V152" s="80">
        <v>0.21944444444444444</v>
      </c>
    </row>
    <row r="153" ht="15.75" customHeight="1">
      <c r="A153" s="47">
        <v>678.0</v>
      </c>
      <c r="B153" s="11">
        <v>195.0</v>
      </c>
      <c r="C153" s="12">
        <v>0.28125</v>
      </c>
      <c r="D153" s="13">
        <v>0.28194444444444444</v>
      </c>
      <c r="E153" s="64">
        <v>54.0</v>
      </c>
      <c r="F153" s="65">
        <v>0.3145833333333333</v>
      </c>
      <c r="G153" s="66">
        <v>0.3145833333333333</v>
      </c>
      <c r="H153" s="11">
        <v>193.0</v>
      </c>
      <c r="I153" s="12">
        <v>0.4409722222222222</v>
      </c>
      <c r="J153" s="13">
        <v>0.45</v>
      </c>
      <c r="K153" s="67">
        <v>191.0</v>
      </c>
      <c r="L153" s="12">
        <v>0.06388888888888888</v>
      </c>
      <c r="M153" s="13">
        <v>0.06597222222222222</v>
      </c>
      <c r="N153" s="67">
        <v>189.0</v>
      </c>
      <c r="O153" s="79">
        <v>0.1486111111111111</v>
      </c>
      <c r="P153" s="80">
        <v>0.15138888888888888</v>
      </c>
      <c r="Q153" s="67">
        <v>186.0</v>
      </c>
      <c r="R153" s="79">
        <v>0.23194444444444445</v>
      </c>
      <c r="S153" s="80">
        <v>0.23402777777777778</v>
      </c>
      <c r="T153" s="67">
        <v>183.0</v>
      </c>
      <c r="U153" s="79">
        <v>0.2951388888888889</v>
      </c>
      <c r="V153" s="80">
        <v>0.3145833333333333</v>
      </c>
    </row>
    <row r="154" ht="15.75" customHeight="1">
      <c r="A154" s="47">
        <v>680.0</v>
      </c>
      <c r="B154" s="11">
        <v>191.0</v>
      </c>
      <c r="C154" s="12">
        <v>0.28055555555555556</v>
      </c>
      <c r="D154" s="13">
        <v>0.28125</v>
      </c>
      <c r="E154" s="64">
        <v>194.0</v>
      </c>
      <c r="F154" s="65">
        <v>0.3541666666666667</v>
      </c>
      <c r="G154" s="66">
        <v>0.3541666666666667</v>
      </c>
      <c r="H154" s="11">
        <v>179.0</v>
      </c>
      <c r="I154" s="12">
        <v>0.425</v>
      </c>
      <c r="J154" s="13">
        <v>0.4388888888888889</v>
      </c>
      <c r="K154" s="67">
        <v>178.0</v>
      </c>
      <c r="L154" s="12">
        <v>0.5375</v>
      </c>
      <c r="M154" s="13">
        <v>0.041666666666666664</v>
      </c>
      <c r="N154" s="67">
        <v>175.0</v>
      </c>
      <c r="O154" s="79">
        <v>0.11666666666666667</v>
      </c>
      <c r="P154" s="80">
        <v>0.12222222222222222</v>
      </c>
      <c r="Q154" s="67">
        <v>168.0</v>
      </c>
      <c r="R154" s="79">
        <v>0.19583333333333333</v>
      </c>
      <c r="S154" s="80">
        <v>0.19930555555555557</v>
      </c>
      <c r="T154" s="67">
        <v>164.0</v>
      </c>
      <c r="U154" s="79">
        <v>0.25</v>
      </c>
      <c r="V154" s="80">
        <v>0.25416666666666665</v>
      </c>
    </row>
    <row r="155" ht="15.75" customHeight="1">
      <c r="A155" s="47">
        <v>681.0</v>
      </c>
      <c r="B155" s="11">
        <v>175.0</v>
      </c>
      <c r="C155" s="12">
        <v>0.275</v>
      </c>
      <c r="D155" s="13">
        <v>0.27569444444444446</v>
      </c>
      <c r="E155" s="64">
        <v>179.0</v>
      </c>
      <c r="F155" s="65">
        <v>0.34444444444444444</v>
      </c>
      <c r="G155" s="66">
        <v>0.34444444444444444</v>
      </c>
      <c r="H155" s="11">
        <v>143.0</v>
      </c>
      <c r="I155" s="12">
        <v>0.41180555555555554</v>
      </c>
      <c r="J155" s="13">
        <v>0.4270833333333333</v>
      </c>
      <c r="K155" s="67">
        <v>156.0</v>
      </c>
      <c r="L155" s="12">
        <v>0.51875</v>
      </c>
      <c r="M155" s="13">
        <v>0.5208333333333334</v>
      </c>
      <c r="N155" s="67">
        <v>158.0</v>
      </c>
      <c r="O155" s="79">
        <v>0.09861111111111111</v>
      </c>
      <c r="P155" s="80">
        <v>0.10625</v>
      </c>
      <c r="Q155" s="67">
        <v>154.0</v>
      </c>
      <c r="R155" s="79">
        <v>0.18125</v>
      </c>
      <c r="S155" s="80">
        <v>0.18472222222222223</v>
      </c>
      <c r="T155" s="67">
        <v>153.0</v>
      </c>
      <c r="U155" s="79">
        <v>0.24027777777777778</v>
      </c>
      <c r="V155" s="80">
        <v>0.25416666666666665</v>
      </c>
    </row>
    <row r="156" ht="15.75" customHeight="1">
      <c r="A156" s="47">
        <v>683.0</v>
      </c>
      <c r="B156" s="11">
        <v>38.0</v>
      </c>
      <c r="C156" s="12">
        <v>0.2604166666666667</v>
      </c>
      <c r="D156" s="13">
        <v>0.26180555555555557</v>
      </c>
      <c r="E156" s="64">
        <v>151.0</v>
      </c>
      <c r="F156" s="65">
        <v>0.3368055555555556</v>
      </c>
      <c r="G156" s="66">
        <v>0.3368055555555556</v>
      </c>
      <c r="H156" s="11">
        <v>26.0</v>
      </c>
      <c r="I156" s="12">
        <v>0.36527777777777776</v>
      </c>
      <c r="J156" s="13">
        <v>0.3680555555555556</v>
      </c>
      <c r="K156" s="67">
        <v>27.0</v>
      </c>
      <c r="L156" s="12">
        <v>0.44166666666666665</v>
      </c>
      <c r="M156" s="13">
        <v>0.44375</v>
      </c>
      <c r="N156" s="67">
        <v>28.0</v>
      </c>
      <c r="O156" s="79">
        <v>0.5020833333333333</v>
      </c>
      <c r="P156" s="80">
        <v>0.5048611111111111</v>
      </c>
      <c r="Q156" s="67">
        <v>37.0</v>
      </c>
      <c r="R156" s="79">
        <v>0.06875</v>
      </c>
      <c r="S156" s="80">
        <v>0.07222222222222222</v>
      </c>
      <c r="T156" s="67">
        <v>43.0</v>
      </c>
      <c r="U156" s="79">
        <v>0.11944444444444445</v>
      </c>
      <c r="V156" s="80">
        <v>0.12708333333333333</v>
      </c>
    </row>
    <row r="157" ht="15.75" customHeight="1">
      <c r="A157" s="47">
        <v>684.0</v>
      </c>
      <c r="B157" s="11">
        <v>121.0</v>
      </c>
      <c r="C157" s="12">
        <v>0.2701388888888889</v>
      </c>
      <c r="D157" s="13">
        <v>0.2708333333333333</v>
      </c>
      <c r="E157" s="64">
        <v>26.0</v>
      </c>
      <c r="F157" s="65">
        <v>0.30694444444444446</v>
      </c>
      <c r="G157" s="66">
        <v>0.30694444444444446</v>
      </c>
      <c r="H157" s="11">
        <v>66.0</v>
      </c>
      <c r="I157" s="12">
        <v>0.3854166666666667</v>
      </c>
      <c r="J157" s="13">
        <v>0.3875</v>
      </c>
      <c r="K157" s="67">
        <v>53.0</v>
      </c>
      <c r="L157" s="12">
        <v>0.4597222222222222</v>
      </c>
      <c r="M157" s="13">
        <v>0.46111111111111114</v>
      </c>
      <c r="N157" s="67">
        <v>47.0</v>
      </c>
      <c r="O157" s="79">
        <v>0.5180555555555556</v>
      </c>
      <c r="P157" s="80">
        <v>0.5236111111111111</v>
      </c>
      <c r="Q157" s="67">
        <v>47.0</v>
      </c>
      <c r="R157" s="79">
        <v>0.08263888888888889</v>
      </c>
      <c r="S157" s="80">
        <v>0.08541666666666667</v>
      </c>
      <c r="T157" s="67">
        <v>46.0</v>
      </c>
      <c r="U157" s="79">
        <v>0.12361111111111112</v>
      </c>
      <c r="V157" s="80">
        <v>0.1375</v>
      </c>
    </row>
    <row r="158" ht="15.75" customHeight="1">
      <c r="A158" s="47">
        <v>685.0</v>
      </c>
      <c r="B158" s="11">
        <v>31.0</v>
      </c>
      <c r="C158" s="12">
        <v>0.25972222222222224</v>
      </c>
      <c r="D158" s="13">
        <v>0.2604166666666667</v>
      </c>
      <c r="E158" s="64">
        <v>101.0</v>
      </c>
      <c r="F158" s="65">
        <v>0.32569444444444445</v>
      </c>
      <c r="G158" s="66">
        <v>0.32569444444444445</v>
      </c>
      <c r="H158" s="11">
        <v>33.0</v>
      </c>
      <c r="I158" s="12">
        <v>0.36875</v>
      </c>
      <c r="J158" s="13">
        <v>0.37083333333333335</v>
      </c>
      <c r="K158" s="67">
        <v>29.0</v>
      </c>
      <c r="L158" s="12">
        <v>0.44513888888888886</v>
      </c>
      <c r="M158" s="13">
        <v>0.44583333333333336</v>
      </c>
      <c r="N158" s="67">
        <v>26.0</v>
      </c>
      <c r="O158" s="79">
        <v>0.5020833333333333</v>
      </c>
      <c r="P158" s="80">
        <v>0.5041666666666667</v>
      </c>
      <c r="Q158" s="67">
        <v>28.0</v>
      </c>
      <c r="R158" s="79">
        <v>0.06180555555555556</v>
      </c>
      <c r="S158" s="80">
        <v>0.06319444444444444</v>
      </c>
      <c r="T158" s="67">
        <v>28.0</v>
      </c>
      <c r="U158" s="79">
        <v>0.10277777777777777</v>
      </c>
      <c r="V158" s="82"/>
    </row>
    <row r="159" ht="15.75" customHeight="1">
      <c r="A159" s="47">
        <v>686.0</v>
      </c>
      <c r="B159" s="11">
        <v>43.0</v>
      </c>
      <c r="C159" s="12">
        <v>0.2604166666666667</v>
      </c>
      <c r="D159" s="13">
        <v>0.26180555555555557</v>
      </c>
      <c r="E159" s="64">
        <v>34.0</v>
      </c>
      <c r="F159" s="65">
        <v>0.3111111111111111</v>
      </c>
      <c r="G159" s="66">
        <v>0.3111111111111111</v>
      </c>
      <c r="H159" s="11">
        <v>55.0</v>
      </c>
      <c r="I159" s="12">
        <v>0.3770833333333333</v>
      </c>
      <c r="J159" s="13">
        <v>0.3798611111111111</v>
      </c>
      <c r="K159" s="67">
        <v>51.0</v>
      </c>
      <c r="L159" s="12">
        <v>0.45902777777777776</v>
      </c>
      <c r="M159" s="13">
        <v>0.46041666666666664</v>
      </c>
      <c r="N159" s="67">
        <v>53.0</v>
      </c>
      <c r="O159" s="79">
        <v>0.5229166666666667</v>
      </c>
      <c r="P159" s="80">
        <v>0.5256944444444445</v>
      </c>
      <c r="Q159" s="67">
        <v>55.0</v>
      </c>
      <c r="R159" s="79">
        <v>0.08888888888888889</v>
      </c>
      <c r="S159" s="80">
        <v>0.09097222222222222</v>
      </c>
      <c r="T159" s="67">
        <v>53.0</v>
      </c>
      <c r="U159" s="79">
        <v>0.13333333333333333</v>
      </c>
      <c r="V159" s="80">
        <v>0.1361111111111111</v>
      </c>
    </row>
    <row r="160" ht="15.75" customHeight="1">
      <c r="A160" s="47">
        <v>687.0</v>
      </c>
      <c r="B160" s="11">
        <v>65.0</v>
      </c>
      <c r="C160" s="12">
        <v>0.26319444444444445</v>
      </c>
      <c r="D160" s="13">
        <v>0.2638888888888889</v>
      </c>
      <c r="E160" s="64">
        <v>50.0</v>
      </c>
      <c r="F160" s="65">
        <v>0.3138888888888889</v>
      </c>
      <c r="G160" s="66">
        <v>0.3138888888888889</v>
      </c>
      <c r="H160" s="11">
        <v>43.0</v>
      </c>
      <c r="I160" s="12">
        <v>0.3729166666666667</v>
      </c>
      <c r="J160" s="13">
        <v>0.3784722222222222</v>
      </c>
      <c r="K160" s="67">
        <v>41.0</v>
      </c>
      <c r="L160" s="12">
        <v>0.45</v>
      </c>
      <c r="M160" s="13">
        <v>0.4527777777777778</v>
      </c>
      <c r="N160" s="67">
        <v>39.0</v>
      </c>
      <c r="O160" s="79">
        <v>0.5097222222222222</v>
      </c>
      <c r="P160" s="80">
        <v>0.5118055555555555</v>
      </c>
      <c r="Q160" s="67">
        <v>39.0</v>
      </c>
      <c r="R160" s="79">
        <v>0.07013888888888889</v>
      </c>
      <c r="S160" s="80">
        <v>0.07083333333333333</v>
      </c>
      <c r="T160" s="67">
        <v>36.0</v>
      </c>
      <c r="U160" s="79">
        <v>0.1111111111111111</v>
      </c>
      <c r="V160" s="80">
        <v>0.125</v>
      </c>
    </row>
    <row r="161" ht="15.75" customHeight="1">
      <c r="A161" s="47">
        <v>688.0</v>
      </c>
      <c r="B161" s="11">
        <v>152.0</v>
      </c>
      <c r="C161" s="12">
        <v>0.2743055555555556</v>
      </c>
      <c r="D161" s="13">
        <v>0.275</v>
      </c>
      <c r="E161" s="64">
        <v>57.0</v>
      </c>
      <c r="F161" s="65">
        <v>0.3145833333333333</v>
      </c>
      <c r="G161" s="66">
        <v>0.3145833333333333</v>
      </c>
      <c r="H161" s="11">
        <v>148.0</v>
      </c>
      <c r="I161" s="12">
        <v>0.4125</v>
      </c>
      <c r="J161" s="13">
        <v>0.42083333333333334</v>
      </c>
      <c r="K161" s="67">
        <v>128.0</v>
      </c>
      <c r="L161" s="12">
        <v>0.5041666666666667</v>
      </c>
      <c r="M161" s="13">
        <v>0.5076388888888889</v>
      </c>
      <c r="N161" s="67">
        <v>125.0</v>
      </c>
      <c r="O161" s="79">
        <v>0.0798611111111111</v>
      </c>
      <c r="P161" s="80">
        <v>0.08263888888888889</v>
      </c>
      <c r="Q161" s="67">
        <v>113.0</v>
      </c>
      <c r="R161" s="79">
        <v>0.14791666666666667</v>
      </c>
      <c r="S161" s="80">
        <v>0.15</v>
      </c>
      <c r="T161" s="67">
        <v>104.0</v>
      </c>
      <c r="U161" s="79">
        <v>0.19583333333333333</v>
      </c>
      <c r="V161" s="80">
        <v>0.20625</v>
      </c>
    </row>
    <row r="162" ht="15.75" customHeight="1">
      <c r="A162" s="47">
        <v>689.0</v>
      </c>
      <c r="B162" s="11">
        <v>12.0</v>
      </c>
      <c r="C162" s="12">
        <v>0.25416666666666665</v>
      </c>
      <c r="D162" s="13">
        <v>0.25416666666666665</v>
      </c>
      <c r="E162" s="64">
        <v>141.0</v>
      </c>
      <c r="F162" s="65">
        <v>0.33611111111111114</v>
      </c>
      <c r="G162" s="66">
        <v>0.33611111111111114</v>
      </c>
      <c r="H162" s="11">
        <v>13.0</v>
      </c>
      <c r="I162" s="12">
        <v>0.35555555555555557</v>
      </c>
      <c r="J162" s="13">
        <v>0.3590277777777778</v>
      </c>
      <c r="K162" s="67">
        <v>14.0</v>
      </c>
      <c r="L162" s="12">
        <v>0.4284722222222222</v>
      </c>
      <c r="M162" s="13">
        <v>0.42916666666666664</v>
      </c>
      <c r="N162" s="67">
        <v>14.0</v>
      </c>
      <c r="O162" s="79">
        <v>0.4895833333333333</v>
      </c>
      <c r="P162" s="80">
        <v>0.4909722222222222</v>
      </c>
      <c r="Q162" s="67">
        <v>13.0</v>
      </c>
      <c r="R162" s="79">
        <v>0.04375</v>
      </c>
      <c r="S162" s="80">
        <v>0.044444444444444446</v>
      </c>
      <c r="T162" s="67">
        <v>13.0</v>
      </c>
      <c r="U162" s="79">
        <v>0.07916666666666666</v>
      </c>
      <c r="V162" s="80">
        <v>0.08680555555555555</v>
      </c>
    </row>
    <row r="163" ht="15.75" customHeight="1">
      <c r="A163" s="47">
        <v>689.0</v>
      </c>
      <c r="B163" s="11">
        <v>14.0</v>
      </c>
      <c r="C163" s="12">
        <v>0.2548611111111111</v>
      </c>
      <c r="D163" s="13">
        <v>0.25555555555555554</v>
      </c>
      <c r="E163" s="64">
        <v>14.0</v>
      </c>
      <c r="F163" s="65">
        <v>0.3013888888888889</v>
      </c>
      <c r="G163" s="66">
        <v>0.3013888888888889</v>
      </c>
      <c r="H163" s="11"/>
      <c r="I163" s="18"/>
      <c r="J163" s="38"/>
      <c r="M163" s="72"/>
      <c r="P163" s="72"/>
      <c r="S163" s="72"/>
      <c r="V163" s="72"/>
    </row>
    <row r="164" ht="15.75" customHeight="1">
      <c r="A164" s="47">
        <v>690.0</v>
      </c>
      <c r="B164" s="11">
        <v>97.0</v>
      </c>
      <c r="C164" s="12">
        <v>0.26805555555555555</v>
      </c>
      <c r="D164" s="13">
        <v>0.26875</v>
      </c>
      <c r="E164" s="64">
        <v>96.0</v>
      </c>
      <c r="F164" s="65">
        <v>0.32430555555555557</v>
      </c>
      <c r="G164" s="66">
        <v>0.32430555555555557</v>
      </c>
      <c r="H164" s="11">
        <v>89.0</v>
      </c>
      <c r="I164" s="12">
        <v>0.3902777777777778</v>
      </c>
      <c r="J164" s="13">
        <v>0.39305555555555555</v>
      </c>
      <c r="K164" s="67">
        <v>84.0</v>
      </c>
      <c r="L164" s="12">
        <v>0.48055555555555557</v>
      </c>
      <c r="M164" s="13">
        <v>0.48333333333333334</v>
      </c>
      <c r="N164" s="67">
        <v>90.0</v>
      </c>
      <c r="O164" s="79">
        <v>0.05555555555555555</v>
      </c>
      <c r="P164" s="80">
        <v>0.05625</v>
      </c>
      <c r="Q164" s="67">
        <v>86.0</v>
      </c>
      <c r="R164" s="79">
        <v>0.125</v>
      </c>
      <c r="S164" s="80">
        <v>0.12638888888888888</v>
      </c>
      <c r="T164" s="67">
        <v>88.0</v>
      </c>
      <c r="U164" s="79">
        <v>0.17847222222222223</v>
      </c>
      <c r="V164" s="80">
        <v>0.19027777777777777</v>
      </c>
    </row>
    <row r="165" ht="15.75" customHeight="1">
      <c r="A165" s="47">
        <v>691.0</v>
      </c>
      <c r="B165" s="11">
        <v>128.0</v>
      </c>
      <c r="C165" s="12">
        <v>0.2708333333333333</v>
      </c>
      <c r="D165" s="13">
        <v>0.27152777777777776</v>
      </c>
      <c r="E165" s="64">
        <v>150.0</v>
      </c>
      <c r="F165" s="65">
        <v>0.3368055555555556</v>
      </c>
      <c r="G165" s="66">
        <v>0.3368055555555556</v>
      </c>
      <c r="H165" s="11">
        <v>167.0</v>
      </c>
      <c r="I165" s="12">
        <v>0.42083333333333334</v>
      </c>
      <c r="J165" s="13">
        <v>0.4340277777777778</v>
      </c>
      <c r="K165" s="67">
        <v>174.0</v>
      </c>
      <c r="L165" s="12">
        <v>0.5333333333333333</v>
      </c>
      <c r="M165" s="13">
        <v>0.5381944444444444</v>
      </c>
      <c r="N165" s="67">
        <v>177.0</v>
      </c>
      <c r="O165" s="79">
        <v>0.11736111111111111</v>
      </c>
      <c r="P165" s="80">
        <v>0.12430555555555556</v>
      </c>
      <c r="Q165" s="67">
        <v>171.0</v>
      </c>
      <c r="R165" s="79">
        <v>0.19930555555555557</v>
      </c>
      <c r="S165" s="80">
        <v>0.2076388888888889</v>
      </c>
      <c r="T165" s="67">
        <v>171.0</v>
      </c>
      <c r="U165" s="79">
        <v>0.2625</v>
      </c>
      <c r="V165" s="80">
        <v>0.27708333333333335</v>
      </c>
    </row>
    <row r="166" ht="15.75" customHeight="1">
      <c r="A166" s="47">
        <v>692.0</v>
      </c>
      <c r="B166" s="11">
        <v>45.0</v>
      </c>
      <c r="C166" s="12">
        <v>0.2611111111111111</v>
      </c>
      <c r="D166" s="13">
        <v>0.26180555555555557</v>
      </c>
      <c r="E166" s="64">
        <v>49.0</v>
      </c>
      <c r="F166" s="65">
        <v>0.3138888888888889</v>
      </c>
      <c r="G166" s="66">
        <v>0.3138888888888889</v>
      </c>
      <c r="H166" s="11">
        <v>53.0</v>
      </c>
      <c r="I166" s="12">
        <v>0.3763888888888889</v>
      </c>
      <c r="J166" s="13">
        <v>0.38055555555555554</v>
      </c>
      <c r="K166" s="67">
        <v>57.0</v>
      </c>
      <c r="L166" s="12">
        <v>0.4618055555555556</v>
      </c>
      <c r="M166" s="13">
        <v>0.4652777777777778</v>
      </c>
      <c r="N166" s="67">
        <v>62.0</v>
      </c>
      <c r="O166" s="79">
        <v>0.5333333333333333</v>
      </c>
      <c r="P166" s="80">
        <v>0.5354166666666667</v>
      </c>
      <c r="Q166" s="67">
        <v>62.0</v>
      </c>
      <c r="R166" s="79">
        <v>0.1</v>
      </c>
      <c r="S166" s="80">
        <v>0.10347222222222222</v>
      </c>
      <c r="T166" s="67">
        <v>61.0</v>
      </c>
      <c r="U166" s="79">
        <v>0.1451388888888889</v>
      </c>
      <c r="V166" s="80">
        <v>0.15416666666666667</v>
      </c>
    </row>
    <row r="167" ht="15.75" customHeight="1">
      <c r="A167" s="47">
        <v>693.0</v>
      </c>
      <c r="B167" s="11">
        <v>129.0</v>
      </c>
      <c r="C167" s="12">
        <v>0.2708333333333333</v>
      </c>
      <c r="D167" s="13">
        <v>0.27152777777777776</v>
      </c>
      <c r="E167" s="64">
        <v>123.0</v>
      </c>
      <c r="F167" s="65">
        <v>0.33055555555555555</v>
      </c>
      <c r="G167" s="66">
        <v>0.33055555555555555</v>
      </c>
      <c r="H167" s="11">
        <v>111.0</v>
      </c>
      <c r="I167" s="12">
        <v>0.40208333333333335</v>
      </c>
      <c r="J167" s="38"/>
      <c r="K167" s="67">
        <v>111.0</v>
      </c>
      <c r="L167" s="12">
        <v>0.49722222222222223</v>
      </c>
      <c r="M167" s="13">
        <v>0.5</v>
      </c>
      <c r="N167" s="67">
        <v>110.0</v>
      </c>
      <c r="O167" s="79">
        <v>0.07291666666666667</v>
      </c>
      <c r="P167" s="80">
        <v>0.0763888888888889</v>
      </c>
      <c r="Q167" s="67">
        <v>106.0</v>
      </c>
      <c r="R167" s="79">
        <v>0.14375</v>
      </c>
      <c r="S167" s="80">
        <v>0.14583333333333334</v>
      </c>
      <c r="T167" s="67">
        <v>109.0</v>
      </c>
      <c r="U167" s="79">
        <v>0.19930555555555557</v>
      </c>
      <c r="V167" s="80">
        <v>0.20694444444444443</v>
      </c>
    </row>
    <row r="168" ht="15.75" customHeight="1">
      <c r="A168" s="47">
        <v>694.0</v>
      </c>
      <c r="B168" s="11">
        <v>173.0</v>
      </c>
      <c r="C168" s="12">
        <v>0.2743055555555556</v>
      </c>
      <c r="D168" s="13">
        <v>0.275</v>
      </c>
      <c r="E168" s="64">
        <v>172.0</v>
      </c>
      <c r="F168" s="65">
        <v>0.3388888888888889</v>
      </c>
      <c r="G168" s="66">
        <v>0.3388888888888889</v>
      </c>
      <c r="H168" s="11">
        <v>145.0</v>
      </c>
      <c r="I168" s="12">
        <v>0.41180555555555554</v>
      </c>
      <c r="J168" s="13">
        <v>0.4173611111111111</v>
      </c>
      <c r="K168" s="67">
        <v>143.0</v>
      </c>
      <c r="L168" s="12">
        <v>0.5104166666666666</v>
      </c>
      <c r="M168" s="13">
        <v>0.5138888888888888</v>
      </c>
      <c r="N168" s="67">
        <v>147.0</v>
      </c>
      <c r="O168" s="79">
        <v>0.09375</v>
      </c>
      <c r="P168" s="80">
        <v>0.09513888888888888</v>
      </c>
      <c r="Q168" s="67">
        <v>147.0</v>
      </c>
      <c r="R168" s="79">
        <v>0.1701388888888889</v>
      </c>
      <c r="S168" s="80">
        <v>0.17222222222222222</v>
      </c>
      <c r="T168" s="67">
        <v>146.0</v>
      </c>
      <c r="U168" s="79">
        <v>0.23125</v>
      </c>
      <c r="V168" s="80">
        <v>0.2534722222222222</v>
      </c>
    </row>
    <row r="169" ht="15.75" customHeight="1">
      <c r="A169" s="47">
        <v>695.0</v>
      </c>
      <c r="B169" s="11">
        <v>68.0</v>
      </c>
      <c r="C169" s="12">
        <v>0.2638888888888889</v>
      </c>
      <c r="D169" s="13">
        <v>0.26458333333333334</v>
      </c>
      <c r="E169" s="64">
        <v>65.0</v>
      </c>
      <c r="F169" s="65">
        <v>0.31875</v>
      </c>
      <c r="G169" s="66">
        <v>0.31875</v>
      </c>
      <c r="H169" s="11">
        <v>64.0</v>
      </c>
      <c r="I169" s="12">
        <v>0.3840277777777778</v>
      </c>
      <c r="J169" s="13">
        <v>0.3875</v>
      </c>
      <c r="K169" s="67">
        <v>63.0</v>
      </c>
      <c r="L169" s="12">
        <v>0.46944444444444444</v>
      </c>
      <c r="M169" s="13">
        <v>0.47291666666666665</v>
      </c>
      <c r="N169" s="67">
        <v>70.0</v>
      </c>
      <c r="O169" s="79">
        <v>0.043055555555555555</v>
      </c>
      <c r="P169" s="80">
        <v>0.04722222222222222</v>
      </c>
      <c r="Q169" s="67">
        <v>68.0</v>
      </c>
      <c r="R169" s="79">
        <v>0.10694444444444444</v>
      </c>
      <c r="S169" s="80">
        <v>0.1111111111111111</v>
      </c>
      <c r="T169" s="67">
        <v>79.0</v>
      </c>
      <c r="U169" s="79">
        <v>0.16944444444444445</v>
      </c>
      <c r="V169" s="80">
        <v>0.18125</v>
      </c>
    </row>
    <row r="170" ht="15.75" customHeight="1">
      <c r="A170" s="47">
        <v>696.0</v>
      </c>
      <c r="B170" s="11">
        <v>113.0</v>
      </c>
      <c r="C170" s="12">
        <v>0.26944444444444443</v>
      </c>
      <c r="D170" s="13">
        <v>0.2701388888888889</v>
      </c>
      <c r="E170" s="64">
        <v>110.0</v>
      </c>
      <c r="F170" s="65">
        <v>0.32569444444444445</v>
      </c>
      <c r="G170" s="66">
        <v>0.32569444444444445</v>
      </c>
      <c r="H170" s="11">
        <v>91.0</v>
      </c>
      <c r="I170" s="12">
        <v>0.39305555555555555</v>
      </c>
      <c r="J170" s="13">
        <v>0.39861111111111114</v>
      </c>
      <c r="K170" s="67">
        <v>91.0</v>
      </c>
      <c r="L170" s="12">
        <v>0.4840277777777778</v>
      </c>
      <c r="M170" s="13">
        <v>0.4875</v>
      </c>
      <c r="N170" s="67">
        <v>89.0</v>
      </c>
      <c r="O170" s="79">
        <v>0.05555555555555555</v>
      </c>
      <c r="P170" s="80">
        <v>0.06041666666666667</v>
      </c>
      <c r="Q170" s="67">
        <v>90.0</v>
      </c>
      <c r="R170" s="79">
        <v>0.12569444444444444</v>
      </c>
      <c r="S170" s="80">
        <v>0.12916666666666668</v>
      </c>
      <c r="T170" s="67">
        <v>86.0</v>
      </c>
      <c r="U170" s="79">
        <v>0.17430555555555555</v>
      </c>
      <c r="V170" s="80">
        <v>0.18888888888888888</v>
      </c>
    </row>
    <row r="171" ht="15.75" customHeight="1">
      <c r="A171" s="47">
        <v>697.0</v>
      </c>
      <c r="B171" s="11">
        <v>34.0</v>
      </c>
      <c r="C171" s="12">
        <v>0.25972222222222224</v>
      </c>
      <c r="D171" s="13">
        <v>0.2604166666666667</v>
      </c>
      <c r="E171" s="64">
        <v>29.0</v>
      </c>
      <c r="F171" s="65">
        <v>0.30694444444444446</v>
      </c>
      <c r="G171" s="66">
        <v>0.30694444444444446</v>
      </c>
      <c r="H171" s="11">
        <v>21.0</v>
      </c>
      <c r="I171" s="12">
        <v>0.36319444444444443</v>
      </c>
      <c r="J171" s="13">
        <v>0.3638888888888889</v>
      </c>
      <c r="K171" s="67">
        <v>15.0</v>
      </c>
      <c r="L171" s="12">
        <v>0.42986111111111114</v>
      </c>
      <c r="M171" s="13">
        <v>0.4326388888888889</v>
      </c>
      <c r="N171" s="67">
        <v>13.0</v>
      </c>
      <c r="O171" s="79">
        <v>0.48680555555555555</v>
      </c>
      <c r="P171" s="80">
        <v>0.4888888888888889</v>
      </c>
      <c r="Q171" s="67">
        <v>14.0</v>
      </c>
      <c r="R171" s="79">
        <v>0.044444444444444446</v>
      </c>
      <c r="S171" s="80">
        <v>0.04722222222222222</v>
      </c>
      <c r="T171" s="67">
        <v>14.0</v>
      </c>
      <c r="U171" s="79">
        <v>0.0875</v>
      </c>
      <c r="V171" s="80">
        <v>0.09513888888888888</v>
      </c>
    </row>
    <row r="172" ht="15.75" customHeight="1">
      <c r="A172" s="47">
        <v>699.0</v>
      </c>
      <c r="B172" s="11">
        <v>125.0</v>
      </c>
      <c r="C172" s="12">
        <v>0.2708333333333333</v>
      </c>
      <c r="D172" s="13">
        <v>0.27152777777777776</v>
      </c>
      <c r="E172" s="64">
        <v>134.0</v>
      </c>
      <c r="F172" s="65">
        <v>0.33402777777777776</v>
      </c>
      <c r="G172" s="66">
        <v>0.33402777777777776</v>
      </c>
      <c r="H172" s="11">
        <v>126.0</v>
      </c>
      <c r="I172" s="12">
        <v>0.4048611111111111</v>
      </c>
      <c r="J172" s="13">
        <v>0.41458333333333336</v>
      </c>
      <c r="K172" s="67">
        <v>136.0</v>
      </c>
      <c r="L172" s="12">
        <v>0.5055555555555555</v>
      </c>
      <c r="M172" s="13">
        <v>0.50625</v>
      </c>
      <c r="N172" s="67">
        <v>113.0</v>
      </c>
      <c r="O172" s="79">
        <v>0.07708333333333334</v>
      </c>
      <c r="P172" s="80">
        <v>0.07916666666666666</v>
      </c>
      <c r="Q172" s="67">
        <v>111.0</v>
      </c>
      <c r="R172" s="79">
        <v>0.14791666666666667</v>
      </c>
      <c r="S172" s="80">
        <v>0.1486111111111111</v>
      </c>
      <c r="T172" s="67">
        <v>108.0</v>
      </c>
      <c r="U172" s="79">
        <v>0.1986111111111111</v>
      </c>
      <c r="V172" s="82"/>
    </row>
    <row r="173" ht="15.75" customHeight="1">
      <c r="A173" s="47">
        <v>700.0</v>
      </c>
      <c r="B173" s="11">
        <v>108.0</v>
      </c>
      <c r="C173" s="12">
        <v>0.26944444444444443</v>
      </c>
      <c r="D173" s="13">
        <v>0.2701388888888889</v>
      </c>
      <c r="E173" s="64">
        <v>106.0</v>
      </c>
      <c r="F173" s="65">
        <v>0.32569444444444445</v>
      </c>
      <c r="G173" s="66">
        <v>0.32569444444444445</v>
      </c>
      <c r="H173" s="11">
        <v>117.0</v>
      </c>
      <c r="I173" s="12">
        <v>0.4013888888888889</v>
      </c>
      <c r="J173" s="13">
        <v>0.4152777777777778</v>
      </c>
      <c r="K173" s="67">
        <v>141.0</v>
      </c>
      <c r="L173" s="12">
        <v>0.5069444444444444</v>
      </c>
      <c r="M173" s="13">
        <v>0.5125</v>
      </c>
      <c r="N173" s="67">
        <v>142.0</v>
      </c>
      <c r="O173" s="79">
        <v>0.08958333333333333</v>
      </c>
      <c r="P173" s="72" t="s">
        <v>178</v>
      </c>
      <c r="S173" s="72"/>
      <c r="V173" s="72"/>
    </row>
    <row r="174" ht="15.75" customHeight="1">
      <c r="A174" s="47">
        <v>701.0</v>
      </c>
      <c r="B174" s="11">
        <v>165.0</v>
      </c>
      <c r="C174" s="12">
        <v>0.2743055555555556</v>
      </c>
      <c r="D174" s="13">
        <v>0.275</v>
      </c>
      <c r="E174" s="64">
        <v>163.0</v>
      </c>
      <c r="F174" s="65">
        <v>0.3388888888888889</v>
      </c>
      <c r="G174" s="66">
        <v>0.3388888888888889</v>
      </c>
      <c r="H174" s="11">
        <v>165.0</v>
      </c>
      <c r="I174" s="12">
        <v>0.41944444444444445</v>
      </c>
      <c r="J174" s="13">
        <v>0.4222222222222222</v>
      </c>
      <c r="K174" s="67">
        <v>153.0</v>
      </c>
      <c r="L174" s="12">
        <v>0.5159722222222223</v>
      </c>
      <c r="M174" s="13">
        <v>0.5194444444444445</v>
      </c>
      <c r="N174" s="67">
        <v>159.0</v>
      </c>
      <c r="O174" s="79">
        <v>0.09861111111111111</v>
      </c>
      <c r="P174" s="80">
        <v>0.10138888888888889</v>
      </c>
      <c r="Q174" s="67">
        <v>155.0</v>
      </c>
      <c r="R174" s="79">
        <v>0.18125</v>
      </c>
      <c r="S174" s="80">
        <v>0.18472222222222223</v>
      </c>
      <c r="T174" s="67">
        <v>154.0</v>
      </c>
      <c r="U174" s="79">
        <v>0.24027777777777778</v>
      </c>
      <c r="V174" s="80">
        <v>0.25416666666666665</v>
      </c>
    </row>
    <row r="175" ht="15.75" customHeight="1">
      <c r="A175" s="47">
        <v>702.0</v>
      </c>
      <c r="B175" s="11">
        <v>27.0</v>
      </c>
      <c r="C175" s="12">
        <v>0.25972222222222224</v>
      </c>
      <c r="D175" s="13">
        <v>0.2604166666666667</v>
      </c>
      <c r="E175" s="64">
        <v>24.0</v>
      </c>
      <c r="F175" s="65">
        <v>0.30694444444444446</v>
      </c>
      <c r="G175" s="66">
        <v>0.30694444444444446</v>
      </c>
      <c r="H175" s="11">
        <v>23.0</v>
      </c>
      <c r="I175" s="12">
        <v>0.3638888888888889</v>
      </c>
      <c r="J175" s="13">
        <v>0.36736111111111114</v>
      </c>
      <c r="K175" s="67">
        <v>20.0</v>
      </c>
      <c r="L175" s="12">
        <v>0.4354166666666667</v>
      </c>
      <c r="M175" s="13">
        <v>0.4375</v>
      </c>
      <c r="N175" s="67">
        <v>15.0</v>
      </c>
      <c r="O175" s="79">
        <v>0.49166666666666664</v>
      </c>
      <c r="P175" s="80">
        <v>0.4951388888888889</v>
      </c>
      <c r="Q175" s="67">
        <v>15.0</v>
      </c>
      <c r="R175" s="79">
        <v>0.04861111111111111</v>
      </c>
      <c r="S175" s="80">
        <v>0.05138888888888889</v>
      </c>
      <c r="T175" s="67">
        <v>17.0</v>
      </c>
      <c r="U175" s="79">
        <v>0.09097222222222222</v>
      </c>
      <c r="V175" s="80">
        <v>0.10277777777777777</v>
      </c>
    </row>
    <row r="176" ht="15.75" customHeight="1">
      <c r="A176" s="47">
        <v>703.0</v>
      </c>
      <c r="B176" s="11">
        <v>18.0</v>
      </c>
      <c r="C176" s="12">
        <v>0.25763888888888886</v>
      </c>
      <c r="D176" s="13">
        <v>0.25833333333333336</v>
      </c>
      <c r="E176" s="64">
        <v>27.0</v>
      </c>
      <c r="F176" s="65">
        <v>0.30694444444444446</v>
      </c>
      <c r="G176" s="66">
        <v>0.30694444444444446</v>
      </c>
      <c r="H176" s="11">
        <v>29.0</v>
      </c>
      <c r="I176" s="12">
        <v>0.36666666666666664</v>
      </c>
      <c r="J176" s="13">
        <v>0.3729166666666667</v>
      </c>
      <c r="K176" s="67">
        <v>26.0</v>
      </c>
      <c r="L176" s="12">
        <v>0.44166666666666665</v>
      </c>
      <c r="M176" s="13">
        <v>0.44305555555555554</v>
      </c>
      <c r="N176" s="67">
        <v>35.0</v>
      </c>
      <c r="O176" s="79">
        <v>0.5069444444444444</v>
      </c>
      <c r="P176" s="80">
        <v>0.5083333333333333</v>
      </c>
      <c r="Q176" s="67">
        <v>36.0</v>
      </c>
      <c r="R176" s="79">
        <v>0.06805555555555555</v>
      </c>
      <c r="S176" s="80">
        <v>0.06944444444444445</v>
      </c>
      <c r="T176" s="67">
        <v>41.0</v>
      </c>
      <c r="U176" s="79">
        <v>0.11388888888888889</v>
      </c>
      <c r="V176" s="80">
        <v>0.11736111111111111</v>
      </c>
    </row>
    <row r="177" ht="15.75" customHeight="1">
      <c r="A177" s="47">
        <v>704.0</v>
      </c>
      <c r="B177" s="11">
        <v>131.0</v>
      </c>
      <c r="C177" s="12">
        <v>0.2708333333333333</v>
      </c>
      <c r="D177" s="13">
        <v>0.27152777777777776</v>
      </c>
      <c r="E177" s="64">
        <v>133.0</v>
      </c>
      <c r="F177" s="65">
        <v>0.3326388888888889</v>
      </c>
      <c r="G177" s="66">
        <v>0.3326388888888889</v>
      </c>
      <c r="H177" s="11">
        <v>122.0</v>
      </c>
      <c r="I177" s="12">
        <v>0.40347222222222223</v>
      </c>
      <c r="J177" s="13">
        <v>0.4048611111111111</v>
      </c>
      <c r="K177" s="67">
        <v>102.0</v>
      </c>
      <c r="L177" s="12">
        <v>0.4895833333333333</v>
      </c>
      <c r="M177" s="13">
        <v>0.4909722222222222</v>
      </c>
      <c r="N177" s="67">
        <v>99.0</v>
      </c>
      <c r="O177" s="79">
        <v>0.0625</v>
      </c>
      <c r="P177" s="80">
        <v>0.06388888888888888</v>
      </c>
      <c r="Q177" s="67">
        <v>99.0</v>
      </c>
      <c r="R177" s="79">
        <v>0.13541666666666666</v>
      </c>
      <c r="S177" s="80">
        <v>0.1361111111111111</v>
      </c>
      <c r="T177" s="67">
        <v>103.0</v>
      </c>
      <c r="U177" s="79">
        <v>0.19444444444444445</v>
      </c>
      <c r="V177" s="82"/>
    </row>
    <row r="178" ht="15.75" customHeight="1">
      <c r="A178" s="47">
        <v>705.0</v>
      </c>
      <c r="B178" s="11">
        <v>95.0</v>
      </c>
      <c r="C178" s="12">
        <v>0.26805555555555555</v>
      </c>
      <c r="D178" s="13">
        <v>0.26875</v>
      </c>
      <c r="E178" s="64">
        <v>100.0</v>
      </c>
      <c r="F178" s="65">
        <v>0.32569444444444445</v>
      </c>
      <c r="G178" s="66">
        <v>0.32569444444444445</v>
      </c>
      <c r="H178" s="11">
        <v>108.0</v>
      </c>
      <c r="I178" s="12">
        <v>0.3993055555555556</v>
      </c>
      <c r="J178" s="13">
        <v>0.40347222222222223</v>
      </c>
      <c r="K178" s="67">
        <v>107.0</v>
      </c>
      <c r="L178" s="12">
        <v>0.4930555555555556</v>
      </c>
      <c r="M178" s="13">
        <v>0.4979166666666667</v>
      </c>
      <c r="N178" s="67">
        <v>102.0</v>
      </c>
      <c r="O178" s="79">
        <v>0.06736111111111111</v>
      </c>
      <c r="P178" s="80">
        <v>0.07222222222222222</v>
      </c>
      <c r="Q178" s="67">
        <v>104.0</v>
      </c>
      <c r="R178" s="79">
        <v>0.14097222222222222</v>
      </c>
      <c r="S178" s="80">
        <v>0.15347222222222223</v>
      </c>
      <c r="T178" s="67">
        <v>111.0</v>
      </c>
      <c r="U178" s="79">
        <v>0.19930555555555557</v>
      </c>
      <c r="V178" s="80">
        <v>0.21666666666666667</v>
      </c>
    </row>
    <row r="179" ht="15.75" customHeight="1">
      <c r="A179" s="47">
        <v>706.0</v>
      </c>
      <c r="B179" s="11">
        <v>79.0</v>
      </c>
      <c r="C179" s="12">
        <v>0.2659722222222222</v>
      </c>
      <c r="D179" s="13">
        <v>0.26666666666666666</v>
      </c>
      <c r="E179" s="64">
        <v>64.0</v>
      </c>
      <c r="F179" s="65">
        <v>0.31875</v>
      </c>
      <c r="G179" s="66">
        <v>0.31875</v>
      </c>
      <c r="H179" s="11">
        <v>62.0</v>
      </c>
      <c r="I179" s="12">
        <v>0.38333333333333336</v>
      </c>
      <c r="J179" s="13">
        <v>0.38958333333333334</v>
      </c>
      <c r="K179" s="67">
        <v>64.0</v>
      </c>
      <c r="L179" s="12">
        <v>0.46944444444444444</v>
      </c>
      <c r="M179" s="13">
        <v>0.4722222222222222</v>
      </c>
      <c r="N179" s="67">
        <v>66.0</v>
      </c>
      <c r="O179" s="79">
        <v>0.5402777777777777</v>
      </c>
      <c r="P179" s="80">
        <v>0.04513888888888889</v>
      </c>
      <c r="Q179" s="67">
        <v>73.0</v>
      </c>
      <c r="R179" s="79">
        <v>0.10972222222222222</v>
      </c>
      <c r="S179" s="80">
        <v>0.11180555555555556</v>
      </c>
      <c r="T179" s="67">
        <v>81.0</v>
      </c>
      <c r="U179" s="79">
        <v>0.16944444444444445</v>
      </c>
      <c r="V179" s="80">
        <v>0.18055555555555555</v>
      </c>
    </row>
    <row r="180" ht="15.75" customHeight="1">
      <c r="A180" s="47">
        <v>707.0</v>
      </c>
      <c r="B180" s="11">
        <v>151.0</v>
      </c>
      <c r="C180" s="12">
        <v>0.2743055555555556</v>
      </c>
      <c r="D180" s="13">
        <v>0.275</v>
      </c>
      <c r="E180" s="64">
        <v>154.0</v>
      </c>
      <c r="F180" s="65">
        <v>0.3368055555555556</v>
      </c>
      <c r="G180" s="66">
        <v>0.3368055555555556</v>
      </c>
      <c r="H180" s="11">
        <v>149.0</v>
      </c>
      <c r="I180" s="12">
        <v>0.4125</v>
      </c>
      <c r="J180" s="13">
        <v>0.4215277777777778</v>
      </c>
      <c r="K180" s="67">
        <v>132.0</v>
      </c>
      <c r="L180" s="12">
        <v>0.5048611111111111</v>
      </c>
      <c r="M180" s="13">
        <v>0.5076388888888889</v>
      </c>
      <c r="N180" s="67">
        <v>126.0</v>
      </c>
      <c r="O180" s="79">
        <v>0.0798611111111111</v>
      </c>
      <c r="P180" s="80">
        <v>0.08333333333333333</v>
      </c>
      <c r="Q180" s="67">
        <v>118.0</v>
      </c>
      <c r="R180" s="79">
        <v>0.1527777777777778</v>
      </c>
      <c r="S180" s="80">
        <v>0.15625</v>
      </c>
      <c r="T180" s="67">
        <v>121.0</v>
      </c>
      <c r="U180" s="79">
        <v>0.20972222222222223</v>
      </c>
      <c r="V180" s="80">
        <v>0.225</v>
      </c>
    </row>
    <row r="181" ht="15.75" customHeight="1">
      <c r="A181" s="47">
        <v>708.0</v>
      </c>
      <c r="B181" s="11">
        <v>62.0</v>
      </c>
      <c r="C181" s="12">
        <v>0.26319444444444445</v>
      </c>
      <c r="D181" s="13">
        <v>0.2638888888888889</v>
      </c>
      <c r="E181" s="64">
        <v>52.0</v>
      </c>
      <c r="F181" s="65">
        <v>0.3145833333333333</v>
      </c>
      <c r="G181" s="66">
        <v>0.3145833333333333</v>
      </c>
      <c r="H181" s="11">
        <v>35.0</v>
      </c>
      <c r="I181" s="12">
        <v>0.37083333333333335</v>
      </c>
      <c r="J181" s="13">
        <v>0.38055555555555554</v>
      </c>
      <c r="K181" s="67">
        <v>34.0</v>
      </c>
      <c r="L181" s="12">
        <v>0.44583333333333336</v>
      </c>
      <c r="M181" s="13">
        <v>0.4479166666666667</v>
      </c>
      <c r="N181" s="67">
        <v>29.0</v>
      </c>
      <c r="O181" s="79">
        <v>0.5034722222222222</v>
      </c>
      <c r="P181" s="80">
        <v>0.5055555555555555</v>
      </c>
      <c r="Q181" s="67">
        <v>25.0</v>
      </c>
      <c r="R181" s="79">
        <v>0.06041666666666667</v>
      </c>
      <c r="S181" s="80">
        <v>0.0625</v>
      </c>
      <c r="T181" s="67">
        <v>23.0</v>
      </c>
      <c r="U181" s="79">
        <v>0.1</v>
      </c>
      <c r="V181" s="82"/>
    </row>
    <row r="182" ht="15.75" customHeight="1">
      <c r="A182" s="47">
        <v>709.0</v>
      </c>
      <c r="B182" s="11">
        <v>78.0</v>
      </c>
      <c r="C182" s="12">
        <v>0.2659722222222222</v>
      </c>
      <c r="D182" s="13">
        <v>0.26666666666666666</v>
      </c>
      <c r="E182" s="64">
        <v>81.0</v>
      </c>
      <c r="F182" s="65">
        <v>0.3215277777777778</v>
      </c>
      <c r="G182" s="66">
        <v>0.3215277777777778</v>
      </c>
      <c r="H182" s="11">
        <v>80.0</v>
      </c>
      <c r="I182" s="12">
        <v>0.38819444444444445</v>
      </c>
      <c r="J182" s="13">
        <v>0.3909722222222222</v>
      </c>
      <c r="K182" s="67">
        <v>68.0</v>
      </c>
      <c r="L182" s="12">
        <v>0.4708333333333333</v>
      </c>
      <c r="M182" s="13">
        <v>0.47430555555555554</v>
      </c>
      <c r="N182" s="67">
        <v>63.0</v>
      </c>
      <c r="O182" s="79">
        <v>0.5375</v>
      </c>
      <c r="P182" s="80">
        <v>0.041666666666666664</v>
      </c>
      <c r="Q182" s="67">
        <v>64.0</v>
      </c>
      <c r="R182" s="79">
        <v>0.10625</v>
      </c>
      <c r="S182" s="80">
        <v>0.10833333333333334</v>
      </c>
      <c r="T182" s="67">
        <v>72.0</v>
      </c>
      <c r="U182" s="79">
        <v>0.16319444444444445</v>
      </c>
      <c r="V182" s="80">
        <v>0.17222222222222222</v>
      </c>
    </row>
    <row r="183" ht="15.75" customHeight="1">
      <c r="A183" s="47">
        <v>711.0</v>
      </c>
      <c r="B183" s="11">
        <v>102.0</v>
      </c>
      <c r="C183" s="12">
        <v>0.26875</v>
      </c>
      <c r="D183" s="13">
        <v>0.26944444444444443</v>
      </c>
      <c r="E183" s="64">
        <v>77.0</v>
      </c>
      <c r="F183" s="65">
        <v>0.32083333333333336</v>
      </c>
      <c r="G183" s="66">
        <v>0.32083333333333336</v>
      </c>
      <c r="H183" s="11">
        <v>59.0</v>
      </c>
      <c r="I183" s="12">
        <v>0.3798611111111111</v>
      </c>
      <c r="J183" s="13">
        <v>0.3840277777777778</v>
      </c>
      <c r="K183" s="67">
        <v>42.0</v>
      </c>
      <c r="L183" s="12">
        <v>0.45</v>
      </c>
      <c r="M183" s="13">
        <v>0.4534722222222222</v>
      </c>
      <c r="N183" s="67">
        <v>42.0</v>
      </c>
      <c r="O183" s="79">
        <v>0.5125</v>
      </c>
      <c r="P183" s="80">
        <v>0.5194444444444445</v>
      </c>
      <c r="Q183" s="67">
        <v>44.0</v>
      </c>
      <c r="R183" s="79">
        <v>0.0763888888888889</v>
      </c>
      <c r="S183" s="80">
        <v>0.07847222222222222</v>
      </c>
      <c r="T183" s="67">
        <v>40.0</v>
      </c>
      <c r="U183" s="79">
        <v>0.11388888888888889</v>
      </c>
      <c r="V183" s="80">
        <v>0.125</v>
      </c>
    </row>
    <row r="184" ht="15.75" customHeight="1">
      <c r="A184" s="47">
        <v>712.0</v>
      </c>
      <c r="B184" s="11">
        <v>47.0</v>
      </c>
      <c r="C184" s="12">
        <v>0.2611111111111111</v>
      </c>
      <c r="D184" s="13">
        <v>0.26180555555555557</v>
      </c>
      <c r="E184" s="64">
        <v>61.0</v>
      </c>
      <c r="F184" s="65">
        <v>0.3173611111111111</v>
      </c>
      <c r="G184" s="66">
        <v>0.3173611111111111</v>
      </c>
      <c r="H184" s="11">
        <v>68.0</v>
      </c>
      <c r="I184" s="12">
        <v>0.3861111111111111</v>
      </c>
      <c r="J184" s="13">
        <v>0.3875</v>
      </c>
      <c r="K184" s="67">
        <v>85.0</v>
      </c>
      <c r="L184" s="12">
        <v>0.48055555555555557</v>
      </c>
      <c r="M184" s="13">
        <v>0.48333333333333334</v>
      </c>
      <c r="N184" s="67">
        <v>96.0</v>
      </c>
      <c r="O184" s="79">
        <v>0.059722222222222225</v>
      </c>
      <c r="P184" s="80">
        <v>0.06180555555555556</v>
      </c>
      <c r="Q184" s="67">
        <v>105.0</v>
      </c>
      <c r="R184" s="79">
        <v>0.14166666666666666</v>
      </c>
      <c r="S184" s="80">
        <v>0.14444444444444443</v>
      </c>
      <c r="T184" s="67">
        <v>113.0</v>
      </c>
      <c r="U184" s="79">
        <v>0.20069444444444445</v>
      </c>
      <c r="V184" s="80">
        <v>0.2125</v>
      </c>
    </row>
    <row r="185" ht="15.75" customHeight="1">
      <c r="A185" s="47">
        <v>713.0</v>
      </c>
      <c r="B185" s="11">
        <v>17.0</v>
      </c>
      <c r="C185" s="12">
        <v>0.25763888888888886</v>
      </c>
      <c r="D185" s="13">
        <v>0.25833333333333336</v>
      </c>
      <c r="E185" s="64">
        <v>20.0</v>
      </c>
      <c r="F185" s="65">
        <v>0.30625</v>
      </c>
      <c r="G185" s="66">
        <v>0.30625</v>
      </c>
      <c r="H185" s="11">
        <v>20.0</v>
      </c>
      <c r="I185" s="12">
        <v>0.36319444444444443</v>
      </c>
      <c r="J185" s="13">
        <v>0.36527777777777776</v>
      </c>
      <c r="K185" s="67">
        <v>16.0</v>
      </c>
      <c r="L185" s="12">
        <v>0.43333333333333335</v>
      </c>
      <c r="M185" s="13">
        <v>0.43680555555555556</v>
      </c>
      <c r="N185" s="67">
        <v>23.0</v>
      </c>
      <c r="O185" s="79">
        <v>0.4979166666666667</v>
      </c>
      <c r="P185" s="80">
        <v>0.5020833333333333</v>
      </c>
      <c r="Q185" s="67">
        <v>43.0</v>
      </c>
      <c r="R185" s="79">
        <v>0.07291666666666667</v>
      </c>
      <c r="S185" s="80">
        <v>0.07569444444444444</v>
      </c>
      <c r="T185" s="67">
        <v>50.0</v>
      </c>
      <c r="U185" s="79">
        <v>0.13125</v>
      </c>
      <c r="V185" s="80">
        <v>0.14652777777777778</v>
      </c>
    </row>
    <row r="186" ht="15.75" customHeight="1">
      <c r="A186" s="47">
        <v>714.0</v>
      </c>
      <c r="B186" s="11">
        <v>124.0</v>
      </c>
      <c r="C186" s="12">
        <v>0.2701388888888889</v>
      </c>
      <c r="D186" s="13">
        <v>0.2708333333333333</v>
      </c>
      <c r="E186" s="64">
        <v>138.0</v>
      </c>
      <c r="F186" s="65">
        <v>0.33402777777777776</v>
      </c>
      <c r="G186" s="66">
        <v>0.33402777777777776</v>
      </c>
      <c r="H186" s="11">
        <v>156.0</v>
      </c>
      <c r="I186" s="12">
        <v>0.41388888888888886</v>
      </c>
      <c r="J186" s="13">
        <v>0.4215277777777778</v>
      </c>
      <c r="K186" s="67">
        <v>155.0</v>
      </c>
      <c r="L186" s="12">
        <v>0.5166666666666667</v>
      </c>
      <c r="M186" s="13">
        <v>0.5222222222222223</v>
      </c>
      <c r="N186" s="67">
        <v>153.0</v>
      </c>
      <c r="O186" s="79">
        <v>0.09444444444444444</v>
      </c>
      <c r="P186" s="80">
        <v>0.10069444444444445</v>
      </c>
      <c r="Q186" s="67">
        <v>134.0</v>
      </c>
      <c r="R186" s="79">
        <v>0.16319444444444445</v>
      </c>
      <c r="S186" s="80">
        <v>0.16666666666666666</v>
      </c>
      <c r="T186" s="67">
        <v>127.0</v>
      </c>
      <c r="U186" s="79">
        <v>0.21180555555555555</v>
      </c>
      <c r="V186" s="80">
        <v>0.2222222222222222</v>
      </c>
    </row>
    <row r="187" ht="15.75" customHeight="1">
      <c r="A187" s="47">
        <v>715.0</v>
      </c>
      <c r="B187" s="11"/>
      <c r="C187" s="12"/>
      <c r="D187" s="13"/>
      <c r="E187" s="64"/>
      <c r="F187" s="65"/>
      <c r="G187" s="66"/>
      <c r="H187" s="11">
        <v>48.0</v>
      </c>
      <c r="I187" s="12">
        <v>0.375</v>
      </c>
      <c r="J187" s="13">
        <v>0.37916666666666665</v>
      </c>
      <c r="K187" s="67">
        <v>44.0</v>
      </c>
      <c r="L187" s="12">
        <v>0.4527777777777778</v>
      </c>
      <c r="M187" s="13">
        <v>0.4548611111111111</v>
      </c>
      <c r="N187" s="67">
        <v>44.0</v>
      </c>
      <c r="O187" s="79">
        <v>0.5125</v>
      </c>
      <c r="P187" s="80">
        <v>0.5152777777777777</v>
      </c>
      <c r="Q187" s="67">
        <v>42.0</v>
      </c>
      <c r="R187" s="79">
        <v>0.07152777777777777</v>
      </c>
      <c r="S187" s="80">
        <v>0.07291666666666667</v>
      </c>
      <c r="T187" s="67">
        <v>39.0</v>
      </c>
      <c r="U187" s="79">
        <v>0.11180555555555556</v>
      </c>
      <c r="V187" s="80">
        <v>0.11944444444444445</v>
      </c>
    </row>
    <row r="188" ht="15.75" customHeight="1">
      <c r="A188" s="47">
        <v>716.0</v>
      </c>
      <c r="B188" s="11">
        <v>72.0</v>
      </c>
      <c r="C188" s="12">
        <v>0.26458333333333334</v>
      </c>
      <c r="D188" s="13">
        <v>0.2652777777777778</v>
      </c>
      <c r="E188" s="64">
        <v>84.0</v>
      </c>
      <c r="F188" s="65">
        <v>0.3229166666666667</v>
      </c>
      <c r="G188" s="66">
        <v>0.3229166666666667</v>
      </c>
      <c r="H188" s="11">
        <v>90.0</v>
      </c>
      <c r="I188" s="12">
        <v>0.3923611111111111</v>
      </c>
      <c r="J188" s="13">
        <v>0.3958333333333333</v>
      </c>
      <c r="K188" s="67">
        <v>83.0</v>
      </c>
      <c r="L188" s="12">
        <v>0.4791666666666667</v>
      </c>
      <c r="M188" s="13">
        <v>0.48333333333333334</v>
      </c>
      <c r="N188" s="67">
        <v>83.0</v>
      </c>
      <c r="O188" s="79">
        <v>0.050694444444444445</v>
      </c>
      <c r="P188" s="80">
        <v>0.05625</v>
      </c>
      <c r="Q188" s="67">
        <v>82.0</v>
      </c>
      <c r="R188" s="79">
        <v>0.12222222222222222</v>
      </c>
      <c r="S188" s="80">
        <v>0.12777777777777777</v>
      </c>
      <c r="T188" s="67">
        <v>87.0</v>
      </c>
      <c r="U188" s="79">
        <v>0.1763888888888889</v>
      </c>
      <c r="V188" s="80">
        <v>0.18680555555555556</v>
      </c>
    </row>
    <row r="189" ht="15.75" customHeight="1">
      <c r="A189" s="47">
        <v>717.0</v>
      </c>
      <c r="B189" s="11">
        <v>116.0</v>
      </c>
      <c r="C189" s="12">
        <v>0.26944444444444443</v>
      </c>
      <c r="D189" s="13">
        <v>0.2701388888888889</v>
      </c>
      <c r="E189" s="64">
        <v>124.0</v>
      </c>
      <c r="F189" s="65">
        <v>0.33125</v>
      </c>
      <c r="G189" s="66">
        <v>0.33125</v>
      </c>
      <c r="H189" s="11">
        <v>113.0</v>
      </c>
      <c r="I189" s="12">
        <v>0.40069444444444446</v>
      </c>
      <c r="J189" s="13">
        <v>0.4083333333333333</v>
      </c>
      <c r="K189" s="67">
        <v>110.0</v>
      </c>
      <c r="L189" s="12">
        <v>0.49722222222222223</v>
      </c>
      <c r="M189" s="13">
        <v>0.4986111111111111</v>
      </c>
      <c r="N189" s="67">
        <v>109.0</v>
      </c>
      <c r="O189" s="79">
        <v>0.07152777777777777</v>
      </c>
      <c r="P189" s="80">
        <v>0.07361111111111111</v>
      </c>
      <c r="Q189" s="67">
        <v>107.0</v>
      </c>
      <c r="R189" s="79">
        <v>0.14375</v>
      </c>
      <c r="S189" s="80">
        <v>0.14652777777777778</v>
      </c>
      <c r="T189" s="67">
        <v>110.0</v>
      </c>
      <c r="U189" s="79">
        <v>0.19930555555555557</v>
      </c>
      <c r="V189" s="80">
        <v>0.2125</v>
      </c>
    </row>
    <row r="190" ht="15.75" customHeight="1">
      <c r="A190" s="47">
        <v>718.0</v>
      </c>
      <c r="B190" s="11">
        <v>90.0</v>
      </c>
      <c r="C190" s="12">
        <v>0.2673611111111111</v>
      </c>
      <c r="D190" s="13">
        <v>0.26805555555555555</v>
      </c>
      <c r="E190" s="64">
        <v>45.0</v>
      </c>
      <c r="F190" s="65">
        <v>0.3138888888888889</v>
      </c>
      <c r="G190" s="66">
        <v>0.3138888888888889</v>
      </c>
      <c r="H190" s="11">
        <v>85.0</v>
      </c>
      <c r="I190" s="12">
        <v>0.3888888888888889</v>
      </c>
      <c r="J190" s="13">
        <v>0.39375</v>
      </c>
      <c r="K190" s="67">
        <v>80.0</v>
      </c>
      <c r="L190" s="12">
        <v>0.47638888888888886</v>
      </c>
      <c r="M190" s="13">
        <v>0.4791666666666667</v>
      </c>
      <c r="N190" s="67">
        <v>69.0</v>
      </c>
      <c r="O190" s="79">
        <v>0.04236111111111111</v>
      </c>
      <c r="P190" s="80">
        <v>0.04513888888888889</v>
      </c>
      <c r="Q190" s="67">
        <v>70.0</v>
      </c>
      <c r="R190" s="79">
        <v>0.10833333333333334</v>
      </c>
      <c r="S190" s="80">
        <v>0.1111111111111111</v>
      </c>
      <c r="T190" s="67">
        <v>82.0</v>
      </c>
      <c r="U190" s="79">
        <v>0.1701388888888889</v>
      </c>
      <c r="V190" s="80">
        <v>0.19375</v>
      </c>
    </row>
    <row r="191" ht="15.75" customHeight="1">
      <c r="A191" s="47">
        <v>719.0</v>
      </c>
      <c r="B191" s="11">
        <v>86.0</v>
      </c>
      <c r="C191" s="12">
        <v>0.26666666666666666</v>
      </c>
      <c r="D191" s="13">
        <v>0.2673611111111111</v>
      </c>
      <c r="E191" s="64">
        <v>105.0</v>
      </c>
      <c r="F191" s="65">
        <v>0.32569444444444445</v>
      </c>
      <c r="G191" s="66">
        <v>0.32569444444444445</v>
      </c>
      <c r="H191" s="11">
        <v>99.0</v>
      </c>
      <c r="I191" s="12">
        <v>0.39652777777777776</v>
      </c>
      <c r="J191" s="13">
        <v>0.4013888888888889</v>
      </c>
      <c r="K191" s="67">
        <v>100.0</v>
      </c>
      <c r="L191" s="12">
        <v>0.4888888888888889</v>
      </c>
      <c r="M191" s="13">
        <v>0.4930555555555556</v>
      </c>
      <c r="N191" s="67">
        <v>98.0</v>
      </c>
      <c r="O191" s="79">
        <v>0.06111111111111111</v>
      </c>
      <c r="P191" s="80">
        <v>0.06458333333333334</v>
      </c>
      <c r="Q191" s="67">
        <v>93.0</v>
      </c>
      <c r="R191" s="79">
        <v>0.1284722222222222</v>
      </c>
      <c r="S191" s="80">
        <v>0.13333333333333333</v>
      </c>
      <c r="T191" s="67">
        <v>94.0</v>
      </c>
      <c r="U191" s="79">
        <v>0.18055555555555555</v>
      </c>
      <c r="V191" s="80">
        <v>0.19791666666666666</v>
      </c>
    </row>
    <row r="192" ht="15.75" customHeight="1">
      <c r="A192" s="47">
        <v>721.0</v>
      </c>
      <c r="B192" s="11">
        <v>57.0</v>
      </c>
      <c r="C192" s="12">
        <v>0.26319444444444445</v>
      </c>
      <c r="D192" s="13">
        <v>0.2638888888888889</v>
      </c>
      <c r="E192" s="64">
        <v>48.0</v>
      </c>
      <c r="F192" s="65">
        <v>0.3138888888888889</v>
      </c>
      <c r="G192" s="66">
        <v>0.3138888888888889</v>
      </c>
      <c r="H192" s="11">
        <v>39.0</v>
      </c>
      <c r="I192" s="12">
        <v>0.3715277777777778</v>
      </c>
      <c r="J192" s="13">
        <v>0.3736111111111111</v>
      </c>
      <c r="K192" s="67">
        <v>35.0</v>
      </c>
      <c r="L192" s="12">
        <v>0.44583333333333336</v>
      </c>
      <c r="M192" s="13">
        <v>0.44722222222222224</v>
      </c>
      <c r="N192" s="67">
        <v>33.0</v>
      </c>
      <c r="O192" s="79">
        <v>0.5069444444444444</v>
      </c>
      <c r="P192" s="80">
        <v>0.5118055555555555</v>
      </c>
      <c r="Q192" s="67">
        <v>40.0</v>
      </c>
      <c r="R192" s="79">
        <v>0.07083333333333333</v>
      </c>
      <c r="S192" s="80">
        <v>0.07291666666666667</v>
      </c>
      <c r="T192" s="67">
        <v>38.0</v>
      </c>
      <c r="U192" s="79">
        <v>0.11180555555555556</v>
      </c>
      <c r="V192" s="80">
        <v>0.11527777777777778</v>
      </c>
    </row>
    <row r="193" ht="15.75" customHeight="1">
      <c r="A193" s="47">
        <v>722.0</v>
      </c>
      <c r="B193" s="11">
        <v>64.0</v>
      </c>
      <c r="C193" s="12">
        <v>0.26319444444444445</v>
      </c>
      <c r="D193" s="13">
        <v>0.2638888888888889</v>
      </c>
      <c r="E193" s="64">
        <v>60.0</v>
      </c>
      <c r="F193" s="65">
        <v>0.3159722222222222</v>
      </c>
      <c r="G193" s="66">
        <v>0.3159722222222222</v>
      </c>
      <c r="H193" s="11">
        <v>71.0</v>
      </c>
      <c r="I193" s="12">
        <v>0.3861111111111111</v>
      </c>
      <c r="J193" s="13">
        <v>0.3923611111111111</v>
      </c>
      <c r="K193" s="67">
        <v>78.0</v>
      </c>
      <c r="L193" s="12">
        <v>0.4756944444444444</v>
      </c>
      <c r="M193" s="13">
        <v>0.4791666666666667</v>
      </c>
      <c r="N193" s="67">
        <v>78.0</v>
      </c>
      <c r="O193" s="79">
        <v>0.04652777777777778</v>
      </c>
      <c r="P193" s="80">
        <v>0.049305555555555554</v>
      </c>
      <c r="Q193" s="67">
        <v>77.0</v>
      </c>
      <c r="R193" s="79">
        <v>0.11319444444444444</v>
      </c>
      <c r="S193" s="80">
        <v>0.11805555555555555</v>
      </c>
      <c r="T193" s="67">
        <v>73.0</v>
      </c>
      <c r="U193" s="79">
        <v>0.1638888888888889</v>
      </c>
      <c r="V193" s="80">
        <v>0.17430555555555555</v>
      </c>
    </row>
    <row r="194" ht="15.75" customHeight="1">
      <c r="A194" s="47">
        <v>723.0</v>
      </c>
      <c r="B194" s="11">
        <v>162.0</v>
      </c>
      <c r="C194" s="12">
        <v>0.2743055555555556</v>
      </c>
      <c r="D194" s="13">
        <v>0.275</v>
      </c>
      <c r="E194" s="64">
        <v>146.0</v>
      </c>
      <c r="F194" s="65">
        <v>0.3368055555555556</v>
      </c>
      <c r="G194" s="66">
        <v>0.3368055555555556</v>
      </c>
      <c r="H194" s="11">
        <v>137.0</v>
      </c>
      <c r="I194" s="12">
        <v>0.4083333333333333</v>
      </c>
      <c r="J194" s="13">
        <v>0.4215277777777778</v>
      </c>
      <c r="K194" s="67">
        <v>135.0</v>
      </c>
      <c r="L194" s="12">
        <v>0.5055555555555555</v>
      </c>
      <c r="M194" s="13">
        <v>0.5097222222222222</v>
      </c>
      <c r="N194" s="67">
        <v>133.0</v>
      </c>
      <c r="O194" s="79">
        <v>0.08055555555555556</v>
      </c>
      <c r="P194" s="80">
        <v>0.08611111111111111</v>
      </c>
      <c r="Q194" s="67">
        <v>139.0</v>
      </c>
      <c r="R194" s="79">
        <v>0.16527777777777777</v>
      </c>
      <c r="S194" s="80">
        <v>0.1701388888888889</v>
      </c>
      <c r="T194" s="67">
        <v>142.0</v>
      </c>
      <c r="U194" s="79">
        <v>0.22430555555555556</v>
      </c>
      <c r="V194" s="80">
        <v>0.2361111111111111</v>
      </c>
    </row>
    <row r="195" ht="15.75" customHeight="1">
      <c r="A195" s="47">
        <v>726.0</v>
      </c>
      <c r="B195" s="11">
        <v>168.0</v>
      </c>
      <c r="C195" s="12">
        <v>0.2743055555555556</v>
      </c>
      <c r="D195" s="13">
        <v>0.275</v>
      </c>
      <c r="E195" s="64">
        <v>162.0</v>
      </c>
      <c r="F195" s="65">
        <v>0.3388888888888889</v>
      </c>
      <c r="G195" s="66">
        <v>0.3388888888888889</v>
      </c>
      <c r="H195" s="11">
        <v>158.0</v>
      </c>
      <c r="I195" s="12">
        <v>0.41458333333333336</v>
      </c>
      <c r="J195" s="13">
        <v>0.4236111111111111</v>
      </c>
      <c r="K195" s="67">
        <v>158.0</v>
      </c>
      <c r="L195" s="12">
        <v>0.5208333333333334</v>
      </c>
      <c r="M195" s="13">
        <v>0.525</v>
      </c>
      <c r="N195" s="67">
        <v>168.0</v>
      </c>
      <c r="O195" s="79">
        <v>0.10833333333333334</v>
      </c>
      <c r="P195" s="80">
        <v>0.12152777777777778</v>
      </c>
      <c r="Q195" s="67">
        <v>172.0</v>
      </c>
      <c r="R195" s="79">
        <v>0.2</v>
      </c>
      <c r="S195" s="80">
        <v>0.2076388888888889</v>
      </c>
      <c r="T195" s="67">
        <v>179.0</v>
      </c>
      <c r="U195" s="79">
        <v>0.27569444444444446</v>
      </c>
      <c r="V195" s="72" t="s">
        <v>178</v>
      </c>
    </row>
    <row r="196" ht="15.75" customHeight="1">
      <c r="A196" s="47">
        <v>727.0</v>
      </c>
      <c r="B196" s="11">
        <v>77.0</v>
      </c>
      <c r="C196" s="12">
        <v>0.2659722222222222</v>
      </c>
      <c r="D196" s="13">
        <v>0.26666666666666666</v>
      </c>
      <c r="E196" s="64">
        <v>78.0</v>
      </c>
      <c r="F196" s="65">
        <v>0.32083333333333336</v>
      </c>
      <c r="G196" s="66">
        <v>0.32083333333333336</v>
      </c>
      <c r="H196" s="11">
        <v>83.0</v>
      </c>
      <c r="I196" s="12">
        <v>0.38819444444444445</v>
      </c>
      <c r="J196" s="13">
        <v>0.39652777777777776</v>
      </c>
      <c r="K196" s="67">
        <v>82.0</v>
      </c>
      <c r="L196" s="12">
        <v>0.47847222222222224</v>
      </c>
      <c r="M196" s="13">
        <v>0.48055555555555557</v>
      </c>
      <c r="N196" s="67">
        <v>75.0</v>
      </c>
      <c r="O196" s="79">
        <v>0.04513888888888889</v>
      </c>
      <c r="P196" s="80">
        <v>0.05416666666666667</v>
      </c>
      <c r="Q196" s="67">
        <v>79.0</v>
      </c>
      <c r="R196" s="79">
        <v>0.11666666666666667</v>
      </c>
      <c r="S196" s="80">
        <v>0.11944444444444445</v>
      </c>
      <c r="T196" s="67">
        <v>76.0</v>
      </c>
      <c r="U196" s="79">
        <v>0.1673611111111111</v>
      </c>
      <c r="V196" s="80">
        <v>0.17222222222222222</v>
      </c>
    </row>
    <row r="197" ht="15.75" customHeight="1">
      <c r="A197" s="47">
        <v>728.0</v>
      </c>
      <c r="B197" s="11">
        <v>60.0</v>
      </c>
      <c r="C197" s="12">
        <v>0.26319444444444445</v>
      </c>
      <c r="D197" s="13">
        <v>0.2638888888888889</v>
      </c>
      <c r="E197" s="64">
        <v>79.0</v>
      </c>
      <c r="F197" s="65">
        <v>0.32083333333333336</v>
      </c>
      <c r="G197" s="66">
        <v>0.32083333333333336</v>
      </c>
      <c r="H197" s="11">
        <v>34.0</v>
      </c>
      <c r="I197" s="12">
        <v>0.37083333333333335</v>
      </c>
      <c r="J197" s="13">
        <v>0.3736111111111111</v>
      </c>
      <c r="K197" s="67">
        <v>37.0</v>
      </c>
      <c r="L197" s="12">
        <v>0.44722222222222224</v>
      </c>
      <c r="M197" s="13">
        <v>0.4486111111111111</v>
      </c>
      <c r="N197" s="67">
        <v>37.0</v>
      </c>
      <c r="O197" s="79">
        <v>0.5083333333333333</v>
      </c>
      <c r="P197" s="80">
        <v>0.5104166666666666</v>
      </c>
      <c r="Q197" s="67">
        <v>33.0</v>
      </c>
      <c r="R197" s="79">
        <v>0.06597222222222222</v>
      </c>
      <c r="S197" s="80">
        <v>0.06666666666666667</v>
      </c>
      <c r="T197" s="67">
        <v>30.0</v>
      </c>
      <c r="U197" s="79">
        <v>0.10555555555555556</v>
      </c>
      <c r="V197" s="80">
        <v>0.11041666666666666</v>
      </c>
    </row>
    <row r="198" ht="15.75" customHeight="1">
      <c r="A198" s="47">
        <v>729.0</v>
      </c>
      <c r="B198" s="11">
        <v>67.0</v>
      </c>
      <c r="C198" s="12">
        <v>0.2638888888888889</v>
      </c>
      <c r="D198" s="13">
        <v>0.26458333333333334</v>
      </c>
      <c r="E198" s="64">
        <v>72.0</v>
      </c>
      <c r="F198" s="65">
        <v>0.32083333333333336</v>
      </c>
      <c r="G198" s="66">
        <v>0.32083333333333336</v>
      </c>
      <c r="H198" s="11">
        <v>63.0</v>
      </c>
      <c r="I198" s="12">
        <v>0.3840277777777778</v>
      </c>
      <c r="J198" s="13">
        <v>0.3861111111111111</v>
      </c>
      <c r="K198" s="67">
        <v>62.0</v>
      </c>
      <c r="L198" s="12">
        <v>0.4652777777777778</v>
      </c>
      <c r="M198" s="13">
        <v>0.4666666666666667</v>
      </c>
      <c r="N198" s="67">
        <v>59.0</v>
      </c>
      <c r="O198" s="79">
        <v>0.5291666666666667</v>
      </c>
      <c r="P198" s="80">
        <v>0.5305555555555556</v>
      </c>
      <c r="Q198" s="67">
        <v>53.0</v>
      </c>
      <c r="R198" s="79">
        <v>0.08819444444444445</v>
      </c>
      <c r="S198" s="80">
        <v>0.08958333333333333</v>
      </c>
      <c r="T198" s="67">
        <v>48.0</v>
      </c>
      <c r="U198" s="79">
        <v>0.12916666666666668</v>
      </c>
      <c r="V198" s="80">
        <v>0.13125</v>
      </c>
    </row>
    <row r="199" ht="15.75" customHeight="1">
      <c r="A199" s="47">
        <v>729.0</v>
      </c>
      <c r="B199" s="11"/>
      <c r="C199" s="12"/>
      <c r="D199" s="13"/>
      <c r="E199" s="64"/>
      <c r="F199" s="65"/>
      <c r="G199" s="66"/>
      <c r="H199" s="11"/>
      <c r="I199" s="12"/>
      <c r="J199" s="13"/>
      <c r="K199" s="67"/>
      <c r="L199" s="12"/>
      <c r="M199" s="13"/>
      <c r="N199" s="67">
        <v>137.0</v>
      </c>
      <c r="O199" s="79">
        <v>0.08125</v>
      </c>
      <c r="P199" s="82"/>
      <c r="S199" s="72"/>
      <c r="V199" s="72"/>
    </row>
    <row r="200" ht="15.75" customHeight="1">
      <c r="A200" s="47">
        <v>730.0</v>
      </c>
      <c r="B200" s="11">
        <v>59.0</v>
      </c>
      <c r="C200" s="12">
        <v>0.26319444444444445</v>
      </c>
      <c r="D200" s="13">
        <v>0.2638888888888889</v>
      </c>
      <c r="E200" s="64">
        <v>67.0</v>
      </c>
      <c r="F200" s="65">
        <v>0.31875</v>
      </c>
      <c r="G200" s="66">
        <v>0.31875</v>
      </c>
      <c r="H200" s="11">
        <v>70.0</v>
      </c>
      <c r="I200" s="12">
        <v>0.3861111111111111</v>
      </c>
      <c r="J200" s="13">
        <v>0.3902777777777778</v>
      </c>
      <c r="K200" s="67">
        <v>74.0</v>
      </c>
      <c r="L200" s="12">
        <v>0.47430555555555554</v>
      </c>
      <c r="M200" s="13">
        <v>0.4777777777777778</v>
      </c>
      <c r="N200" s="67">
        <v>84.0</v>
      </c>
      <c r="O200" s="79">
        <v>0.052083333333333336</v>
      </c>
      <c r="P200" s="80">
        <v>0.05486111111111111</v>
      </c>
      <c r="Q200" s="67">
        <v>91.0</v>
      </c>
      <c r="R200" s="79">
        <v>0.12777777777777777</v>
      </c>
      <c r="S200" s="80">
        <v>0.1284722222222222</v>
      </c>
      <c r="T200" s="67">
        <v>100.0</v>
      </c>
      <c r="U200" s="79">
        <v>0.1909722222222222</v>
      </c>
      <c r="V200" s="80">
        <v>0.2076388888888889</v>
      </c>
    </row>
    <row r="201" ht="15.75" customHeight="1">
      <c r="A201" s="47">
        <v>731.0</v>
      </c>
      <c r="B201" s="11">
        <v>24.0</v>
      </c>
      <c r="C201" s="12">
        <v>0.2590277777777778</v>
      </c>
      <c r="D201" s="13">
        <v>0.25972222222222224</v>
      </c>
      <c r="E201" s="64">
        <v>30.0</v>
      </c>
      <c r="F201" s="65">
        <v>0.30694444444444446</v>
      </c>
      <c r="G201" s="66">
        <v>0.30694444444444446</v>
      </c>
      <c r="H201" s="11">
        <v>30.0</v>
      </c>
      <c r="I201" s="12">
        <v>0.36736111111111114</v>
      </c>
      <c r="J201" s="13">
        <v>0.36875</v>
      </c>
      <c r="K201" s="67">
        <v>25.0</v>
      </c>
      <c r="L201" s="12">
        <v>0.44166666666666665</v>
      </c>
      <c r="M201" s="13">
        <v>0.4423611111111111</v>
      </c>
      <c r="N201" s="67">
        <v>25.0</v>
      </c>
      <c r="O201" s="79">
        <v>0.5</v>
      </c>
      <c r="P201" s="80">
        <v>0.5013888888888889</v>
      </c>
      <c r="Q201" s="67">
        <v>22.0</v>
      </c>
      <c r="R201" s="79">
        <v>0.05555555555555555</v>
      </c>
      <c r="S201" s="80">
        <v>0.05625</v>
      </c>
      <c r="T201" s="67">
        <v>20.0</v>
      </c>
      <c r="U201" s="79">
        <v>0.09305555555555556</v>
      </c>
      <c r="V201" s="80">
        <v>0.09444444444444444</v>
      </c>
    </row>
    <row r="202" ht="15.75" customHeight="1">
      <c r="A202" s="47">
        <v>732.0</v>
      </c>
      <c r="B202" s="11">
        <v>153.0</v>
      </c>
      <c r="C202" s="12">
        <v>0.2743055555555556</v>
      </c>
      <c r="D202" s="13">
        <v>0.275</v>
      </c>
      <c r="E202" s="64">
        <v>119.0</v>
      </c>
      <c r="F202" s="65">
        <v>0.3298611111111111</v>
      </c>
      <c r="G202" s="66">
        <v>0.3298611111111111</v>
      </c>
      <c r="H202" s="11">
        <v>109.0</v>
      </c>
      <c r="I202" s="12">
        <v>0.4</v>
      </c>
      <c r="J202" s="13">
        <v>0.4076388888888889</v>
      </c>
      <c r="K202" s="67">
        <v>103.0</v>
      </c>
      <c r="L202" s="12">
        <v>0.49166666666666664</v>
      </c>
      <c r="M202" s="13">
        <v>0.4979166666666667</v>
      </c>
      <c r="N202" s="67">
        <v>101.0</v>
      </c>
      <c r="O202" s="79">
        <v>0.06458333333333334</v>
      </c>
      <c r="P202" s="80">
        <v>0.07013888888888889</v>
      </c>
      <c r="Q202" s="67">
        <v>98.0</v>
      </c>
      <c r="R202" s="79">
        <v>0.13402777777777777</v>
      </c>
      <c r="S202" s="80">
        <v>0.1361111111111111</v>
      </c>
      <c r="T202" s="67">
        <v>99.0</v>
      </c>
      <c r="U202" s="79">
        <v>0.1909722222222222</v>
      </c>
      <c r="V202" s="80">
        <v>0.2048611111111111</v>
      </c>
    </row>
    <row r="203" ht="15.75" customHeight="1">
      <c r="A203" s="47">
        <v>733.0</v>
      </c>
      <c r="B203" s="11">
        <v>110.0</v>
      </c>
      <c r="C203" s="12">
        <v>0.26944444444444443</v>
      </c>
      <c r="D203" s="13">
        <v>0.2701388888888889</v>
      </c>
      <c r="E203" s="64">
        <v>127.0</v>
      </c>
      <c r="F203" s="65">
        <v>0.33194444444444443</v>
      </c>
      <c r="G203" s="66">
        <v>0.33194444444444443</v>
      </c>
      <c r="H203" s="11">
        <v>141.0</v>
      </c>
      <c r="I203" s="12">
        <v>0.4097222222222222</v>
      </c>
      <c r="J203" s="13">
        <v>0.425</v>
      </c>
      <c r="K203" s="67">
        <v>152.0</v>
      </c>
      <c r="L203" s="12">
        <v>0.5152777777777777</v>
      </c>
      <c r="M203" s="13">
        <v>0.5222222222222223</v>
      </c>
      <c r="N203" s="67">
        <v>155.0</v>
      </c>
      <c r="O203" s="79">
        <v>0.09722222222222222</v>
      </c>
      <c r="P203" s="80">
        <v>0.11041666666666666</v>
      </c>
      <c r="Q203" s="67">
        <v>158.0</v>
      </c>
      <c r="R203" s="79">
        <v>0.18541666666666667</v>
      </c>
      <c r="S203" s="80">
        <v>0.18888888888888888</v>
      </c>
      <c r="T203" s="67">
        <v>159.0</v>
      </c>
      <c r="U203" s="79">
        <v>0.2465277777777778</v>
      </c>
      <c r="V203" s="80">
        <v>0.2638888888888889</v>
      </c>
    </row>
    <row r="204" ht="15.75" customHeight="1">
      <c r="A204" s="47">
        <v>734.0</v>
      </c>
      <c r="B204" s="11">
        <v>89.0</v>
      </c>
      <c r="C204" s="12">
        <v>0.2673611111111111</v>
      </c>
      <c r="D204" s="13">
        <v>0.26805555555555555</v>
      </c>
      <c r="E204" s="64">
        <v>68.0</v>
      </c>
      <c r="F204" s="65">
        <v>0.3194444444444444</v>
      </c>
      <c r="G204" s="66">
        <v>0.3194444444444444</v>
      </c>
      <c r="H204" s="11">
        <v>65.0</v>
      </c>
      <c r="I204" s="12">
        <v>0.38472222222222224</v>
      </c>
      <c r="J204" s="13">
        <v>0.38819444444444445</v>
      </c>
      <c r="K204" s="67">
        <v>66.0</v>
      </c>
      <c r="L204" s="12">
        <v>0.4708333333333333</v>
      </c>
      <c r="M204" s="13">
        <v>0.4736111111111111</v>
      </c>
      <c r="N204" s="67">
        <v>68.0</v>
      </c>
      <c r="O204" s="79">
        <v>0.5409722222222222</v>
      </c>
      <c r="P204" s="80">
        <v>0.04513888888888889</v>
      </c>
      <c r="Q204" s="67">
        <v>69.0</v>
      </c>
      <c r="R204" s="79">
        <v>0.1076388888888889</v>
      </c>
      <c r="S204" s="80">
        <v>0.11666666666666667</v>
      </c>
      <c r="T204" s="67">
        <v>67.0</v>
      </c>
      <c r="U204" s="79">
        <v>0.15694444444444444</v>
      </c>
      <c r="V204" s="80">
        <v>0.16666666666666666</v>
      </c>
    </row>
    <row r="205" ht="15.75" customHeight="1">
      <c r="A205" s="47">
        <v>736.0</v>
      </c>
      <c r="B205" s="11">
        <v>5.0</v>
      </c>
      <c r="C205" s="12">
        <v>0.2513888888888889</v>
      </c>
      <c r="D205" s="13">
        <v>0.2520833333333333</v>
      </c>
      <c r="E205" s="64">
        <v>3.0</v>
      </c>
      <c r="F205" s="65">
        <v>0.2923611111111111</v>
      </c>
      <c r="G205" s="66">
        <v>0.2923611111111111</v>
      </c>
      <c r="H205" s="11">
        <v>1.0</v>
      </c>
      <c r="I205" s="12">
        <v>0.33958333333333335</v>
      </c>
      <c r="J205" s="13">
        <v>0.34375</v>
      </c>
      <c r="K205" s="67">
        <v>3.0</v>
      </c>
      <c r="L205" s="12">
        <v>0.40555555555555556</v>
      </c>
      <c r="M205" s="13">
        <v>0.40694444444444444</v>
      </c>
      <c r="N205" s="67">
        <v>3.0</v>
      </c>
      <c r="O205" s="79">
        <v>0.46319444444444446</v>
      </c>
      <c r="P205" s="80">
        <v>0.46319444444444446</v>
      </c>
      <c r="Q205" s="67">
        <v>6.0</v>
      </c>
      <c r="R205" s="79">
        <v>0.5194444444444445</v>
      </c>
      <c r="S205" s="80">
        <v>0.5201388888888889</v>
      </c>
      <c r="T205" s="67">
        <v>4.0</v>
      </c>
      <c r="U205" s="79">
        <v>0.05</v>
      </c>
      <c r="V205" s="80">
        <v>0.05277777777777778</v>
      </c>
    </row>
    <row r="206" ht="15.75" customHeight="1">
      <c r="A206" s="47">
        <v>737.0</v>
      </c>
      <c r="B206" s="11">
        <v>154.0</v>
      </c>
      <c r="C206" s="12">
        <v>0.2743055555555556</v>
      </c>
      <c r="D206" s="13">
        <v>0.275</v>
      </c>
      <c r="E206" s="64">
        <v>156.0</v>
      </c>
      <c r="F206" s="65">
        <v>0.33819444444444446</v>
      </c>
      <c r="G206" s="66">
        <v>0.33819444444444446</v>
      </c>
      <c r="H206" s="11">
        <v>139.0</v>
      </c>
      <c r="I206" s="12">
        <v>0.4097222222222222</v>
      </c>
      <c r="J206" s="13">
        <v>0.4125</v>
      </c>
      <c r="K206" s="67">
        <v>133.0</v>
      </c>
      <c r="L206" s="12">
        <v>0.5048611111111111</v>
      </c>
      <c r="M206" s="13">
        <v>0.50625</v>
      </c>
      <c r="N206" s="67">
        <v>134.0</v>
      </c>
      <c r="O206" s="79">
        <v>0.08125</v>
      </c>
      <c r="P206" s="80">
        <v>0.08611111111111111</v>
      </c>
      <c r="Q206" s="67">
        <v>131.0</v>
      </c>
      <c r="R206" s="79">
        <v>0.15694444444444444</v>
      </c>
      <c r="S206" s="80">
        <v>0.1597222222222222</v>
      </c>
      <c r="T206" s="67">
        <v>123.0</v>
      </c>
      <c r="U206" s="79">
        <v>0.21041666666666667</v>
      </c>
      <c r="V206" s="80">
        <v>0.21875</v>
      </c>
    </row>
    <row r="207" ht="15.75" customHeight="1">
      <c r="A207" s="47">
        <v>738.0</v>
      </c>
      <c r="B207" s="11">
        <v>140.0</v>
      </c>
      <c r="C207" s="12">
        <v>0.27152777777777776</v>
      </c>
      <c r="D207" s="13">
        <v>0.2722222222222222</v>
      </c>
      <c r="E207" s="64">
        <v>137.0</v>
      </c>
      <c r="F207" s="65">
        <v>0.33402777777777776</v>
      </c>
      <c r="G207" s="66">
        <v>0.33402777777777776</v>
      </c>
      <c r="H207" s="11">
        <v>175.0</v>
      </c>
      <c r="I207" s="12">
        <v>0.42430555555555555</v>
      </c>
      <c r="J207" s="13">
        <v>0.4284722222222222</v>
      </c>
      <c r="K207" s="67">
        <v>181.0</v>
      </c>
      <c r="L207" s="12">
        <v>0.5388888888888889</v>
      </c>
      <c r="M207" s="13">
        <v>0.04236111111111111</v>
      </c>
      <c r="N207" s="67">
        <v>181.0</v>
      </c>
      <c r="O207" s="79">
        <v>0.12291666666666666</v>
      </c>
      <c r="P207" s="80">
        <v>0.12569444444444444</v>
      </c>
      <c r="Q207" s="67">
        <v>178.0</v>
      </c>
      <c r="R207" s="79">
        <v>0.20902777777777778</v>
      </c>
      <c r="S207" s="80">
        <v>0.21180555555555555</v>
      </c>
      <c r="T207" s="67">
        <v>180.0</v>
      </c>
      <c r="U207" s="79">
        <v>0.2777777777777778</v>
      </c>
      <c r="V207" s="80">
        <v>0.28888888888888886</v>
      </c>
    </row>
    <row r="208" ht="15.75" customHeight="1">
      <c r="A208" s="47">
        <v>739.0</v>
      </c>
      <c r="B208" s="11">
        <v>146.0</v>
      </c>
      <c r="C208" s="12">
        <v>0.27152777777777776</v>
      </c>
      <c r="D208" s="13">
        <v>0.2722222222222222</v>
      </c>
      <c r="E208" s="64">
        <v>199.0</v>
      </c>
      <c r="F208" s="65">
        <v>0.3770833333333333</v>
      </c>
      <c r="G208" s="66">
        <v>0.3770833333333333</v>
      </c>
      <c r="H208" s="11">
        <v>131.0</v>
      </c>
      <c r="I208" s="12">
        <v>0.40555555555555556</v>
      </c>
      <c r="J208" s="13">
        <v>0.4097222222222222</v>
      </c>
      <c r="K208" s="67">
        <v>121.0</v>
      </c>
      <c r="L208" s="12">
        <v>0.5013888888888889</v>
      </c>
      <c r="M208" s="13">
        <v>0.5055555555555555</v>
      </c>
      <c r="N208" s="67">
        <v>118.0</v>
      </c>
      <c r="O208" s="79">
        <v>0.07847222222222222</v>
      </c>
      <c r="P208" s="80">
        <v>0.08333333333333333</v>
      </c>
      <c r="Q208" s="67">
        <v>124.0</v>
      </c>
      <c r="R208" s="79">
        <v>0.15625</v>
      </c>
      <c r="S208" s="80">
        <v>0.1597222222222222</v>
      </c>
      <c r="T208" s="67">
        <v>125.0</v>
      </c>
      <c r="U208" s="79">
        <v>0.2111111111111111</v>
      </c>
      <c r="V208" s="79">
        <v>0.21805555555555556</v>
      </c>
    </row>
    <row r="209" ht="15.75" customHeight="1">
      <c r="A209" s="47"/>
      <c r="B209" s="11"/>
      <c r="C209" s="12"/>
      <c r="D209" s="13"/>
      <c r="E209" s="64"/>
      <c r="F209" s="65"/>
      <c r="G209" s="66"/>
      <c r="H209" s="11"/>
      <c r="I209" s="12"/>
      <c r="J209" s="13"/>
    </row>
    <row r="210" ht="15.75" customHeight="1">
      <c r="B210" s="11"/>
      <c r="C210" s="12"/>
      <c r="D210" s="13"/>
      <c r="E210" s="83"/>
      <c r="F210" s="65"/>
      <c r="G210" s="66"/>
      <c r="H210" s="73"/>
      <c r="J210" s="72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</row>
    <row r="223" ht="15.75" customHeight="1"/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5"/>
    <col customWidth="1" min="2" max="2" width="7.25"/>
    <col customWidth="1" min="3" max="3" width="7.75"/>
    <col customWidth="1" min="4" max="5" width="6.88"/>
    <col customWidth="1" min="6" max="7" width="7.75"/>
    <col customWidth="1" min="8" max="8" width="6.88"/>
    <col customWidth="1" min="9" max="9" width="7.75"/>
    <col customWidth="1" min="10" max="11" width="6.88"/>
    <col customWidth="1" min="12" max="12" width="7.75"/>
    <col customWidth="1" min="13" max="14" width="6.88"/>
    <col customWidth="1" min="15" max="15" width="7.75"/>
    <col customWidth="1" min="16" max="17" width="6.88"/>
    <col customWidth="1" min="18" max="18" width="7.75"/>
    <col customWidth="1" min="19" max="20" width="6.88"/>
    <col customWidth="1" min="21" max="21" width="7.75"/>
    <col customWidth="1" min="22" max="23" width="6.88"/>
    <col customWidth="1" min="24" max="24" width="7.75"/>
    <col customWidth="1" min="25" max="26" width="6.88"/>
    <col customWidth="1" min="27" max="27" width="7.75"/>
    <col customWidth="1" min="28" max="29" width="6.88"/>
    <col customWidth="1" min="30" max="31" width="7.75"/>
    <col customWidth="1" min="32" max="32" width="7.88"/>
    <col customWidth="1" min="33" max="33" width="7.75"/>
    <col customWidth="1" min="34" max="34" width="7.5"/>
    <col customWidth="1" min="35" max="35" width="7.63"/>
    <col customWidth="1" min="36" max="36" width="7.75"/>
    <col customWidth="1" min="37" max="37" width="7.5"/>
    <col customWidth="1" min="38" max="38" width="7.63"/>
    <col customWidth="1" min="39" max="39" width="7.75"/>
    <col customWidth="1" min="40" max="40" width="7.5"/>
    <col customWidth="1" min="41" max="41" width="7.63"/>
    <col customWidth="1" min="42" max="42" width="7.75"/>
    <col customWidth="1" min="43" max="43" width="7.88"/>
    <col customWidth="1" min="44" max="44" width="7.63"/>
    <col customWidth="1" min="45" max="45" width="7.75"/>
    <col customWidth="1" min="46" max="47" width="7.63"/>
    <col customWidth="1" min="48" max="48" width="7.75"/>
    <col customWidth="1" min="49" max="49" width="7.88"/>
    <col customWidth="1" min="50" max="50" width="7.63"/>
    <col customWidth="1" min="51" max="51" width="5.63"/>
    <col customWidth="1" min="52" max="52" width="7.88"/>
  </cols>
  <sheetData>
    <row r="1" ht="15.75" customHeight="1">
      <c r="A1" s="1"/>
      <c r="B1" s="1" t="s">
        <v>1</v>
      </c>
      <c r="C1" s="3" t="s">
        <v>3</v>
      </c>
      <c r="D1" s="1" t="s">
        <v>4</v>
      </c>
      <c r="E1" s="4" t="s">
        <v>5</v>
      </c>
      <c r="F1" s="75" t="s">
        <v>6</v>
      </c>
      <c r="G1" s="76" t="s">
        <v>7</v>
      </c>
      <c r="H1" s="77" t="s">
        <v>8</v>
      </c>
      <c r="I1" s="3" t="s">
        <v>9</v>
      </c>
      <c r="J1" s="1" t="s">
        <v>10</v>
      </c>
      <c r="K1" s="4" t="s">
        <v>11</v>
      </c>
      <c r="L1" s="3" t="s">
        <v>12</v>
      </c>
      <c r="M1" s="1" t="s">
        <v>13</v>
      </c>
      <c r="N1" s="4" t="s">
        <v>14</v>
      </c>
      <c r="O1" s="3" t="s">
        <v>15</v>
      </c>
      <c r="P1" s="1" t="s">
        <v>16</v>
      </c>
      <c r="Q1" s="4" t="s">
        <v>17</v>
      </c>
      <c r="R1" s="3" t="s">
        <v>18</v>
      </c>
      <c r="S1" s="1" t="s">
        <v>19</v>
      </c>
      <c r="T1" s="4" t="s">
        <v>20</v>
      </c>
      <c r="U1" s="3" t="s">
        <v>21</v>
      </c>
      <c r="V1" s="1" t="s">
        <v>22</v>
      </c>
      <c r="W1" s="4" t="s">
        <v>23</v>
      </c>
      <c r="X1" s="3" t="s">
        <v>24</v>
      </c>
      <c r="Y1" s="1" t="s">
        <v>25</v>
      </c>
      <c r="Z1" s="4" t="s">
        <v>26</v>
      </c>
      <c r="AA1" s="3" t="s">
        <v>27</v>
      </c>
      <c r="AB1" s="1" t="s">
        <v>28</v>
      </c>
      <c r="AC1" s="4" t="s">
        <v>29</v>
      </c>
      <c r="AD1" s="3" t="s">
        <v>30</v>
      </c>
      <c r="AE1" s="1" t="s">
        <v>31</v>
      </c>
      <c r="AF1" s="4" t="s">
        <v>32</v>
      </c>
      <c r="AG1" s="3" t="s">
        <v>33</v>
      </c>
      <c r="AH1" s="1" t="s">
        <v>34</v>
      </c>
      <c r="AI1" s="4" t="s">
        <v>35</v>
      </c>
      <c r="AJ1" s="3" t="s">
        <v>36</v>
      </c>
      <c r="AK1" s="1" t="s">
        <v>37</v>
      </c>
      <c r="AL1" s="4" t="s">
        <v>38</v>
      </c>
      <c r="AM1" s="3" t="s">
        <v>39</v>
      </c>
      <c r="AN1" s="1" t="s">
        <v>40</v>
      </c>
      <c r="AO1" s="4" t="s">
        <v>41</v>
      </c>
      <c r="AP1" s="3" t="s">
        <v>42</v>
      </c>
      <c r="AQ1" s="1" t="s">
        <v>43</v>
      </c>
      <c r="AR1" s="4" t="s">
        <v>44</v>
      </c>
      <c r="AS1" s="3" t="s">
        <v>45</v>
      </c>
      <c r="AT1" s="1" t="s">
        <v>46</v>
      </c>
      <c r="AU1" s="4" t="s">
        <v>47</v>
      </c>
      <c r="AV1" s="3" t="s">
        <v>48</v>
      </c>
      <c r="AW1" s="1" t="s">
        <v>49</v>
      </c>
      <c r="AX1" s="4" t="s">
        <v>50</v>
      </c>
      <c r="AY1" s="3" t="s">
        <v>51</v>
      </c>
      <c r="AZ1" s="1" t="s">
        <v>52</v>
      </c>
    </row>
    <row r="2" ht="15.75" customHeight="1">
      <c r="A2" s="7"/>
      <c r="B2" s="47">
        <v>500.0</v>
      </c>
      <c r="C2" s="11">
        <v>189.0</v>
      </c>
      <c r="D2" s="12">
        <v>0.2798611111111111</v>
      </c>
      <c r="E2" s="13">
        <v>0.28055555555555556</v>
      </c>
      <c r="F2" s="64">
        <v>181.0</v>
      </c>
      <c r="G2" s="65">
        <v>0.34444444444444444</v>
      </c>
      <c r="H2" s="66">
        <v>0.34444444444444444</v>
      </c>
      <c r="I2" s="11">
        <v>181.0</v>
      </c>
      <c r="J2" s="12">
        <v>0.4263888888888889</v>
      </c>
      <c r="K2" s="13">
        <v>0.4388888888888889</v>
      </c>
      <c r="L2" s="11"/>
      <c r="M2" s="12"/>
      <c r="N2" s="13"/>
      <c r="O2" s="38"/>
      <c r="P2" s="12"/>
      <c r="Q2" s="13"/>
      <c r="R2" s="11"/>
      <c r="S2" s="18"/>
      <c r="T2" s="38"/>
      <c r="U2" s="11"/>
      <c r="V2" s="18"/>
      <c r="W2" s="38"/>
      <c r="X2" s="11"/>
      <c r="Y2" s="12"/>
      <c r="Z2" s="13"/>
      <c r="AA2" s="11">
        <v>146.0</v>
      </c>
      <c r="AB2" s="12">
        <v>0.9465277777777777</v>
      </c>
      <c r="AC2" s="13">
        <v>0.96875</v>
      </c>
      <c r="AD2" s="11"/>
      <c r="AE2" s="18"/>
      <c r="AF2" s="38"/>
      <c r="AG2" s="11">
        <v>146.0</v>
      </c>
      <c r="AH2" s="12">
        <v>0.19583333333333333</v>
      </c>
      <c r="AI2" s="13">
        <v>0.19652777777777777</v>
      </c>
      <c r="AJ2" s="11"/>
      <c r="AK2" s="12"/>
      <c r="AL2" s="13"/>
      <c r="AM2" s="11"/>
      <c r="AN2" s="12"/>
      <c r="AO2" s="13"/>
      <c r="AP2" s="11"/>
      <c r="AQ2" s="12"/>
      <c r="AR2" s="13"/>
      <c r="AS2" s="11"/>
      <c r="AT2" s="12"/>
      <c r="AU2" s="13"/>
      <c r="AV2" s="11"/>
      <c r="AW2" s="12"/>
      <c r="AX2" s="13"/>
      <c r="AY2" s="11"/>
      <c r="AZ2" s="18"/>
    </row>
    <row r="3" ht="15.75" customHeight="1">
      <c r="A3" s="7"/>
      <c r="B3" s="47">
        <v>501.0</v>
      </c>
      <c r="C3" s="11">
        <v>178.0</v>
      </c>
      <c r="D3" s="12">
        <v>0.2763888888888889</v>
      </c>
      <c r="E3" s="13">
        <v>0.27708333333333335</v>
      </c>
      <c r="F3" s="64">
        <v>180.0</v>
      </c>
      <c r="G3" s="65">
        <v>0.34444444444444444</v>
      </c>
      <c r="H3" s="66">
        <v>0.34444444444444444</v>
      </c>
      <c r="I3" s="11">
        <v>188.0</v>
      </c>
      <c r="J3" s="12">
        <v>0.4305555555555556</v>
      </c>
      <c r="K3" s="13">
        <v>0.4375</v>
      </c>
      <c r="L3" s="11"/>
      <c r="M3" s="12"/>
      <c r="N3" s="13"/>
      <c r="O3" s="38"/>
      <c r="P3" s="12"/>
      <c r="Q3" s="13"/>
      <c r="R3" s="11"/>
      <c r="S3" s="12"/>
      <c r="T3" s="13"/>
      <c r="U3" s="11"/>
      <c r="V3" s="12"/>
      <c r="W3" s="13"/>
      <c r="X3" s="11"/>
      <c r="Y3" s="12"/>
      <c r="Z3" s="13"/>
      <c r="AA3" s="11">
        <v>161.0</v>
      </c>
      <c r="AB3" s="12">
        <v>0.9708333333333333</v>
      </c>
      <c r="AC3" s="13">
        <v>0.9736111111111111</v>
      </c>
      <c r="AD3" s="11"/>
      <c r="AE3" s="12"/>
      <c r="AF3" s="13"/>
      <c r="AG3" s="11">
        <v>141.0</v>
      </c>
      <c r="AH3" s="12">
        <v>0.19305555555555556</v>
      </c>
      <c r="AI3" s="13">
        <v>0.19652777777777777</v>
      </c>
      <c r="AJ3" s="11"/>
      <c r="AK3" s="12"/>
      <c r="AL3" s="13"/>
      <c r="AM3" s="11"/>
      <c r="AN3" s="12"/>
      <c r="AO3" s="13"/>
      <c r="AP3" s="11"/>
      <c r="AQ3" s="12"/>
      <c r="AR3" s="13"/>
      <c r="AS3" s="11"/>
      <c r="AT3" s="12"/>
      <c r="AU3" s="13"/>
      <c r="AV3" s="11"/>
      <c r="AW3" s="12"/>
      <c r="AX3" s="13"/>
      <c r="AY3" s="11"/>
      <c r="AZ3" s="18"/>
    </row>
    <row r="4" ht="15.75" customHeight="1">
      <c r="A4" s="7"/>
      <c r="B4" s="47">
        <v>502.0</v>
      </c>
      <c r="C4" s="11">
        <v>103.0</v>
      </c>
      <c r="D4" s="12">
        <v>0.26875</v>
      </c>
      <c r="E4" s="13">
        <v>0.26944444444444443</v>
      </c>
      <c r="F4" s="64">
        <v>136.0</v>
      </c>
      <c r="G4" s="65">
        <v>0.33402777777777776</v>
      </c>
      <c r="H4" s="66">
        <v>0.33402777777777776</v>
      </c>
      <c r="I4" s="11">
        <v>168.0</v>
      </c>
      <c r="J4" s="12">
        <v>0.4215277777777778</v>
      </c>
      <c r="K4" s="13">
        <v>0.4326388888888889</v>
      </c>
      <c r="L4" s="11"/>
      <c r="M4" s="12"/>
      <c r="N4" s="13"/>
      <c r="O4" s="38"/>
      <c r="P4" s="12"/>
      <c r="Q4" s="13"/>
      <c r="R4" s="11"/>
      <c r="S4" s="18"/>
      <c r="T4" s="38"/>
      <c r="U4" s="11"/>
      <c r="V4" s="18"/>
      <c r="W4" s="38"/>
      <c r="X4" s="11"/>
      <c r="Y4" s="12"/>
      <c r="Z4" s="13"/>
      <c r="AA4" s="11">
        <v>168.0</v>
      </c>
      <c r="AB4" s="12">
        <v>1.00625</v>
      </c>
      <c r="AC4" s="13">
        <v>1.0097222222222222</v>
      </c>
      <c r="AD4" s="11"/>
      <c r="AE4" s="18"/>
      <c r="AF4" s="38"/>
      <c r="AG4" s="11"/>
      <c r="AH4" s="18"/>
      <c r="AI4" s="38"/>
      <c r="AJ4" s="11"/>
      <c r="AK4" s="12"/>
      <c r="AL4" s="13"/>
      <c r="AM4" s="11"/>
      <c r="AN4" s="12"/>
      <c r="AO4" s="13"/>
      <c r="AP4" s="11"/>
      <c r="AQ4" s="12"/>
      <c r="AR4" s="13"/>
      <c r="AS4" s="11"/>
      <c r="AT4" s="12"/>
      <c r="AU4" s="13"/>
      <c r="AV4" s="11"/>
      <c r="AW4" s="12"/>
      <c r="AX4" s="13"/>
      <c r="AY4" s="11"/>
      <c r="AZ4" s="18"/>
    </row>
    <row r="5" ht="15.75" customHeight="1">
      <c r="A5" s="7"/>
      <c r="B5" s="47">
        <v>504.0</v>
      </c>
      <c r="C5" s="11">
        <v>15.0</v>
      </c>
      <c r="D5" s="12">
        <v>0.25555555555555554</v>
      </c>
      <c r="E5" s="13">
        <v>0.25555555555555554</v>
      </c>
      <c r="F5" s="64">
        <v>18.0</v>
      </c>
      <c r="G5" s="65">
        <v>0.30486111111111114</v>
      </c>
      <c r="H5" s="66">
        <v>0.30486111111111114</v>
      </c>
      <c r="I5" s="11">
        <v>42.0</v>
      </c>
      <c r="J5" s="12">
        <v>0.3729166666666667</v>
      </c>
      <c r="K5" s="13">
        <v>0.3784722222222222</v>
      </c>
      <c r="L5" s="11"/>
      <c r="M5" s="12"/>
      <c r="N5" s="13"/>
      <c r="O5" s="38"/>
      <c r="P5" s="12"/>
      <c r="Q5" s="13"/>
      <c r="R5" s="11"/>
      <c r="S5" s="12"/>
      <c r="T5" s="13"/>
      <c r="U5" s="11"/>
      <c r="V5" s="18"/>
      <c r="W5" s="38"/>
      <c r="X5" s="11"/>
      <c r="Y5" s="12"/>
      <c r="Z5" s="13"/>
      <c r="AA5" s="11">
        <v>99.0</v>
      </c>
      <c r="AB5" s="12">
        <v>0.8840277777777777</v>
      </c>
      <c r="AC5" s="13">
        <v>0.8909722222222223</v>
      </c>
      <c r="AD5" s="11"/>
      <c r="AE5" s="18"/>
      <c r="AF5" s="38"/>
      <c r="AG5" s="11">
        <v>122.0</v>
      </c>
      <c r="AH5" s="12">
        <v>0.1361111111111111</v>
      </c>
      <c r="AI5" s="13">
        <v>0.14791666666666667</v>
      </c>
      <c r="AJ5" s="11"/>
      <c r="AK5" s="12"/>
      <c r="AL5" s="13"/>
      <c r="AM5" s="11"/>
      <c r="AN5" s="12"/>
      <c r="AO5" s="13"/>
      <c r="AP5" s="11"/>
      <c r="AQ5" s="12"/>
      <c r="AR5" s="13"/>
      <c r="AS5" s="11"/>
      <c r="AT5" s="12"/>
      <c r="AU5" s="13"/>
      <c r="AV5" s="11"/>
      <c r="AW5" s="12"/>
      <c r="AX5" s="13"/>
      <c r="AY5" s="11"/>
      <c r="AZ5" s="18"/>
    </row>
    <row r="6" ht="15.75" customHeight="1">
      <c r="A6" s="7"/>
      <c r="B6" s="47">
        <v>506.0</v>
      </c>
      <c r="C6" s="11">
        <v>88.0</v>
      </c>
      <c r="D6" s="12">
        <v>0.2673611111111111</v>
      </c>
      <c r="E6" s="13">
        <v>0.26805555555555555</v>
      </c>
      <c r="F6" s="64">
        <v>93.0</v>
      </c>
      <c r="G6" s="65">
        <v>0.32430555555555557</v>
      </c>
      <c r="H6" s="66">
        <v>0.32430555555555557</v>
      </c>
      <c r="I6" s="11">
        <v>133.0</v>
      </c>
      <c r="J6" s="12">
        <v>0.4076388888888889</v>
      </c>
      <c r="K6" s="13">
        <v>0.41180555555555554</v>
      </c>
      <c r="L6" s="11"/>
      <c r="M6" s="12"/>
      <c r="N6" s="13"/>
      <c r="O6" s="38"/>
      <c r="P6" s="12"/>
      <c r="Q6" s="13"/>
      <c r="R6" s="11"/>
      <c r="S6" s="18"/>
      <c r="T6" s="38"/>
      <c r="U6" s="11"/>
      <c r="V6" s="18"/>
      <c r="W6" s="38"/>
      <c r="X6" s="11"/>
      <c r="Y6" s="12"/>
      <c r="Z6" s="13"/>
      <c r="AA6" s="11"/>
      <c r="AB6" s="12"/>
      <c r="AC6" s="38"/>
      <c r="AD6" s="11"/>
      <c r="AE6" s="18"/>
      <c r="AF6" s="38"/>
      <c r="AG6" s="11"/>
      <c r="AH6" s="18"/>
      <c r="AI6" s="38"/>
      <c r="AJ6" s="11"/>
      <c r="AK6" s="18"/>
      <c r="AL6" s="38"/>
      <c r="AM6" s="11"/>
      <c r="AN6" s="18"/>
      <c r="AO6" s="38"/>
      <c r="AP6" s="11"/>
      <c r="AQ6" s="18"/>
      <c r="AR6" s="38"/>
      <c r="AS6" s="11"/>
      <c r="AT6" s="18"/>
      <c r="AU6" s="38"/>
      <c r="AV6" s="11"/>
      <c r="AW6" s="18"/>
      <c r="AX6" s="38"/>
      <c r="AY6" s="11"/>
      <c r="AZ6" s="18"/>
    </row>
    <row r="7" ht="15.75" customHeight="1">
      <c r="A7" s="7"/>
      <c r="B7" s="47">
        <v>507.0</v>
      </c>
      <c r="C7" s="11">
        <v>44.0</v>
      </c>
      <c r="D7" s="12">
        <v>0.2611111111111111</v>
      </c>
      <c r="E7" s="13">
        <v>0.26180555555555557</v>
      </c>
      <c r="F7" s="64">
        <v>33.0</v>
      </c>
      <c r="G7" s="65">
        <v>0.3111111111111111</v>
      </c>
      <c r="H7" s="66">
        <v>0.3111111111111111</v>
      </c>
      <c r="I7" s="11">
        <v>41.0</v>
      </c>
      <c r="J7" s="12">
        <v>0.3715277777777778</v>
      </c>
      <c r="K7" s="13">
        <v>0.3784722222222222</v>
      </c>
      <c r="L7" s="11"/>
      <c r="M7" s="12"/>
      <c r="N7" s="13"/>
      <c r="O7" s="38"/>
      <c r="P7" s="12"/>
      <c r="Q7" s="13"/>
      <c r="R7" s="11"/>
      <c r="S7" s="18"/>
      <c r="T7" s="38"/>
      <c r="U7" s="11"/>
      <c r="V7" s="18"/>
      <c r="W7" s="38"/>
      <c r="X7" s="11"/>
      <c r="Y7" s="12"/>
      <c r="Z7" s="13"/>
      <c r="AA7" s="11">
        <v>46.0</v>
      </c>
      <c r="AB7" s="12">
        <v>0.79375</v>
      </c>
      <c r="AC7" s="13">
        <v>0.8</v>
      </c>
      <c r="AD7" s="11"/>
      <c r="AE7" s="12"/>
      <c r="AF7" s="38"/>
      <c r="AG7" s="11">
        <v>41.0</v>
      </c>
      <c r="AH7" s="12">
        <v>0.9708333333333333</v>
      </c>
      <c r="AI7" s="13">
        <v>0.9777777777777777</v>
      </c>
      <c r="AJ7" s="11"/>
      <c r="AK7" s="12"/>
      <c r="AL7" s="38"/>
      <c r="AM7" s="11"/>
      <c r="AN7" s="12"/>
      <c r="AO7" s="38"/>
      <c r="AP7" s="11"/>
      <c r="AQ7" s="12"/>
      <c r="AR7" s="38"/>
      <c r="AS7" s="11"/>
      <c r="AT7" s="12"/>
      <c r="AU7" s="38"/>
      <c r="AV7" s="11"/>
      <c r="AW7" s="12"/>
      <c r="AX7" s="38"/>
      <c r="AY7" s="11"/>
      <c r="AZ7" s="18"/>
    </row>
    <row r="8" ht="15.75" customHeight="1">
      <c r="A8" s="7"/>
      <c r="B8" s="47">
        <v>508.0</v>
      </c>
      <c r="C8" s="11">
        <v>187.0</v>
      </c>
      <c r="D8" s="12">
        <v>0.2798611111111111</v>
      </c>
      <c r="E8" s="13">
        <v>0.28055555555555556</v>
      </c>
      <c r="F8" s="64">
        <v>196.0</v>
      </c>
      <c r="G8" s="65">
        <v>0.35555555555555557</v>
      </c>
      <c r="H8" s="66">
        <v>0.35555555555555557</v>
      </c>
      <c r="I8" s="11">
        <v>197.0</v>
      </c>
      <c r="J8" s="12">
        <v>0.4465277777777778</v>
      </c>
      <c r="K8" s="13">
        <v>0.4534722222222222</v>
      </c>
      <c r="L8" s="11"/>
      <c r="M8" s="12"/>
      <c r="N8" s="13"/>
      <c r="O8" s="38"/>
      <c r="P8" s="12"/>
      <c r="Q8" s="13"/>
      <c r="R8" s="11"/>
      <c r="S8" s="18"/>
      <c r="T8" s="38"/>
      <c r="U8" s="11"/>
      <c r="V8" s="18"/>
      <c r="W8" s="38"/>
      <c r="X8" s="11"/>
      <c r="Y8" s="12"/>
      <c r="Z8" s="13"/>
      <c r="AA8" s="11"/>
      <c r="AB8" s="18"/>
      <c r="AC8" s="13"/>
      <c r="AD8" s="11"/>
      <c r="AE8" s="18"/>
      <c r="AF8" s="38"/>
      <c r="AG8" s="11"/>
      <c r="AH8" s="18"/>
      <c r="AI8" s="38"/>
      <c r="AJ8" s="11"/>
      <c r="AK8" s="18"/>
      <c r="AL8" s="38"/>
      <c r="AM8" s="11"/>
      <c r="AN8" s="18"/>
      <c r="AO8" s="38"/>
      <c r="AP8" s="11"/>
      <c r="AQ8" s="18"/>
      <c r="AR8" s="38"/>
      <c r="AS8" s="11"/>
      <c r="AT8" s="18"/>
      <c r="AU8" s="38"/>
      <c r="AV8" s="11"/>
      <c r="AW8" s="18"/>
      <c r="AX8" s="38"/>
      <c r="AY8" s="11"/>
      <c r="AZ8" s="12"/>
    </row>
    <row r="9" ht="15.75" customHeight="1">
      <c r="A9" s="7"/>
      <c r="B9" s="47">
        <v>509.0</v>
      </c>
      <c r="C9" s="11">
        <v>69.0</v>
      </c>
      <c r="D9" s="12">
        <v>0.2638888888888889</v>
      </c>
      <c r="E9" s="13">
        <v>0.26458333333333334</v>
      </c>
      <c r="F9" s="64">
        <v>56.0</v>
      </c>
      <c r="G9" s="65">
        <v>0.3145833333333333</v>
      </c>
      <c r="H9" s="66">
        <v>0.3145833333333333</v>
      </c>
      <c r="I9" s="11">
        <v>52.0</v>
      </c>
      <c r="J9" s="12">
        <v>0.3763888888888889</v>
      </c>
      <c r="K9" s="13">
        <v>0.3798611111111111</v>
      </c>
      <c r="L9" s="11"/>
      <c r="M9" s="12"/>
      <c r="N9" s="13"/>
      <c r="O9" s="38"/>
      <c r="P9" s="12"/>
      <c r="Q9" s="13"/>
      <c r="R9" s="11"/>
      <c r="S9" s="18"/>
      <c r="T9" s="38"/>
      <c r="U9" s="11"/>
      <c r="V9" s="18"/>
      <c r="W9" s="38"/>
      <c r="X9" s="11"/>
      <c r="Y9" s="12"/>
      <c r="Z9" s="13"/>
      <c r="AA9" s="11">
        <v>79.0</v>
      </c>
      <c r="AB9" s="12">
        <v>0.8534722222222222</v>
      </c>
      <c r="AC9" s="13">
        <v>0.8548611111111111</v>
      </c>
      <c r="AD9" s="11"/>
      <c r="AE9" s="12"/>
      <c r="AF9" s="38"/>
      <c r="AG9" s="11">
        <v>87.0</v>
      </c>
      <c r="AH9" s="12">
        <v>0.06944444444444445</v>
      </c>
      <c r="AI9" s="13">
        <v>0.07152777777777777</v>
      </c>
      <c r="AJ9" s="11"/>
      <c r="AK9" s="12"/>
      <c r="AL9" s="38"/>
      <c r="AM9" s="11"/>
      <c r="AN9" s="12"/>
      <c r="AO9" s="38"/>
      <c r="AP9" s="11"/>
      <c r="AQ9" s="12"/>
      <c r="AR9" s="38"/>
      <c r="AS9" s="11"/>
      <c r="AT9" s="12"/>
      <c r="AU9" s="38"/>
      <c r="AV9" s="11"/>
      <c r="AW9" s="12"/>
      <c r="AX9" s="38"/>
      <c r="AY9" s="11"/>
      <c r="AZ9" s="18"/>
    </row>
    <row r="10" ht="15.75" customHeight="1">
      <c r="A10" s="7"/>
      <c r="B10" s="47">
        <v>510.0</v>
      </c>
      <c r="C10" s="11">
        <v>177.0</v>
      </c>
      <c r="D10" s="12">
        <v>0.275</v>
      </c>
      <c r="E10" s="13">
        <v>0.27569444444444446</v>
      </c>
      <c r="F10" s="64">
        <v>168.0</v>
      </c>
      <c r="G10" s="65">
        <v>0.3388888888888889</v>
      </c>
      <c r="H10" s="66">
        <v>0.3388888888888889</v>
      </c>
      <c r="I10" s="11">
        <v>163.0</v>
      </c>
      <c r="J10" s="12">
        <v>0.4173611111111111</v>
      </c>
      <c r="K10" s="13">
        <v>0.42291666666666666</v>
      </c>
      <c r="L10" s="11"/>
      <c r="M10" s="12"/>
      <c r="N10" s="13"/>
      <c r="O10" s="38"/>
      <c r="P10" s="12"/>
      <c r="Q10" s="13"/>
      <c r="R10" s="11"/>
      <c r="S10" s="12"/>
      <c r="T10" s="13"/>
      <c r="U10" s="11"/>
      <c r="V10" s="12"/>
      <c r="W10" s="13"/>
      <c r="X10" s="11"/>
      <c r="Y10" s="12"/>
      <c r="Z10" s="13"/>
      <c r="AA10" s="11">
        <v>159.0</v>
      </c>
      <c r="AB10" s="12">
        <v>0.9652777777777778</v>
      </c>
      <c r="AC10" s="38" t="s">
        <v>178</v>
      </c>
      <c r="AD10" s="11"/>
      <c r="AE10" s="12"/>
      <c r="AF10" s="13"/>
      <c r="AG10" s="11"/>
      <c r="AH10" s="12"/>
      <c r="AI10" s="13"/>
      <c r="AJ10" s="11"/>
      <c r="AK10" s="12"/>
      <c r="AL10" s="13"/>
      <c r="AM10" s="11"/>
      <c r="AN10" s="12"/>
      <c r="AO10" s="13"/>
      <c r="AP10" s="11"/>
      <c r="AQ10" s="12"/>
      <c r="AR10" s="13"/>
      <c r="AS10" s="11"/>
      <c r="AT10" s="12"/>
      <c r="AU10" s="13"/>
      <c r="AV10" s="11"/>
      <c r="AW10" s="12"/>
      <c r="AX10" s="13"/>
      <c r="AY10" s="11"/>
      <c r="AZ10" s="12"/>
    </row>
    <row r="11" ht="15.75" customHeight="1">
      <c r="A11" s="7"/>
      <c r="B11" s="47">
        <v>511.0</v>
      </c>
      <c r="C11" s="11">
        <v>37.0</v>
      </c>
      <c r="D11" s="12">
        <v>0.2604166666666667</v>
      </c>
      <c r="E11" s="13">
        <v>0.26180555555555557</v>
      </c>
      <c r="F11" s="64">
        <v>23.0</v>
      </c>
      <c r="G11" s="65">
        <v>0.30625</v>
      </c>
      <c r="H11" s="66">
        <v>0.30625</v>
      </c>
      <c r="I11" s="11">
        <v>27.0</v>
      </c>
      <c r="J11" s="12">
        <v>0.3659722222222222</v>
      </c>
      <c r="K11" s="13">
        <v>0.3701388888888889</v>
      </c>
      <c r="L11" s="11"/>
      <c r="M11" s="12"/>
      <c r="N11" s="13"/>
      <c r="O11" s="38"/>
      <c r="P11" s="12"/>
      <c r="Q11" s="13"/>
      <c r="R11" s="11"/>
      <c r="S11" s="12"/>
      <c r="T11" s="13"/>
      <c r="U11" s="11"/>
      <c r="V11" s="12"/>
      <c r="W11" s="13"/>
      <c r="X11" s="11"/>
      <c r="Y11" s="12"/>
      <c r="Z11" s="13"/>
      <c r="AA11" s="11">
        <v>50.0</v>
      </c>
      <c r="AB11" s="12">
        <v>0.8027777777777778</v>
      </c>
      <c r="AC11" s="13">
        <v>0.8076388888888889</v>
      </c>
      <c r="AD11" s="11"/>
      <c r="AE11" s="12"/>
      <c r="AF11" s="13"/>
      <c r="AG11" s="11">
        <v>43.0</v>
      </c>
      <c r="AH11" s="12">
        <v>0.9805555555555555</v>
      </c>
      <c r="AI11" s="13">
        <v>0.9868055555555556</v>
      </c>
      <c r="AJ11" s="11"/>
      <c r="AK11" s="12"/>
      <c r="AL11" s="13"/>
      <c r="AM11" s="11"/>
      <c r="AN11" s="12"/>
      <c r="AO11" s="13"/>
      <c r="AP11" s="11"/>
      <c r="AQ11" s="12"/>
      <c r="AR11" s="13"/>
      <c r="AS11" s="11"/>
      <c r="AT11" s="12"/>
      <c r="AU11" s="13"/>
      <c r="AV11" s="11"/>
      <c r="AW11" s="12"/>
      <c r="AX11" s="13"/>
      <c r="AY11" s="11"/>
      <c r="AZ11" s="18"/>
    </row>
    <row r="12" ht="15.75" customHeight="1">
      <c r="A12" s="7"/>
      <c r="B12" s="47">
        <v>513.0</v>
      </c>
      <c r="C12" s="11">
        <v>9.0</v>
      </c>
      <c r="D12" s="12">
        <v>0.2520833333333333</v>
      </c>
      <c r="E12" s="13">
        <v>0.25277777777777777</v>
      </c>
      <c r="F12" s="64">
        <v>7.0</v>
      </c>
      <c r="G12" s="65">
        <v>0.2923611111111111</v>
      </c>
      <c r="H12" s="66">
        <v>0.2923611111111111</v>
      </c>
      <c r="I12" s="11">
        <v>9.0</v>
      </c>
      <c r="J12" s="12">
        <v>0.3458333333333333</v>
      </c>
      <c r="K12" s="13">
        <v>0.34791666666666665</v>
      </c>
      <c r="L12" s="11"/>
      <c r="M12" s="12"/>
      <c r="N12" s="13"/>
      <c r="O12" s="38"/>
      <c r="P12" s="12"/>
      <c r="Q12" s="13"/>
      <c r="R12" s="11"/>
      <c r="S12" s="12"/>
      <c r="T12" s="13"/>
      <c r="U12" s="11"/>
      <c r="V12" s="12"/>
      <c r="W12" s="13"/>
      <c r="X12" s="11"/>
      <c r="Y12" s="12"/>
      <c r="Z12" s="13"/>
      <c r="AA12" s="11">
        <v>8.0</v>
      </c>
      <c r="AB12" s="12">
        <v>0.70625</v>
      </c>
      <c r="AC12" s="13">
        <v>0.7097222222222223</v>
      </c>
      <c r="AD12" s="11"/>
      <c r="AE12" s="12"/>
      <c r="AF12" s="13"/>
      <c r="AG12" s="11">
        <v>7.0</v>
      </c>
      <c r="AH12" s="12">
        <v>0.8409722222222222</v>
      </c>
      <c r="AI12" s="13">
        <v>0.84375</v>
      </c>
      <c r="AJ12" s="11"/>
      <c r="AK12" s="12"/>
      <c r="AL12" s="13"/>
      <c r="AM12" s="11"/>
      <c r="AN12" s="12"/>
      <c r="AO12" s="13"/>
      <c r="AP12" s="11"/>
      <c r="AQ12" s="12"/>
      <c r="AR12" s="13"/>
      <c r="AS12" s="11"/>
      <c r="AT12" s="12"/>
      <c r="AU12" s="13"/>
      <c r="AV12" s="11"/>
      <c r="AW12" s="12"/>
      <c r="AX12" s="13"/>
      <c r="AY12" s="11"/>
      <c r="AZ12" s="12"/>
    </row>
    <row r="13" ht="15.75" customHeight="1">
      <c r="A13" s="7"/>
      <c r="B13" s="47">
        <v>515.0</v>
      </c>
      <c r="C13" s="11">
        <v>16.0</v>
      </c>
      <c r="D13" s="12">
        <v>0.2569444444444444</v>
      </c>
      <c r="E13" s="13">
        <v>0.2569444444444444</v>
      </c>
      <c r="F13" s="64">
        <v>17.0</v>
      </c>
      <c r="G13" s="65">
        <v>0.3020833333333333</v>
      </c>
      <c r="H13" s="66">
        <v>0.3020833333333333</v>
      </c>
      <c r="I13" s="11">
        <v>14.0</v>
      </c>
      <c r="J13" s="12">
        <v>0.3590277777777778</v>
      </c>
      <c r="K13" s="13">
        <v>0.3597222222222222</v>
      </c>
      <c r="L13" s="11"/>
      <c r="M13" s="12"/>
      <c r="N13" s="13"/>
      <c r="O13" s="38"/>
      <c r="P13" s="12"/>
      <c r="Q13" s="13"/>
      <c r="R13" s="11"/>
      <c r="S13" s="12"/>
      <c r="T13" s="13"/>
      <c r="U13" s="11"/>
      <c r="V13" s="12"/>
      <c r="W13" s="38"/>
      <c r="X13" s="11"/>
      <c r="Y13" s="12"/>
      <c r="Z13" s="38"/>
      <c r="AA13" s="11">
        <v>9.0</v>
      </c>
      <c r="AB13" s="12">
        <v>0.7131944444444445</v>
      </c>
      <c r="AC13" s="13">
        <v>0.7145833333333333</v>
      </c>
      <c r="AD13" s="11"/>
      <c r="AE13" s="12"/>
      <c r="AF13" s="38"/>
      <c r="AG13" s="11">
        <v>10.0</v>
      </c>
      <c r="AH13" s="12">
        <v>0.8555555555555555</v>
      </c>
      <c r="AI13" s="13">
        <v>0.8576388888888888</v>
      </c>
      <c r="AJ13" s="11"/>
      <c r="AK13" s="12"/>
      <c r="AL13" s="38"/>
      <c r="AM13" s="11"/>
      <c r="AN13" s="12"/>
      <c r="AO13" s="38"/>
      <c r="AP13" s="11"/>
      <c r="AQ13" s="12"/>
      <c r="AR13" s="38"/>
      <c r="AS13" s="11"/>
      <c r="AT13" s="12"/>
      <c r="AU13" s="38"/>
      <c r="AV13" s="11"/>
      <c r="AW13" s="12"/>
      <c r="AX13" s="38"/>
      <c r="AY13" s="11"/>
      <c r="AZ13" s="18"/>
    </row>
    <row r="14" ht="15.75" customHeight="1">
      <c r="A14" s="7"/>
      <c r="B14" s="47">
        <v>516.0</v>
      </c>
      <c r="C14" s="11">
        <v>105.0</v>
      </c>
      <c r="D14" s="12">
        <v>0.26875</v>
      </c>
      <c r="E14" s="13">
        <v>0.26944444444444443</v>
      </c>
      <c r="F14" s="64">
        <v>114.0</v>
      </c>
      <c r="G14" s="65">
        <v>0.32916666666666666</v>
      </c>
      <c r="H14" s="66">
        <v>0.32916666666666666</v>
      </c>
      <c r="I14" s="11">
        <v>128.0</v>
      </c>
      <c r="J14" s="12">
        <v>0.40555555555555556</v>
      </c>
      <c r="K14" s="13">
        <v>0.4125</v>
      </c>
      <c r="L14" s="11"/>
      <c r="M14" s="12"/>
      <c r="N14" s="13"/>
      <c r="O14" s="38"/>
      <c r="P14" s="12"/>
      <c r="Q14" s="13"/>
      <c r="R14" s="11"/>
      <c r="S14" s="18"/>
      <c r="T14" s="38"/>
      <c r="U14" s="11"/>
      <c r="V14" s="18"/>
      <c r="W14" s="38"/>
      <c r="X14" s="11"/>
      <c r="Y14" s="12"/>
      <c r="Z14" s="13"/>
      <c r="AA14" s="11">
        <v>124.0</v>
      </c>
      <c r="AB14" s="12">
        <v>0.9152777777777777</v>
      </c>
      <c r="AC14" s="13">
        <v>0.9208333333333333</v>
      </c>
      <c r="AD14" s="11"/>
      <c r="AE14" s="18"/>
      <c r="AF14" s="38"/>
      <c r="AG14" s="11">
        <v>108.0</v>
      </c>
      <c r="AH14" s="12">
        <v>0.10694444444444444</v>
      </c>
      <c r="AI14" s="13">
        <v>0.11319444444444444</v>
      </c>
      <c r="AJ14" s="11"/>
      <c r="AK14" s="12"/>
      <c r="AL14" s="13"/>
      <c r="AM14" s="11"/>
      <c r="AN14" s="12"/>
      <c r="AO14" s="13"/>
      <c r="AP14" s="11"/>
      <c r="AQ14" s="12"/>
      <c r="AR14" s="13"/>
      <c r="AS14" s="11"/>
      <c r="AT14" s="12"/>
      <c r="AU14" s="13"/>
      <c r="AV14" s="11"/>
      <c r="AW14" s="12"/>
      <c r="AX14" s="13"/>
      <c r="AY14" s="11"/>
      <c r="AZ14" s="12"/>
    </row>
    <row r="15" ht="15.75" customHeight="1">
      <c r="A15" s="7"/>
      <c r="B15" s="47">
        <v>517.0</v>
      </c>
      <c r="C15" s="11">
        <v>75.0</v>
      </c>
      <c r="D15" s="12">
        <v>0.2652777777777778</v>
      </c>
      <c r="E15" s="13">
        <v>0.2659722222222222</v>
      </c>
      <c r="F15" s="64">
        <v>75.0</v>
      </c>
      <c r="G15" s="65">
        <v>0.32083333333333336</v>
      </c>
      <c r="H15" s="66">
        <v>0.32083333333333336</v>
      </c>
      <c r="I15" s="11">
        <v>121.0</v>
      </c>
      <c r="J15" s="12">
        <v>0.4027777777777778</v>
      </c>
      <c r="K15" s="13">
        <v>0.40902777777777777</v>
      </c>
      <c r="L15" s="11"/>
      <c r="M15" s="12"/>
      <c r="N15" s="13"/>
      <c r="O15" s="38"/>
      <c r="P15" s="12"/>
      <c r="Q15" s="13"/>
      <c r="R15" s="11"/>
      <c r="S15" s="18"/>
      <c r="T15" s="38"/>
      <c r="U15" s="11"/>
      <c r="V15" s="18"/>
      <c r="W15" s="38"/>
      <c r="X15" s="11"/>
      <c r="Y15" s="12"/>
      <c r="Z15" s="13"/>
      <c r="AA15" s="11" t="s">
        <v>178</v>
      </c>
      <c r="AB15" s="18"/>
      <c r="AC15" s="38"/>
      <c r="AD15" s="11"/>
      <c r="AE15" s="12"/>
      <c r="AF15" s="38"/>
      <c r="AG15" s="11"/>
      <c r="AH15" s="12"/>
      <c r="AI15" s="38"/>
      <c r="AJ15" s="11"/>
      <c r="AK15" s="12"/>
      <c r="AL15" s="38"/>
      <c r="AM15" s="11"/>
      <c r="AN15" s="12"/>
      <c r="AO15" s="38"/>
      <c r="AP15" s="11"/>
      <c r="AQ15" s="12"/>
      <c r="AR15" s="38"/>
      <c r="AS15" s="11"/>
      <c r="AT15" s="12"/>
      <c r="AU15" s="38"/>
      <c r="AV15" s="11"/>
      <c r="AW15" s="12"/>
      <c r="AX15" s="38"/>
      <c r="AY15" s="11"/>
      <c r="AZ15" s="12"/>
    </row>
    <row r="16" ht="15.75" customHeight="1">
      <c r="A16" s="7"/>
      <c r="B16" s="47">
        <v>518.0</v>
      </c>
      <c r="C16" s="11">
        <v>150.0</v>
      </c>
      <c r="D16" s="12">
        <v>0.2743055555555556</v>
      </c>
      <c r="E16" s="13">
        <v>0.275</v>
      </c>
      <c r="F16" s="64">
        <v>140.0</v>
      </c>
      <c r="G16" s="65">
        <v>0.33611111111111114</v>
      </c>
      <c r="H16" s="66">
        <v>0.33611111111111114</v>
      </c>
      <c r="I16" s="11">
        <v>135.0</v>
      </c>
      <c r="J16" s="12">
        <v>0.4083333333333333</v>
      </c>
      <c r="K16" s="13">
        <v>0.4166666666666667</v>
      </c>
      <c r="L16" s="11"/>
      <c r="M16" s="12"/>
      <c r="N16" s="13"/>
      <c r="O16" s="38"/>
      <c r="P16" s="12"/>
      <c r="Q16" s="13"/>
      <c r="R16" s="11"/>
      <c r="S16" s="12"/>
      <c r="T16" s="13"/>
      <c r="U16" s="11"/>
      <c r="V16" s="12"/>
      <c r="W16" s="13"/>
      <c r="X16" s="11"/>
      <c r="Y16" s="12"/>
      <c r="Z16" s="13"/>
      <c r="AA16" s="11">
        <v>105.0</v>
      </c>
      <c r="AB16" s="12">
        <v>0.8888888888888888</v>
      </c>
      <c r="AC16" s="13">
        <v>0.8909722222222223</v>
      </c>
      <c r="AD16" s="11"/>
      <c r="AE16" s="12"/>
      <c r="AF16" s="13"/>
      <c r="AG16" s="11">
        <v>100.0</v>
      </c>
      <c r="AH16" s="12">
        <v>0.09722222222222222</v>
      </c>
      <c r="AI16" s="13">
        <v>0.10208333333333333</v>
      </c>
      <c r="AJ16" s="11"/>
      <c r="AK16" s="12"/>
      <c r="AL16" s="13"/>
      <c r="AM16" s="11"/>
      <c r="AN16" s="12"/>
      <c r="AO16" s="13"/>
      <c r="AP16" s="11"/>
      <c r="AQ16" s="12"/>
      <c r="AR16" s="13"/>
      <c r="AS16" s="11"/>
      <c r="AT16" s="12"/>
      <c r="AU16" s="13"/>
      <c r="AV16" s="11"/>
      <c r="AW16" s="12"/>
      <c r="AX16" s="13"/>
      <c r="AY16" s="11"/>
      <c r="AZ16" s="18"/>
    </row>
    <row r="17" ht="15.75" customHeight="1">
      <c r="A17" s="7"/>
      <c r="B17" s="47">
        <v>519.0</v>
      </c>
      <c r="C17" s="11">
        <v>133.0</v>
      </c>
      <c r="D17" s="12">
        <v>0.27152777777777776</v>
      </c>
      <c r="E17" s="13">
        <v>0.2722222222222222</v>
      </c>
      <c r="F17" s="64">
        <v>126.0</v>
      </c>
      <c r="G17" s="65">
        <v>0.33125</v>
      </c>
      <c r="H17" s="66">
        <v>0.33125</v>
      </c>
      <c r="I17" s="11">
        <v>96.0</v>
      </c>
      <c r="J17" s="12">
        <v>0.3958333333333333</v>
      </c>
      <c r="K17" s="13">
        <v>0.4013888888888889</v>
      </c>
      <c r="L17" s="11"/>
      <c r="M17" s="12"/>
      <c r="N17" s="13"/>
      <c r="O17" s="38"/>
      <c r="P17" s="12"/>
      <c r="Q17" s="13"/>
      <c r="R17" s="11"/>
      <c r="S17" s="12"/>
      <c r="T17" s="13"/>
      <c r="U17" s="11"/>
      <c r="V17" s="12"/>
      <c r="W17" s="13"/>
      <c r="X17" s="11"/>
      <c r="Y17" s="12"/>
      <c r="Z17" s="13"/>
      <c r="AA17" s="11">
        <v>82.0</v>
      </c>
      <c r="AB17" s="12">
        <v>0.8534722222222222</v>
      </c>
      <c r="AC17" s="13">
        <v>0.8555555555555555</v>
      </c>
      <c r="AD17" s="11"/>
      <c r="AE17" s="12"/>
      <c r="AF17" s="13"/>
      <c r="AG17" s="11">
        <v>82.0</v>
      </c>
      <c r="AH17" s="12">
        <v>0.04722222222222222</v>
      </c>
      <c r="AI17" s="13">
        <v>0.05138888888888889</v>
      </c>
      <c r="AJ17" s="11"/>
      <c r="AK17" s="12"/>
      <c r="AL17" s="13"/>
      <c r="AM17" s="11"/>
      <c r="AN17" s="12"/>
      <c r="AO17" s="13"/>
      <c r="AP17" s="11"/>
      <c r="AQ17" s="12"/>
      <c r="AR17" s="13"/>
      <c r="AS17" s="11"/>
      <c r="AT17" s="12"/>
      <c r="AU17" s="13"/>
      <c r="AV17" s="11"/>
      <c r="AW17" s="12"/>
      <c r="AX17" s="13"/>
      <c r="AY17" s="11"/>
      <c r="AZ17" s="12"/>
    </row>
    <row r="18" ht="15.75" customHeight="1">
      <c r="A18" s="7"/>
      <c r="B18" s="47">
        <v>520.0</v>
      </c>
      <c r="C18" s="11">
        <v>136.0</v>
      </c>
      <c r="D18" s="12">
        <v>0.27152777777777776</v>
      </c>
      <c r="E18" s="13">
        <v>0.2722222222222222</v>
      </c>
      <c r="F18" s="64">
        <v>131.0</v>
      </c>
      <c r="G18" s="65">
        <v>0.3326388888888889</v>
      </c>
      <c r="H18" s="66">
        <v>0.3326388888888889</v>
      </c>
      <c r="I18" s="11">
        <v>161.0</v>
      </c>
      <c r="J18" s="12">
        <v>0.41597222222222224</v>
      </c>
      <c r="K18" s="13">
        <v>0.4326388888888889</v>
      </c>
      <c r="L18" s="11"/>
      <c r="M18" s="12"/>
      <c r="N18" s="13"/>
      <c r="O18" s="38"/>
      <c r="P18" s="12"/>
      <c r="Q18" s="13"/>
      <c r="R18" s="11"/>
      <c r="S18" s="18"/>
      <c r="T18" s="38"/>
      <c r="U18" s="11"/>
      <c r="V18" s="18"/>
      <c r="W18" s="38"/>
      <c r="X18" s="11"/>
      <c r="Y18" s="18"/>
      <c r="Z18" s="38"/>
      <c r="AA18" s="11">
        <v>160.0</v>
      </c>
      <c r="AB18" s="12">
        <v>0.9666666666666667</v>
      </c>
      <c r="AC18" s="13">
        <v>0.9694444444444444</v>
      </c>
      <c r="AD18" s="11"/>
      <c r="AE18" s="18"/>
      <c r="AF18" s="38"/>
      <c r="AG18" s="11">
        <v>145.0</v>
      </c>
      <c r="AH18" s="12">
        <v>0.19583333333333333</v>
      </c>
      <c r="AI18" s="13">
        <v>0.20069444444444445</v>
      </c>
      <c r="AJ18" s="11"/>
      <c r="AK18" s="18"/>
      <c r="AL18" s="38"/>
      <c r="AM18" s="11"/>
      <c r="AN18" s="18"/>
      <c r="AO18" s="38"/>
      <c r="AP18" s="11"/>
      <c r="AQ18" s="18"/>
      <c r="AR18" s="38"/>
      <c r="AS18" s="11"/>
      <c r="AT18" s="18"/>
      <c r="AU18" s="38"/>
      <c r="AV18" s="11"/>
      <c r="AW18" s="18"/>
      <c r="AX18" s="38"/>
      <c r="AY18" s="11"/>
      <c r="AZ18" s="12"/>
    </row>
    <row r="19" ht="15.75" customHeight="1">
      <c r="A19" s="7"/>
      <c r="B19" s="47">
        <v>521.0</v>
      </c>
      <c r="C19" s="11">
        <v>132.0</v>
      </c>
      <c r="D19" s="12">
        <v>0.27152777777777776</v>
      </c>
      <c r="E19" s="13">
        <v>0.2722222222222222</v>
      </c>
      <c r="F19" s="64">
        <v>107.0</v>
      </c>
      <c r="G19" s="65">
        <v>0.32569444444444445</v>
      </c>
      <c r="H19" s="66">
        <v>0.32569444444444445</v>
      </c>
      <c r="I19" s="11">
        <v>101.0</v>
      </c>
      <c r="J19" s="12">
        <v>0.39652777777777776</v>
      </c>
      <c r="K19" s="13">
        <v>0.4041666666666667</v>
      </c>
      <c r="L19" s="11"/>
      <c r="M19" s="12"/>
      <c r="N19" s="13"/>
      <c r="O19" s="38"/>
      <c r="P19" s="12"/>
      <c r="Q19" s="13"/>
      <c r="R19" s="11"/>
      <c r="S19" s="12"/>
      <c r="T19" s="13"/>
      <c r="U19" s="11"/>
      <c r="V19" s="12"/>
      <c r="W19" s="13"/>
      <c r="X19" s="11"/>
      <c r="Y19" s="12"/>
      <c r="Z19" s="13"/>
      <c r="AA19" s="11">
        <v>153.0</v>
      </c>
      <c r="AB19" s="12">
        <v>0.9583333333333334</v>
      </c>
      <c r="AC19" s="13">
        <v>0.9631944444444445</v>
      </c>
      <c r="AD19" s="11"/>
      <c r="AE19" s="12"/>
      <c r="AF19" s="13"/>
      <c r="AG19" s="11">
        <v>143.0</v>
      </c>
      <c r="AH19" s="12">
        <v>0.1951388888888889</v>
      </c>
      <c r="AI19" s="13">
        <v>0.19722222222222222</v>
      </c>
      <c r="AJ19" s="11"/>
      <c r="AK19" s="12"/>
      <c r="AL19" s="13"/>
      <c r="AM19" s="11"/>
      <c r="AN19" s="12"/>
      <c r="AO19" s="13"/>
      <c r="AP19" s="11"/>
      <c r="AQ19" s="12"/>
      <c r="AR19" s="13"/>
      <c r="AS19" s="11"/>
      <c r="AT19" s="12"/>
      <c r="AU19" s="13"/>
      <c r="AV19" s="11"/>
      <c r="AW19" s="12"/>
      <c r="AX19" s="13"/>
      <c r="AY19" s="11"/>
      <c r="AZ19" s="12"/>
    </row>
    <row r="20" ht="15.75" customHeight="1">
      <c r="A20" s="7"/>
      <c r="B20" s="47">
        <v>522.0</v>
      </c>
      <c r="C20" s="11">
        <v>87.0</v>
      </c>
      <c r="D20" s="12">
        <v>0.26666666666666666</v>
      </c>
      <c r="E20" s="13">
        <v>0.2673611111111111</v>
      </c>
      <c r="F20" s="64">
        <v>91.0</v>
      </c>
      <c r="G20" s="65">
        <v>0.32430555555555557</v>
      </c>
      <c r="H20" s="66">
        <v>0.32430555555555557</v>
      </c>
      <c r="I20" s="11">
        <v>94.0</v>
      </c>
      <c r="J20" s="12">
        <v>0.39375</v>
      </c>
      <c r="K20" s="13">
        <v>0.39652777777777776</v>
      </c>
      <c r="L20" s="11"/>
      <c r="M20" s="12"/>
      <c r="N20" s="13"/>
      <c r="O20" s="38"/>
      <c r="P20" s="12"/>
      <c r="Q20" s="13"/>
      <c r="R20" s="11"/>
      <c r="S20" s="18"/>
      <c r="T20" s="38"/>
      <c r="U20" s="11"/>
      <c r="V20" s="18"/>
      <c r="W20" s="38"/>
      <c r="X20" s="11"/>
      <c r="Y20" s="12"/>
      <c r="Z20" s="13"/>
      <c r="AA20" s="11">
        <v>80.0</v>
      </c>
      <c r="AB20" s="12">
        <v>0.8534722222222222</v>
      </c>
      <c r="AC20" s="13">
        <v>0.8569444444444444</v>
      </c>
      <c r="AD20" s="11"/>
      <c r="AE20" s="18"/>
      <c r="AF20" s="38"/>
      <c r="AG20" s="11">
        <v>66.0</v>
      </c>
      <c r="AH20" s="12">
        <v>0.022222222222222223</v>
      </c>
      <c r="AI20" s="13">
        <v>0.025</v>
      </c>
      <c r="AJ20" s="11"/>
      <c r="AK20" s="12"/>
      <c r="AL20" s="13"/>
      <c r="AM20" s="11"/>
      <c r="AN20" s="12"/>
      <c r="AO20" s="13"/>
      <c r="AP20" s="11"/>
      <c r="AQ20" s="12"/>
      <c r="AR20" s="13"/>
      <c r="AS20" s="11"/>
      <c r="AT20" s="12"/>
      <c r="AU20" s="13"/>
      <c r="AV20" s="11"/>
      <c r="AW20" s="12"/>
      <c r="AX20" s="13"/>
      <c r="AY20" s="11"/>
      <c r="AZ20" s="12"/>
    </row>
    <row r="21" ht="15.75" customHeight="1">
      <c r="A21" s="7"/>
      <c r="B21" s="47">
        <v>523.0</v>
      </c>
      <c r="C21" s="11">
        <v>114.0</v>
      </c>
      <c r="D21" s="12">
        <v>0.26944444444444443</v>
      </c>
      <c r="E21" s="13">
        <v>0.2701388888888889</v>
      </c>
      <c r="F21" s="64">
        <v>99.0</v>
      </c>
      <c r="G21" s="65">
        <v>0.32569444444444445</v>
      </c>
      <c r="H21" s="66">
        <v>0.32569444444444445</v>
      </c>
      <c r="I21" s="11">
        <v>81.0</v>
      </c>
      <c r="J21" s="12">
        <v>0.38819444444444445</v>
      </c>
      <c r="K21" s="13">
        <v>0.39375</v>
      </c>
      <c r="L21" s="11"/>
      <c r="M21" s="12"/>
      <c r="N21" s="13"/>
      <c r="O21" s="38"/>
      <c r="P21" s="12"/>
      <c r="Q21" s="13"/>
      <c r="R21" s="11"/>
      <c r="S21" s="12"/>
      <c r="T21" s="13"/>
      <c r="U21" s="11"/>
      <c r="V21" s="12"/>
      <c r="W21" s="13"/>
      <c r="X21" s="11"/>
      <c r="Y21" s="12"/>
      <c r="Z21" s="13"/>
      <c r="AA21" s="11">
        <v>55.0</v>
      </c>
      <c r="AB21" s="12">
        <v>0.8125</v>
      </c>
      <c r="AC21" s="13">
        <v>0.8208333333333333</v>
      </c>
      <c r="AD21" s="11"/>
      <c r="AE21" s="12"/>
      <c r="AF21" s="13"/>
      <c r="AG21" s="11">
        <v>49.0</v>
      </c>
      <c r="AH21" s="12">
        <v>0.9930555555555556</v>
      </c>
      <c r="AI21" s="13">
        <v>0.9993055555555556</v>
      </c>
      <c r="AJ21" s="11"/>
      <c r="AK21" s="12"/>
      <c r="AL21" s="13"/>
      <c r="AM21" s="11"/>
      <c r="AN21" s="12"/>
      <c r="AO21" s="13"/>
      <c r="AP21" s="11"/>
      <c r="AQ21" s="12"/>
      <c r="AR21" s="13"/>
      <c r="AS21" s="11"/>
      <c r="AT21" s="12"/>
      <c r="AU21" s="13"/>
      <c r="AV21" s="11"/>
      <c r="AW21" s="12"/>
      <c r="AX21" s="13"/>
      <c r="AY21" s="11"/>
      <c r="AZ21" s="12"/>
    </row>
    <row r="22" ht="15.75" customHeight="1">
      <c r="A22" s="7"/>
      <c r="B22" s="47">
        <v>525.0</v>
      </c>
      <c r="C22" s="11">
        <v>115.0</v>
      </c>
      <c r="D22" s="12">
        <v>0.26944444444444443</v>
      </c>
      <c r="E22" s="13">
        <v>0.2701388888888889</v>
      </c>
      <c r="F22" s="64">
        <v>125.0</v>
      </c>
      <c r="G22" s="65">
        <v>0.33125</v>
      </c>
      <c r="H22" s="66">
        <v>0.33125</v>
      </c>
      <c r="I22" s="11">
        <v>129.0</v>
      </c>
      <c r="J22" s="12">
        <v>0.40555555555555556</v>
      </c>
      <c r="K22" s="13">
        <v>0.4083333333333333</v>
      </c>
      <c r="L22" s="11"/>
      <c r="M22" s="12"/>
      <c r="N22" s="13"/>
      <c r="O22" s="38"/>
      <c r="P22" s="12"/>
      <c r="Q22" s="13"/>
      <c r="R22" s="11"/>
      <c r="S22" s="12"/>
      <c r="T22" s="13"/>
      <c r="U22" s="11"/>
      <c r="V22" s="12"/>
      <c r="W22" s="13"/>
      <c r="X22" s="11"/>
      <c r="Y22" s="12"/>
      <c r="Z22" s="13"/>
      <c r="AA22" s="11">
        <v>117.0</v>
      </c>
      <c r="AB22" s="12">
        <v>0.9097222222222222</v>
      </c>
      <c r="AC22" s="13">
        <v>0.9138888888888889</v>
      </c>
      <c r="AD22" s="11"/>
      <c r="AE22" s="12"/>
      <c r="AF22" s="13"/>
      <c r="AG22" s="11">
        <v>110.0</v>
      </c>
      <c r="AH22" s="12">
        <v>0.11666666666666667</v>
      </c>
      <c r="AI22" s="13">
        <v>0.12013888888888889</v>
      </c>
      <c r="AJ22" s="11"/>
      <c r="AK22" s="12"/>
      <c r="AL22" s="13"/>
      <c r="AM22" s="11"/>
      <c r="AN22" s="12"/>
      <c r="AO22" s="13"/>
      <c r="AP22" s="11"/>
      <c r="AQ22" s="12"/>
      <c r="AR22" s="13"/>
      <c r="AS22" s="11"/>
      <c r="AT22" s="12"/>
      <c r="AU22" s="13"/>
      <c r="AV22" s="11"/>
      <c r="AW22" s="12"/>
      <c r="AX22" s="13"/>
      <c r="AY22" s="11"/>
      <c r="AZ22" s="18"/>
    </row>
    <row r="23" ht="15.75" customHeight="1">
      <c r="A23" s="7"/>
      <c r="B23" s="47">
        <v>527.0</v>
      </c>
      <c r="C23" s="11">
        <v>23.0</v>
      </c>
      <c r="D23" s="12">
        <v>0.25763888888888886</v>
      </c>
      <c r="E23" s="13">
        <v>0.25833333333333336</v>
      </c>
      <c r="F23" s="64">
        <v>21.0</v>
      </c>
      <c r="G23" s="65">
        <v>0.30625</v>
      </c>
      <c r="H23" s="66">
        <v>0.30625</v>
      </c>
      <c r="I23" s="11">
        <v>18.0</v>
      </c>
      <c r="J23" s="12">
        <v>0.3625</v>
      </c>
      <c r="K23" s="13">
        <v>0.3638888888888889</v>
      </c>
      <c r="L23" s="11"/>
      <c r="M23" s="12"/>
      <c r="N23" s="13"/>
      <c r="O23" s="38"/>
      <c r="P23" s="12"/>
      <c r="Q23" s="13"/>
      <c r="R23" s="11"/>
      <c r="S23" s="18"/>
      <c r="T23" s="38"/>
      <c r="U23" s="11"/>
      <c r="V23" s="18"/>
      <c r="W23" s="38"/>
      <c r="X23" s="11"/>
      <c r="Y23" s="12"/>
      <c r="Z23" s="13"/>
      <c r="AA23" s="11">
        <v>31.0</v>
      </c>
      <c r="AB23" s="12">
        <v>0.7680555555555556</v>
      </c>
      <c r="AC23" s="13">
        <v>0.7715277777777778</v>
      </c>
      <c r="AD23" s="11"/>
      <c r="AE23" s="18"/>
      <c r="AF23" s="38"/>
      <c r="AG23" s="11">
        <v>35.0</v>
      </c>
      <c r="AH23" s="12">
        <v>0.9451388888888889</v>
      </c>
      <c r="AI23" s="13">
        <v>0.9486111111111111</v>
      </c>
      <c r="AJ23" s="11"/>
      <c r="AK23" s="12"/>
      <c r="AL23" s="13"/>
      <c r="AM23" s="11"/>
      <c r="AN23" s="12"/>
      <c r="AO23" s="13"/>
      <c r="AP23" s="11"/>
      <c r="AQ23" s="12"/>
      <c r="AR23" s="13"/>
      <c r="AS23" s="11"/>
      <c r="AT23" s="12"/>
      <c r="AU23" s="13"/>
      <c r="AV23" s="11"/>
      <c r="AW23" s="12"/>
      <c r="AX23" s="13"/>
      <c r="AY23" s="11"/>
      <c r="AZ23" s="18"/>
    </row>
    <row r="24" ht="15.75" customHeight="1">
      <c r="A24" s="7"/>
      <c r="B24" s="47">
        <v>528.0</v>
      </c>
      <c r="C24" s="11">
        <v>84.0</v>
      </c>
      <c r="D24" s="12">
        <v>0.2659722222222222</v>
      </c>
      <c r="E24" s="13">
        <v>0.26666666666666666</v>
      </c>
      <c r="F24" s="64">
        <v>97.0</v>
      </c>
      <c r="G24" s="65">
        <v>0.32430555555555557</v>
      </c>
      <c r="H24" s="66">
        <v>0.32430555555555557</v>
      </c>
      <c r="I24" s="11"/>
      <c r="J24" s="12"/>
      <c r="K24" s="38"/>
      <c r="L24" s="11"/>
      <c r="M24" s="12"/>
      <c r="N24" s="13"/>
      <c r="O24" s="38"/>
      <c r="P24" s="12"/>
      <c r="Q24" s="13"/>
      <c r="R24" s="11"/>
      <c r="S24" s="12"/>
      <c r="T24" s="13"/>
      <c r="U24" s="11"/>
      <c r="V24" s="12"/>
      <c r="W24" s="13"/>
      <c r="X24" s="11"/>
      <c r="Y24" s="12"/>
      <c r="Z24" s="13"/>
      <c r="AA24" s="11">
        <v>95.0</v>
      </c>
      <c r="AB24" s="12">
        <v>0.8708333333333333</v>
      </c>
      <c r="AC24" s="13">
        <v>0.8736111111111111</v>
      </c>
      <c r="AD24" s="11"/>
      <c r="AE24" s="12"/>
      <c r="AF24" s="13"/>
      <c r="AG24" s="11">
        <v>92.0</v>
      </c>
      <c r="AH24" s="12">
        <v>0.08333333333333333</v>
      </c>
      <c r="AI24" s="13">
        <v>0.08819444444444445</v>
      </c>
      <c r="AJ24" s="11"/>
      <c r="AK24" s="12"/>
      <c r="AL24" s="13"/>
      <c r="AM24" s="11"/>
      <c r="AN24" s="12"/>
      <c r="AO24" s="13"/>
      <c r="AP24" s="11"/>
      <c r="AQ24" s="12"/>
      <c r="AR24" s="13"/>
      <c r="AS24" s="11"/>
      <c r="AT24" s="12"/>
      <c r="AU24" s="13"/>
      <c r="AV24" s="11"/>
      <c r="AW24" s="12"/>
      <c r="AX24" s="13"/>
      <c r="AY24" s="11"/>
      <c r="AZ24" s="18"/>
    </row>
    <row r="25" ht="15.75" customHeight="1">
      <c r="A25" s="7"/>
      <c r="B25" s="47">
        <v>529.0</v>
      </c>
      <c r="C25" s="11">
        <v>71.0</v>
      </c>
      <c r="D25" s="12">
        <v>0.2638888888888889</v>
      </c>
      <c r="E25" s="13">
        <v>0.26458333333333334</v>
      </c>
      <c r="F25" s="64">
        <v>66.0</v>
      </c>
      <c r="G25" s="65">
        <v>0.31875</v>
      </c>
      <c r="H25" s="66">
        <v>0.31875</v>
      </c>
      <c r="I25" s="11">
        <v>58.0</v>
      </c>
      <c r="J25" s="12">
        <v>0.37916666666666665</v>
      </c>
      <c r="K25" s="13">
        <v>0.38125</v>
      </c>
      <c r="L25" s="11"/>
      <c r="M25" s="12"/>
      <c r="N25" s="13"/>
      <c r="O25" s="38"/>
      <c r="P25" s="12"/>
      <c r="Q25" s="13"/>
      <c r="R25" s="11"/>
      <c r="S25" s="18"/>
      <c r="T25" s="38"/>
      <c r="U25" s="11"/>
      <c r="V25" s="18"/>
      <c r="W25" s="38"/>
      <c r="X25" s="11"/>
      <c r="Y25" s="12"/>
      <c r="Z25" s="13"/>
      <c r="AA25" s="11">
        <v>18.0</v>
      </c>
      <c r="AB25" s="12">
        <v>0.7444444444444445</v>
      </c>
      <c r="AC25" s="13">
        <v>0.7458333333333333</v>
      </c>
      <c r="AD25" s="11"/>
      <c r="AE25" s="12"/>
      <c r="AF25" s="38"/>
      <c r="AG25" s="11">
        <v>14.0</v>
      </c>
      <c r="AH25" s="12">
        <v>0.8854166666666666</v>
      </c>
      <c r="AI25" s="13">
        <v>0.8868055555555555</v>
      </c>
      <c r="AJ25" s="11"/>
      <c r="AK25" s="12"/>
      <c r="AL25" s="38"/>
      <c r="AM25" s="11"/>
      <c r="AN25" s="12"/>
      <c r="AO25" s="38"/>
      <c r="AP25" s="11"/>
      <c r="AQ25" s="12"/>
      <c r="AR25" s="38"/>
      <c r="AS25" s="11"/>
      <c r="AT25" s="12"/>
      <c r="AU25" s="38"/>
      <c r="AV25" s="11"/>
      <c r="AW25" s="12"/>
      <c r="AX25" s="38"/>
      <c r="AY25" s="11"/>
      <c r="AZ25" s="18"/>
    </row>
    <row r="26" ht="15.75" customHeight="1">
      <c r="A26" s="7"/>
      <c r="B26" s="47">
        <v>530.0</v>
      </c>
      <c r="C26" s="11">
        <v>46.0</v>
      </c>
      <c r="D26" s="12">
        <v>0.2611111111111111</v>
      </c>
      <c r="E26" s="13">
        <v>0.26180555555555557</v>
      </c>
      <c r="F26" s="64">
        <v>41.0</v>
      </c>
      <c r="G26" s="65">
        <v>0.31319444444444444</v>
      </c>
      <c r="H26" s="66">
        <v>0.31319444444444444</v>
      </c>
      <c r="I26" s="11">
        <v>57.0</v>
      </c>
      <c r="J26" s="12">
        <v>0.3784722222222222</v>
      </c>
      <c r="K26" s="13">
        <v>0.38055555555555554</v>
      </c>
      <c r="L26" s="11"/>
      <c r="M26" s="12"/>
      <c r="N26" s="13"/>
      <c r="O26" s="38"/>
      <c r="P26" s="12"/>
      <c r="Q26" s="13"/>
      <c r="R26" s="11"/>
      <c r="S26" s="18"/>
      <c r="T26" s="38"/>
      <c r="U26" s="11"/>
      <c r="V26" s="18"/>
      <c r="W26" s="38"/>
      <c r="X26" s="11"/>
      <c r="Y26" s="12"/>
      <c r="Z26" s="13"/>
      <c r="AA26" s="11">
        <v>49.0</v>
      </c>
      <c r="AB26" s="12">
        <v>0.8</v>
      </c>
      <c r="AC26" s="13">
        <v>0.8020833333333334</v>
      </c>
      <c r="AD26" s="11"/>
      <c r="AE26" s="12"/>
      <c r="AF26" s="38"/>
      <c r="AG26" s="11">
        <v>47.0</v>
      </c>
      <c r="AH26" s="12">
        <v>0.9909722222222223</v>
      </c>
      <c r="AI26" s="13">
        <v>0.9930555555555556</v>
      </c>
      <c r="AJ26" s="11"/>
      <c r="AK26" s="12"/>
      <c r="AL26" s="38"/>
      <c r="AM26" s="11"/>
      <c r="AN26" s="12"/>
      <c r="AO26" s="38"/>
      <c r="AP26" s="11"/>
      <c r="AQ26" s="12"/>
      <c r="AR26" s="38"/>
      <c r="AS26" s="11"/>
      <c r="AT26" s="12"/>
      <c r="AU26" s="38"/>
      <c r="AV26" s="11"/>
      <c r="AW26" s="12"/>
      <c r="AX26" s="38"/>
      <c r="AY26" s="11"/>
      <c r="AZ26" s="18"/>
    </row>
    <row r="27" ht="15.75" customHeight="1">
      <c r="A27" s="7"/>
      <c r="B27" s="47">
        <v>531.0</v>
      </c>
      <c r="C27" s="11">
        <v>174.0</v>
      </c>
      <c r="D27" s="12">
        <v>0.275</v>
      </c>
      <c r="E27" s="13">
        <v>0.27569444444444446</v>
      </c>
      <c r="F27" s="64">
        <v>161.0</v>
      </c>
      <c r="G27" s="65">
        <v>0.3388888888888889</v>
      </c>
      <c r="H27" s="66">
        <v>0.3388888888888889</v>
      </c>
      <c r="I27" s="11">
        <v>153.0</v>
      </c>
      <c r="J27" s="12">
        <v>0.41388888888888886</v>
      </c>
      <c r="K27" s="13">
        <v>0.4222222222222222</v>
      </c>
      <c r="L27" s="11"/>
      <c r="M27" s="12"/>
      <c r="N27" s="13"/>
      <c r="O27" s="38"/>
      <c r="P27" s="12"/>
      <c r="Q27" s="13"/>
      <c r="R27" s="11"/>
      <c r="S27" s="12"/>
      <c r="T27" s="13"/>
      <c r="U27" s="11"/>
      <c r="V27" s="12"/>
      <c r="W27" s="13"/>
      <c r="X27" s="11"/>
      <c r="Y27" s="12"/>
      <c r="Z27" s="13"/>
      <c r="AA27" s="11">
        <v>167.0</v>
      </c>
      <c r="AB27" s="12">
        <v>1.0034722222222223</v>
      </c>
      <c r="AC27" s="38" t="s">
        <v>178</v>
      </c>
      <c r="AD27" s="11"/>
      <c r="AE27" s="12"/>
      <c r="AF27" s="13"/>
      <c r="AG27" s="11"/>
      <c r="AH27" s="12"/>
      <c r="AI27" s="13"/>
      <c r="AJ27" s="11"/>
      <c r="AK27" s="12"/>
      <c r="AL27" s="13"/>
      <c r="AM27" s="11"/>
      <c r="AN27" s="12"/>
      <c r="AO27" s="13"/>
      <c r="AP27" s="11"/>
      <c r="AQ27" s="12"/>
      <c r="AR27" s="13"/>
      <c r="AS27" s="11"/>
      <c r="AT27" s="12"/>
      <c r="AU27" s="13"/>
      <c r="AV27" s="11"/>
      <c r="AW27" s="12"/>
      <c r="AX27" s="13"/>
      <c r="AY27" s="11"/>
      <c r="AZ27" s="12"/>
    </row>
    <row r="28" ht="15.75" customHeight="1">
      <c r="A28" s="7"/>
      <c r="B28" s="47">
        <v>532.0</v>
      </c>
      <c r="C28" s="11">
        <v>163.0</v>
      </c>
      <c r="D28" s="12">
        <v>0.2743055555555556</v>
      </c>
      <c r="E28" s="13">
        <v>0.275</v>
      </c>
      <c r="F28" s="64">
        <v>166.0</v>
      </c>
      <c r="G28" s="65">
        <v>0.3388888888888889</v>
      </c>
      <c r="H28" s="66">
        <v>0.3388888888888889</v>
      </c>
      <c r="I28" s="11">
        <v>154.0</v>
      </c>
      <c r="J28" s="12">
        <v>0.41388888888888886</v>
      </c>
      <c r="K28" s="13">
        <v>0.4222222222222222</v>
      </c>
      <c r="L28" s="11"/>
      <c r="M28" s="12"/>
      <c r="N28" s="13"/>
      <c r="O28" s="38"/>
      <c r="P28" s="12"/>
      <c r="Q28" s="13"/>
      <c r="R28" s="11"/>
      <c r="S28" s="12"/>
      <c r="T28" s="13"/>
      <c r="U28" s="11"/>
      <c r="V28" s="12"/>
      <c r="W28" s="13"/>
      <c r="X28" s="11"/>
      <c r="Y28" s="12"/>
      <c r="Z28" s="13"/>
      <c r="AA28" s="11"/>
      <c r="AB28" s="18"/>
      <c r="AC28" s="38"/>
      <c r="AD28" s="11"/>
      <c r="AE28" s="12"/>
      <c r="AF28" s="13"/>
      <c r="AG28" s="11"/>
      <c r="AH28" s="12"/>
      <c r="AI28" s="13"/>
      <c r="AJ28" s="11"/>
      <c r="AK28" s="12"/>
      <c r="AL28" s="13"/>
      <c r="AM28" s="11"/>
      <c r="AN28" s="12"/>
      <c r="AO28" s="13"/>
      <c r="AP28" s="11"/>
      <c r="AQ28" s="12"/>
      <c r="AR28" s="13"/>
      <c r="AS28" s="11"/>
      <c r="AT28" s="12"/>
      <c r="AU28" s="13"/>
      <c r="AV28" s="11"/>
      <c r="AW28" s="12"/>
      <c r="AX28" s="13"/>
      <c r="AY28" s="11"/>
      <c r="AZ28" s="18"/>
    </row>
    <row r="29" ht="15.75" customHeight="1">
      <c r="A29" s="7"/>
      <c r="B29" s="47">
        <v>534.0</v>
      </c>
      <c r="C29" s="11">
        <v>167.0</v>
      </c>
      <c r="D29" s="12">
        <v>0.2743055555555556</v>
      </c>
      <c r="E29" s="13">
        <v>0.275</v>
      </c>
      <c r="F29" s="64">
        <v>165.0</v>
      </c>
      <c r="G29" s="65">
        <v>0.3388888888888889</v>
      </c>
      <c r="H29" s="66">
        <v>0.3388888888888889</v>
      </c>
      <c r="I29" s="11">
        <v>152.0</v>
      </c>
      <c r="J29" s="12">
        <v>0.4131944444444444</v>
      </c>
      <c r="K29" s="13">
        <v>0.41944444444444445</v>
      </c>
      <c r="L29" s="11"/>
      <c r="M29" s="12"/>
      <c r="N29" s="13"/>
      <c r="O29" s="38"/>
      <c r="P29" s="12"/>
      <c r="Q29" s="13"/>
      <c r="R29" s="11"/>
      <c r="S29" s="18"/>
      <c r="T29" s="38"/>
      <c r="U29" s="11"/>
      <c r="V29" s="18"/>
      <c r="W29" s="38"/>
      <c r="X29" s="11"/>
      <c r="Y29" s="12"/>
      <c r="Z29" s="13"/>
      <c r="AA29" s="11">
        <v>118.0</v>
      </c>
      <c r="AB29" s="12">
        <v>0.9097222222222222</v>
      </c>
      <c r="AC29" s="13">
        <v>0.9166666666666666</v>
      </c>
      <c r="AD29" s="11"/>
      <c r="AE29" s="18"/>
      <c r="AF29" s="38"/>
      <c r="AG29" s="11">
        <v>114.0</v>
      </c>
      <c r="AH29" s="12">
        <v>0.11736111111111111</v>
      </c>
      <c r="AI29" s="13">
        <v>0.12222222222222222</v>
      </c>
      <c r="AJ29" s="11"/>
      <c r="AK29" s="18"/>
      <c r="AL29" s="38"/>
      <c r="AM29" s="11"/>
      <c r="AN29" s="18"/>
      <c r="AO29" s="38"/>
      <c r="AP29" s="11"/>
      <c r="AQ29" s="18"/>
      <c r="AR29" s="38"/>
      <c r="AS29" s="11"/>
      <c r="AT29" s="18"/>
      <c r="AU29" s="38"/>
      <c r="AV29" s="11"/>
      <c r="AW29" s="18"/>
      <c r="AX29" s="38"/>
      <c r="AY29" s="11"/>
      <c r="AZ29" s="12"/>
    </row>
    <row r="30" ht="15.75" customHeight="1">
      <c r="A30" s="7"/>
      <c r="B30" s="47">
        <v>535.0</v>
      </c>
      <c r="C30" s="11">
        <v>52.0</v>
      </c>
      <c r="D30" s="12">
        <v>0.26319444444444445</v>
      </c>
      <c r="E30" s="13">
        <v>0.2638888888888889</v>
      </c>
      <c r="F30" s="64">
        <v>63.0</v>
      </c>
      <c r="G30" s="65">
        <v>0.31805555555555554</v>
      </c>
      <c r="H30" s="66">
        <v>0.31805555555555554</v>
      </c>
      <c r="I30" s="11">
        <v>79.0</v>
      </c>
      <c r="J30" s="12">
        <v>0.38819444444444445</v>
      </c>
      <c r="K30" s="13">
        <v>0.4</v>
      </c>
      <c r="L30" s="11"/>
      <c r="M30" s="12"/>
      <c r="N30" s="13"/>
      <c r="O30" s="38"/>
      <c r="P30" s="12"/>
      <c r="Q30" s="13"/>
      <c r="R30" s="11"/>
      <c r="S30" s="18"/>
      <c r="T30" s="38"/>
      <c r="U30" s="11"/>
      <c r="V30" s="18"/>
      <c r="W30" s="38"/>
      <c r="X30" s="11"/>
      <c r="Y30" s="12"/>
      <c r="Z30" s="13"/>
      <c r="AA30" s="11">
        <v>134.0</v>
      </c>
      <c r="AB30" s="12">
        <v>0.9298611111111111</v>
      </c>
      <c r="AC30" s="13">
        <v>0.9388888888888889</v>
      </c>
      <c r="AD30" s="11"/>
      <c r="AE30" s="12"/>
      <c r="AF30" s="38"/>
      <c r="AG30" s="11">
        <v>148.0</v>
      </c>
      <c r="AH30" s="12">
        <v>0.20277777777777778</v>
      </c>
      <c r="AI30" s="38" t="s">
        <v>178</v>
      </c>
      <c r="AJ30" s="11"/>
      <c r="AK30" s="12"/>
      <c r="AL30" s="38"/>
      <c r="AM30" s="11"/>
      <c r="AN30" s="12"/>
      <c r="AO30" s="38"/>
      <c r="AP30" s="11"/>
      <c r="AQ30" s="12"/>
      <c r="AR30" s="38"/>
      <c r="AS30" s="11"/>
      <c r="AT30" s="12"/>
      <c r="AU30" s="38"/>
      <c r="AV30" s="11"/>
      <c r="AW30" s="12"/>
      <c r="AX30" s="38"/>
      <c r="AY30" s="11"/>
      <c r="AZ30" s="18"/>
    </row>
    <row r="31" ht="15.75" customHeight="1">
      <c r="A31" s="7"/>
      <c r="B31" s="47">
        <v>536.0</v>
      </c>
      <c r="C31" s="11">
        <v>63.0</v>
      </c>
      <c r="D31" s="12">
        <v>0.26319444444444445</v>
      </c>
      <c r="E31" s="13">
        <v>0.2638888888888889</v>
      </c>
      <c r="F31" s="64">
        <v>53.0</v>
      </c>
      <c r="G31" s="65">
        <v>0.3145833333333333</v>
      </c>
      <c r="H31" s="66">
        <v>0.3145833333333333</v>
      </c>
      <c r="I31" s="11">
        <v>36.0</v>
      </c>
      <c r="J31" s="12">
        <v>0.37083333333333335</v>
      </c>
      <c r="K31" s="13">
        <v>0.3763888888888889</v>
      </c>
      <c r="L31" s="11"/>
      <c r="M31" s="12"/>
      <c r="N31" s="13"/>
      <c r="O31" s="38"/>
      <c r="P31" s="12"/>
      <c r="Q31" s="13"/>
      <c r="R31" s="11"/>
      <c r="S31" s="18"/>
      <c r="T31" s="38"/>
      <c r="U31" s="11"/>
      <c r="V31" s="18"/>
      <c r="W31" s="38"/>
      <c r="X31" s="11"/>
      <c r="Y31" s="12"/>
      <c r="Z31" s="13"/>
      <c r="AA31" s="11">
        <v>32.0</v>
      </c>
      <c r="AB31" s="12">
        <v>0.7694444444444445</v>
      </c>
      <c r="AC31" s="13">
        <v>0.7736111111111111</v>
      </c>
      <c r="AD31" s="11"/>
      <c r="AE31" s="12"/>
      <c r="AF31" s="38"/>
      <c r="AG31" s="11">
        <v>45.0</v>
      </c>
      <c r="AH31" s="12">
        <v>0.9854166666666667</v>
      </c>
      <c r="AI31" s="13">
        <v>0.9881944444444445</v>
      </c>
      <c r="AJ31" s="11"/>
      <c r="AK31" s="12"/>
      <c r="AL31" s="38"/>
      <c r="AM31" s="11"/>
      <c r="AN31" s="12"/>
      <c r="AO31" s="38"/>
      <c r="AP31" s="11"/>
      <c r="AQ31" s="12"/>
      <c r="AR31" s="38"/>
      <c r="AS31" s="11"/>
      <c r="AT31" s="12"/>
      <c r="AU31" s="38"/>
      <c r="AV31" s="11"/>
      <c r="AW31" s="12"/>
      <c r="AX31" s="38"/>
      <c r="AY31" s="11"/>
      <c r="AZ31" s="12"/>
    </row>
    <row r="32" ht="15.75" customHeight="1">
      <c r="A32" s="7"/>
      <c r="B32" s="47">
        <v>537.0</v>
      </c>
      <c r="C32" s="11">
        <v>1.0</v>
      </c>
      <c r="D32" s="12">
        <v>0.2513888888888889</v>
      </c>
      <c r="E32" s="13">
        <v>0.2520833333333333</v>
      </c>
      <c r="F32" s="64">
        <v>9.0</v>
      </c>
      <c r="G32" s="65">
        <v>0.29444444444444445</v>
      </c>
      <c r="H32" s="66">
        <v>0.29444444444444445</v>
      </c>
      <c r="I32" s="11">
        <v>3.0</v>
      </c>
      <c r="J32" s="12">
        <v>0.34097222222222223</v>
      </c>
      <c r="K32" s="13">
        <v>0.3423611111111111</v>
      </c>
      <c r="L32" s="11"/>
      <c r="M32" s="12"/>
      <c r="N32" s="13"/>
      <c r="O32" s="38"/>
      <c r="P32" s="12"/>
      <c r="Q32" s="13"/>
      <c r="R32" s="11"/>
      <c r="S32" s="18"/>
      <c r="T32" s="38"/>
      <c r="U32" s="11"/>
      <c r="V32" s="18"/>
      <c r="W32" s="38"/>
      <c r="X32" s="11"/>
      <c r="Y32" s="12"/>
      <c r="Z32" s="13"/>
      <c r="AA32" s="11">
        <v>1.0</v>
      </c>
      <c r="AB32" s="12">
        <v>0.6152777777777778</v>
      </c>
      <c r="AC32" s="13">
        <v>0.6166666666666667</v>
      </c>
      <c r="AD32" s="11"/>
      <c r="AE32" s="18"/>
      <c r="AF32" s="38"/>
      <c r="AG32" s="11">
        <v>1.0</v>
      </c>
      <c r="AH32" s="12">
        <v>0.7277777777777777</v>
      </c>
      <c r="AI32" s="13">
        <v>0.7284722222222222</v>
      </c>
      <c r="AJ32" s="11"/>
      <c r="AK32" s="12"/>
      <c r="AL32" s="13"/>
      <c r="AM32" s="11"/>
      <c r="AN32" s="12"/>
      <c r="AO32" s="13"/>
      <c r="AP32" s="11"/>
      <c r="AQ32" s="12"/>
      <c r="AR32" s="13"/>
      <c r="AS32" s="11"/>
      <c r="AT32" s="12"/>
      <c r="AU32" s="13"/>
      <c r="AV32" s="11"/>
      <c r="AW32" s="12"/>
      <c r="AX32" s="13"/>
      <c r="AY32" s="11"/>
      <c r="AZ32" s="18"/>
    </row>
    <row r="33" ht="15.75" customHeight="1">
      <c r="A33" s="7"/>
      <c r="B33" s="47">
        <v>538.0</v>
      </c>
      <c r="C33" s="11">
        <v>122.0</v>
      </c>
      <c r="D33" s="12">
        <v>0.2701388888888889</v>
      </c>
      <c r="E33" s="13">
        <v>0.2708333333333333</v>
      </c>
      <c r="F33" s="64">
        <v>128.0</v>
      </c>
      <c r="G33" s="65">
        <v>0.33194444444444443</v>
      </c>
      <c r="H33" s="66">
        <v>0.33194444444444443</v>
      </c>
      <c r="I33" s="11">
        <v>136.0</v>
      </c>
      <c r="J33" s="12">
        <v>0.4083333333333333</v>
      </c>
      <c r="K33" s="13">
        <v>0.41597222222222224</v>
      </c>
      <c r="L33" s="11"/>
      <c r="M33" s="12"/>
      <c r="N33" s="13"/>
      <c r="O33" s="38"/>
      <c r="P33" s="12"/>
      <c r="Q33" s="13"/>
      <c r="R33" s="11"/>
      <c r="S33" s="18"/>
      <c r="T33" s="38"/>
      <c r="U33" s="11"/>
      <c r="V33" s="18"/>
      <c r="W33" s="38"/>
      <c r="X33" s="11"/>
      <c r="Y33" s="12"/>
      <c r="Z33" s="13"/>
      <c r="AA33" s="11">
        <v>107.0</v>
      </c>
      <c r="AB33" s="12">
        <v>0.8923611111111112</v>
      </c>
      <c r="AC33" s="13">
        <v>0.8965277777777778</v>
      </c>
      <c r="AD33" s="11"/>
      <c r="AE33" s="18"/>
      <c r="AF33" s="38"/>
      <c r="AG33" s="11">
        <v>103.0</v>
      </c>
      <c r="AH33" s="12">
        <v>0.09861111111111111</v>
      </c>
      <c r="AI33" s="13">
        <v>0.10486111111111111</v>
      </c>
      <c r="AJ33" s="11"/>
      <c r="AK33" s="12"/>
      <c r="AL33" s="13"/>
      <c r="AM33" s="11"/>
      <c r="AN33" s="12"/>
      <c r="AO33" s="13"/>
      <c r="AP33" s="11"/>
      <c r="AQ33" s="12"/>
      <c r="AR33" s="13"/>
      <c r="AS33" s="11"/>
      <c r="AT33" s="12"/>
      <c r="AU33" s="13"/>
      <c r="AV33" s="11"/>
      <c r="AW33" s="12"/>
      <c r="AX33" s="13"/>
      <c r="AY33" s="11"/>
      <c r="AZ33" s="18"/>
    </row>
    <row r="34" ht="15.75" customHeight="1">
      <c r="A34" s="7"/>
      <c r="B34" s="47">
        <v>539.0</v>
      </c>
      <c r="C34" s="11">
        <v>182.0</v>
      </c>
      <c r="D34" s="12">
        <v>0.2777777777777778</v>
      </c>
      <c r="E34" s="13">
        <v>0.27847222222222223</v>
      </c>
      <c r="F34" s="64">
        <v>186.0</v>
      </c>
      <c r="G34" s="65">
        <v>0.3458333333333333</v>
      </c>
      <c r="H34" s="66">
        <v>0.3458333333333333</v>
      </c>
      <c r="I34" s="11">
        <v>177.0</v>
      </c>
      <c r="J34" s="12">
        <v>0.42430555555555555</v>
      </c>
      <c r="K34" s="13">
        <v>0.42986111111111114</v>
      </c>
      <c r="L34" s="11"/>
      <c r="M34" s="12"/>
      <c r="N34" s="13"/>
      <c r="O34" s="38"/>
      <c r="P34" s="12"/>
      <c r="Q34" s="13"/>
      <c r="R34" s="11"/>
      <c r="S34" s="18"/>
      <c r="T34" s="38"/>
      <c r="U34" s="11"/>
      <c r="V34" s="18"/>
      <c r="W34" s="38"/>
      <c r="X34" s="11"/>
      <c r="Y34" s="12"/>
      <c r="Z34" s="13"/>
      <c r="AA34" s="11"/>
      <c r="AB34" s="12"/>
      <c r="AC34" s="38"/>
      <c r="AD34" s="11"/>
      <c r="AE34" s="18"/>
      <c r="AF34" s="38"/>
      <c r="AG34" s="11"/>
      <c r="AH34" s="18"/>
      <c r="AI34" s="38"/>
      <c r="AJ34" s="11"/>
      <c r="AK34" s="12"/>
      <c r="AL34" s="13"/>
      <c r="AM34" s="11"/>
      <c r="AN34" s="12"/>
      <c r="AO34" s="13"/>
      <c r="AP34" s="11"/>
      <c r="AQ34" s="12"/>
      <c r="AR34" s="13"/>
      <c r="AS34" s="11"/>
      <c r="AT34" s="12"/>
      <c r="AU34" s="13"/>
      <c r="AV34" s="11"/>
      <c r="AW34" s="12"/>
      <c r="AX34" s="13"/>
      <c r="AY34" s="11"/>
      <c r="AZ34" s="12"/>
    </row>
    <row r="35" ht="15.75" customHeight="1">
      <c r="A35" s="7"/>
      <c r="B35" s="47">
        <v>540.0</v>
      </c>
      <c r="C35" s="11">
        <v>193.0</v>
      </c>
      <c r="D35" s="12">
        <v>0.28125</v>
      </c>
      <c r="E35" s="13">
        <v>0.28194444444444444</v>
      </c>
      <c r="F35" s="64">
        <v>191.0</v>
      </c>
      <c r="G35" s="65">
        <v>0.35347222222222224</v>
      </c>
      <c r="H35" s="66">
        <v>0.35347222222222224</v>
      </c>
      <c r="I35" s="11">
        <v>194.0</v>
      </c>
      <c r="J35" s="12">
        <v>0.44305555555555554</v>
      </c>
      <c r="K35" s="13">
        <v>0.45208333333333334</v>
      </c>
      <c r="L35" s="11"/>
      <c r="M35" s="12"/>
      <c r="N35" s="13"/>
      <c r="O35" s="38"/>
      <c r="P35" s="12"/>
      <c r="Q35" s="13"/>
      <c r="R35" s="11"/>
      <c r="S35" s="18"/>
      <c r="T35" s="38"/>
      <c r="U35" s="11"/>
      <c r="V35" s="18"/>
      <c r="W35" s="38"/>
      <c r="X35" s="11"/>
      <c r="Y35" s="12"/>
      <c r="Z35" s="13"/>
      <c r="AA35" s="11" t="s">
        <v>178</v>
      </c>
      <c r="AB35" s="18"/>
      <c r="AC35" s="38"/>
      <c r="AD35" s="11"/>
      <c r="AE35" s="18"/>
      <c r="AF35" s="38"/>
      <c r="AG35" s="11"/>
      <c r="AH35" s="18"/>
      <c r="AI35" s="38"/>
      <c r="AJ35" s="11"/>
      <c r="AK35" s="12"/>
      <c r="AL35" s="13"/>
      <c r="AM35" s="11"/>
      <c r="AN35" s="12"/>
      <c r="AO35" s="13"/>
      <c r="AP35" s="11"/>
      <c r="AQ35" s="12"/>
      <c r="AR35" s="13"/>
      <c r="AS35" s="11"/>
      <c r="AT35" s="12"/>
      <c r="AU35" s="13"/>
      <c r="AV35" s="11"/>
      <c r="AW35" s="12"/>
      <c r="AX35" s="13"/>
      <c r="AY35" s="11"/>
      <c r="AZ35" s="18"/>
    </row>
    <row r="36" ht="15.75" customHeight="1">
      <c r="A36" s="7"/>
      <c r="B36" s="47">
        <v>541.0</v>
      </c>
      <c r="C36" s="11">
        <v>155.0</v>
      </c>
      <c r="D36" s="12">
        <v>0.2743055555555556</v>
      </c>
      <c r="E36" s="13">
        <v>0.275</v>
      </c>
      <c r="F36" s="64">
        <v>157.0</v>
      </c>
      <c r="G36" s="65">
        <v>0.33819444444444446</v>
      </c>
      <c r="H36" s="66">
        <v>0.33819444444444446</v>
      </c>
      <c r="I36" s="11">
        <v>183.0</v>
      </c>
      <c r="J36" s="12">
        <v>0.42777777777777776</v>
      </c>
      <c r="K36" s="13">
        <v>0.4326388888888889</v>
      </c>
      <c r="L36" s="11"/>
      <c r="M36" s="12"/>
      <c r="N36" s="13"/>
      <c r="O36" s="38"/>
      <c r="P36" s="12"/>
      <c r="Q36" s="13"/>
      <c r="R36" s="11"/>
      <c r="S36" s="18"/>
      <c r="T36" s="38"/>
      <c r="U36" s="11"/>
      <c r="V36" s="18"/>
      <c r="W36" s="38"/>
      <c r="X36" s="11"/>
      <c r="Y36" s="12"/>
      <c r="Z36" s="13"/>
      <c r="AA36" s="11"/>
      <c r="AB36" s="18"/>
      <c r="AC36" s="13"/>
      <c r="AD36" s="11"/>
      <c r="AE36" s="18"/>
      <c r="AF36" s="38"/>
      <c r="AG36" s="11"/>
      <c r="AH36" s="18"/>
      <c r="AI36" s="38"/>
      <c r="AJ36" s="11"/>
      <c r="AK36" s="12"/>
      <c r="AL36" s="13"/>
      <c r="AM36" s="11"/>
      <c r="AN36" s="12"/>
      <c r="AO36" s="13"/>
      <c r="AP36" s="11"/>
      <c r="AQ36" s="12"/>
      <c r="AR36" s="13"/>
      <c r="AS36" s="11"/>
      <c r="AT36" s="12"/>
      <c r="AU36" s="13"/>
      <c r="AV36" s="11"/>
      <c r="AW36" s="12"/>
      <c r="AX36" s="13"/>
      <c r="AY36" s="11"/>
      <c r="AZ36" s="18"/>
    </row>
    <row r="37" ht="15.75" customHeight="1">
      <c r="A37" s="7"/>
      <c r="B37" s="47">
        <v>542.0</v>
      </c>
      <c r="C37" s="11">
        <v>145.0</v>
      </c>
      <c r="D37" s="12">
        <v>0.27152777777777776</v>
      </c>
      <c r="E37" s="13">
        <v>0.2722222222222222</v>
      </c>
      <c r="F37" s="64">
        <v>121.0</v>
      </c>
      <c r="G37" s="65">
        <v>0.33055555555555555</v>
      </c>
      <c r="H37" s="66">
        <v>0.33055555555555555</v>
      </c>
      <c r="I37" s="11">
        <v>114.0</v>
      </c>
      <c r="J37" s="12">
        <v>0.40069444444444446</v>
      </c>
      <c r="K37" s="13">
        <v>0.4097222222222222</v>
      </c>
      <c r="L37" s="11"/>
      <c r="M37" s="12"/>
      <c r="N37" s="13"/>
      <c r="O37" s="38"/>
      <c r="P37" s="12"/>
      <c r="Q37" s="13"/>
      <c r="R37" s="11"/>
      <c r="S37" s="18"/>
      <c r="T37" s="13"/>
      <c r="U37" s="11"/>
      <c r="V37" s="12"/>
      <c r="W37" s="13"/>
      <c r="X37" s="11"/>
      <c r="Y37" s="12"/>
      <c r="Z37" s="13"/>
      <c r="AA37" s="11"/>
      <c r="AB37" s="18"/>
      <c r="AC37" s="38"/>
      <c r="AD37" s="11"/>
      <c r="AE37" s="12"/>
      <c r="AF37" s="13"/>
      <c r="AG37" s="11"/>
      <c r="AH37" s="12"/>
      <c r="AI37" s="13"/>
      <c r="AJ37" s="11"/>
      <c r="AK37" s="12"/>
      <c r="AL37" s="13"/>
      <c r="AM37" s="11"/>
      <c r="AN37" s="12"/>
      <c r="AO37" s="13"/>
      <c r="AP37" s="11"/>
      <c r="AQ37" s="12"/>
      <c r="AR37" s="13"/>
      <c r="AS37" s="11"/>
      <c r="AT37" s="12"/>
      <c r="AU37" s="13"/>
      <c r="AV37" s="11"/>
      <c r="AW37" s="12"/>
      <c r="AX37" s="13"/>
      <c r="AY37" s="11"/>
      <c r="AZ37" s="18"/>
    </row>
    <row r="38" ht="15.75" customHeight="1">
      <c r="A38" s="7"/>
      <c r="B38" s="47">
        <v>543.0</v>
      </c>
      <c r="C38" s="11">
        <v>26.0</v>
      </c>
      <c r="D38" s="12">
        <v>0.25972222222222224</v>
      </c>
      <c r="E38" s="13">
        <v>0.2604166666666667</v>
      </c>
      <c r="F38" s="64">
        <v>25.0</v>
      </c>
      <c r="G38" s="65">
        <v>0.30694444444444446</v>
      </c>
      <c r="H38" s="66">
        <v>0.30694444444444446</v>
      </c>
      <c r="I38" s="11">
        <v>24.0</v>
      </c>
      <c r="J38" s="12">
        <v>0.3638888888888889</v>
      </c>
      <c r="K38" s="13">
        <v>0.36736111111111114</v>
      </c>
      <c r="L38" s="11"/>
      <c r="M38" s="12"/>
      <c r="N38" s="13"/>
      <c r="O38" s="38"/>
      <c r="P38" s="12"/>
      <c r="Q38" s="13"/>
      <c r="R38" s="11"/>
      <c r="S38" s="18"/>
      <c r="T38" s="13"/>
      <c r="U38" s="11"/>
      <c r="V38" s="12"/>
      <c r="W38" s="13"/>
      <c r="X38" s="11"/>
      <c r="Y38" s="12"/>
      <c r="Z38" s="13"/>
      <c r="AA38" s="11">
        <v>14.0</v>
      </c>
      <c r="AB38" s="12">
        <v>0.7402777777777778</v>
      </c>
      <c r="AC38" s="13">
        <v>0.7430555555555556</v>
      </c>
      <c r="AD38" s="11"/>
      <c r="AE38" s="12"/>
      <c r="AF38" s="13"/>
      <c r="AG38" s="11">
        <v>12.0</v>
      </c>
      <c r="AH38" s="12">
        <v>0.875</v>
      </c>
      <c r="AI38" s="13">
        <v>0.8805555555555555</v>
      </c>
      <c r="AJ38" s="11"/>
      <c r="AK38" s="12"/>
      <c r="AL38" s="13"/>
      <c r="AM38" s="11"/>
      <c r="AN38" s="12"/>
      <c r="AO38" s="13"/>
      <c r="AP38" s="11"/>
      <c r="AQ38" s="12"/>
      <c r="AR38" s="13"/>
      <c r="AS38" s="11"/>
      <c r="AT38" s="12"/>
      <c r="AU38" s="13"/>
      <c r="AV38" s="11"/>
      <c r="AW38" s="12"/>
      <c r="AX38" s="13"/>
      <c r="AY38" s="11"/>
      <c r="AZ38" s="12"/>
    </row>
    <row r="39" ht="15.75" customHeight="1">
      <c r="A39" s="7"/>
      <c r="B39" s="47">
        <v>545.0</v>
      </c>
      <c r="C39" s="11">
        <v>143.0</v>
      </c>
      <c r="D39" s="12">
        <v>0.27152777777777776</v>
      </c>
      <c r="E39" s="13">
        <v>0.2722222222222222</v>
      </c>
      <c r="F39" s="64">
        <v>152.0</v>
      </c>
      <c r="G39" s="65">
        <v>0.3368055555555556</v>
      </c>
      <c r="H39" s="66">
        <v>0.3368055555555556</v>
      </c>
      <c r="I39" s="11"/>
      <c r="J39" s="12"/>
      <c r="K39" s="38"/>
      <c r="L39" s="11"/>
      <c r="M39" s="12"/>
      <c r="N39" s="13"/>
      <c r="O39" s="38"/>
      <c r="P39" s="12"/>
      <c r="Q39" s="13"/>
      <c r="R39" s="11"/>
      <c r="S39" s="18"/>
      <c r="T39" s="13"/>
      <c r="U39" s="11"/>
      <c r="V39" s="12"/>
      <c r="W39" s="13"/>
      <c r="X39" s="11"/>
      <c r="Y39" s="12"/>
      <c r="Z39" s="13"/>
      <c r="AA39" s="11">
        <v>119.0</v>
      </c>
      <c r="AB39" s="12">
        <v>0.9097222222222222</v>
      </c>
      <c r="AC39" s="13">
        <v>0.9166666666666666</v>
      </c>
      <c r="AD39" s="11"/>
      <c r="AE39" s="12"/>
      <c r="AF39" s="13"/>
      <c r="AG39" s="11">
        <v>111.0</v>
      </c>
      <c r="AH39" s="12">
        <v>0.11666666666666667</v>
      </c>
      <c r="AI39" s="13">
        <v>0.12013888888888889</v>
      </c>
      <c r="AJ39" s="11"/>
      <c r="AK39" s="12"/>
      <c r="AL39" s="13"/>
      <c r="AM39" s="11"/>
      <c r="AN39" s="12"/>
      <c r="AO39" s="13"/>
      <c r="AP39" s="11"/>
      <c r="AQ39" s="12"/>
      <c r="AR39" s="13"/>
      <c r="AS39" s="11"/>
      <c r="AT39" s="12"/>
      <c r="AU39" s="13"/>
      <c r="AV39" s="11"/>
      <c r="AW39" s="12"/>
      <c r="AX39" s="13"/>
      <c r="AY39" s="11"/>
      <c r="AZ39" s="12"/>
    </row>
    <row r="40" ht="15.75" customHeight="1">
      <c r="A40" s="7"/>
      <c r="B40" s="47">
        <v>545.0</v>
      </c>
      <c r="C40" s="11">
        <v>166.0</v>
      </c>
      <c r="D40" s="12">
        <v>0.2743055555555556</v>
      </c>
      <c r="E40" s="13">
        <v>0.275</v>
      </c>
      <c r="F40" s="64">
        <v>160.0</v>
      </c>
      <c r="G40" s="65">
        <v>0.3388888888888889</v>
      </c>
      <c r="H40" s="66">
        <v>0.3388888888888889</v>
      </c>
      <c r="I40" s="11">
        <v>146.0</v>
      </c>
      <c r="J40" s="12">
        <v>0.4125</v>
      </c>
      <c r="K40" s="13">
        <v>0.42083333333333334</v>
      </c>
      <c r="L40" s="11"/>
      <c r="M40" s="12"/>
      <c r="N40" s="13"/>
      <c r="R40" s="11"/>
      <c r="S40" s="18"/>
      <c r="T40" s="38"/>
      <c r="U40" s="11"/>
      <c r="V40" s="18"/>
      <c r="W40" s="38"/>
      <c r="X40" s="11"/>
      <c r="Y40" s="18"/>
      <c r="Z40" s="38"/>
      <c r="AA40" s="11">
        <v>70.0</v>
      </c>
      <c r="AB40" s="12">
        <v>0.8388888888888889</v>
      </c>
      <c r="AC40" s="13">
        <v>0.8430555555555556</v>
      </c>
      <c r="AD40" s="11"/>
      <c r="AE40" s="18"/>
      <c r="AF40" s="38"/>
      <c r="AG40" s="11"/>
      <c r="AH40" s="18"/>
      <c r="AI40" s="38"/>
      <c r="AJ40" s="11"/>
      <c r="AK40" s="18"/>
      <c r="AL40" s="38"/>
      <c r="AM40" s="11"/>
      <c r="AN40" s="18"/>
      <c r="AO40" s="38"/>
      <c r="AP40" s="11"/>
      <c r="AQ40" s="18"/>
      <c r="AR40" s="38"/>
      <c r="AS40" s="11"/>
      <c r="AT40" s="18"/>
      <c r="AU40" s="38"/>
      <c r="AV40" s="11"/>
      <c r="AW40" s="18"/>
      <c r="AX40" s="38"/>
      <c r="AY40" s="11"/>
      <c r="AZ40" s="12"/>
    </row>
    <row r="41" ht="15.75" customHeight="1">
      <c r="A41" s="7"/>
      <c r="B41" s="47">
        <v>546.0</v>
      </c>
      <c r="C41" s="11">
        <v>100.0</v>
      </c>
      <c r="D41" s="12">
        <v>0.26805555555555555</v>
      </c>
      <c r="E41" s="13">
        <v>0.26875</v>
      </c>
      <c r="F41" s="64">
        <v>88.0</v>
      </c>
      <c r="G41" s="65">
        <v>0.32430555555555557</v>
      </c>
      <c r="H41" s="66">
        <v>0.32430555555555557</v>
      </c>
      <c r="I41" s="11">
        <v>84.0</v>
      </c>
      <c r="J41" s="12">
        <v>0.38819444444444445</v>
      </c>
      <c r="K41" s="13">
        <v>0.39166666666666666</v>
      </c>
      <c r="L41" s="11"/>
      <c r="M41" s="12"/>
      <c r="N41" s="13"/>
      <c r="O41" s="38"/>
      <c r="P41" s="12"/>
      <c r="Q41" s="13"/>
      <c r="R41" s="11"/>
      <c r="S41" s="18"/>
      <c r="T41" s="13"/>
      <c r="U41" s="11"/>
      <c r="V41" s="12"/>
      <c r="W41" s="13"/>
      <c r="X41" s="11"/>
      <c r="Y41" s="12"/>
      <c r="Z41" s="13"/>
      <c r="AA41" s="11">
        <v>76.0</v>
      </c>
      <c r="AB41" s="12">
        <v>0.8402777777777778</v>
      </c>
      <c r="AC41" s="13">
        <v>0.8451388888888889</v>
      </c>
      <c r="AD41" s="11"/>
      <c r="AE41" s="12"/>
      <c r="AF41" s="13"/>
      <c r="AG41" s="11">
        <v>56.0</v>
      </c>
      <c r="AH41" s="12">
        <v>0.011805555555555555</v>
      </c>
      <c r="AI41" s="13">
        <v>0.01875</v>
      </c>
      <c r="AJ41" s="11"/>
      <c r="AK41" s="12"/>
      <c r="AL41" s="13"/>
      <c r="AM41" s="11"/>
      <c r="AN41" s="12"/>
      <c r="AO41" s="13"/>
      <c r="AP41" s="11"/>
      <c r="AQ41" s="12"/>
      <c r="AR41" s="13"/>
      <c r="AS41" s="11"/>
      <c r="AT41" s="12"/>
      <c r="AU41" s="13"/>
      <c r="AV41" s="11"/>
      <c r="AW41" s="12"/>
      <c r="AX41" s="13"/>
      <c r="AY41" s="11"/>
      <c r="AZ41" s="18"/>
    </row>
    <row r="42" ht="15.75" customHeight="1">
      <c r="A42" s="7"/>
      <c r="B42" s="47">
        <v>547.0</v>
      </c>
      <c r="C42" s="11">
        <v>107.0</v>
      </c>
      <c r="D42" s="12">
        <v>0.26944444444444443</v>
      </c>
      <c r="E42" s="13">
        <v>0.2701388888888889</v>
      </c>
      <c r="F42" s="64">
        <v>103.0</v>
      </c>
      <c r="G42" s="65">
        <v>0.32569444444444445</v>
      </c>
      <c r="H42" s="66">
        <v>0.32569444444444445</v>
      </c>
      <c r="I42" s="11">
        <v>102.0</v>
      </c>
      <c r="J42" s="12">
        <v>0.39652777777777776</v>
      </c>
      <c r="K42" s="13">
        <v>0.40208333333333335</v>
      </c>
      <c r="L42" s="11"/>
      <c r="M42" s="12"/>
      <c r="N42" s="13"/>
      <c r="O42" s="38"/>
      <c r="P42" s="12"/>
      <c r="Q42" s="13"/>
      <c r="R42" s="11"/>
      <c r="S42" s="18"/>
      <c r="T42" s="13"/>
      <c r="U42" s="11"/>
      <c r="V42" s="12"/>
      <c r="W42" s="13"/>
      <c r="X42" s="11"/>
      <c r="Y42" s="12"/>
      <c r="Z42" s="13"/>
      <c r="AA42" s="11">
        <v>112.0</v>
      </c>
      <c r="AB42" s="12">
        <v>0.9027777777777778</v>
      </c>
      <c r="AC42" s="13">
        <v>0.9083333333333333</v>
      </c>
      <c r="AD42" s="11"/>
      <c r="AE42" s="12"/>
      <c r="AF42" s="13"/>
      <c r="AG42" s="11">
        <v>67.0</v>
      </c>
      <c r="AH42" s="12">
        <v>0.024305555555555556</v>
      </c>
      <c r="AI42" s="13">
        <v>0.027083333333333334</v>
      </c>
      <c r="AJ42" s="11"/>
      <c r="AK42" s="12"/>
      <c r="AL42" s="13"/>
      <c r="AM42" s="11"/>
      <c r="AN42" s="12"/>
      <c r="AO42" s="38"/>
      <c r="AP42" s="11"/>
      <c r="AQ42" s="12"/>
      <c r="AR42" s="13"/>
      <c r="AS42" s="11"/>
      <c r="AT42" s="12"/>
      <c r="AU42" s="13"/>
      <c r="AV42" s="11"/>
      <c r="AW42" s="12"/>
      <c r="AX42" s="13"/>
      <c r="AY42" s="11"/>
      <c r="AZ42" s="18"/>
    </row>
    <row r="43" ht="15.75" customHeight="1">
      <c r="A43" s="7"/>
      <c r="B43" s="47">
        <v>548.0</v>
      </c>
      <c r="C43" s="11"/>
      <c r="D43" s="12"/>
      <c r="E43" s="13"/>
      <c r="F43" s="64"/>
      <c r="G43" s="65"/>
      <c r="H43" s="66"/>
      <c r="I43" s="11">
        <v>130.0</v>
      </c>
      <c r="J43" s="12">
        <v>0.40555555555555556</v>
      </c>
      <c r="K43" s="12">
        <v>0.4097222222222222</v>
      </c>
      <c r="L43" s="11"/>
      <c r="M43" s="12"/>
      <c r="N43" s="13"/>
      <c r="O43" s="38"/>
      <c r="P43" s="12"/>
      <c r="Q43" s="13"/>
      <c r="R43" s="11"/>
      <c r="S43" s="18"/>
      <c r="T43" s="38"/>
      <c r="U43" s="11"/>
      <c r="V43" s="18"/>
      <c r="W43" s="38"/>
      <c r="X43" s="11"/>
      <c r="Y43" s="12"/>
      <c r="Z43" s="13"/>
      <c r="AA43" s="11">
        <v>77.0</v>
      </c>
      <c r="AB43" s="12">
        <v>0.8513888888888889</v>
      </c>
      <c r="AC43" s="13">
        <v>0.8451388888888889</v>
      </c>
      <c r="AD43" s="11"/>
      <c r="AE43" s="18"/>
      <c r="AF43" s="38"/>
      <c r="AG43" s="11">
        <v>104.0</v>
      </c>
      <c r="AH43" s="12">
        <v>0.09930555555555555</v>
      </c>
      <c r="AI43" s="13">
        <v>0.10416666666666667</v>
      </c>
      <c r="AJ43" s="11"/>
      <c r="AK43" s="12"/>
      <c r="AL43" s="13"/>
      <c r="AM43" s="11"/>
      <c r="AN43" s="12"/>
      <c r="AO43" s="13"/>
      <c r="AP43" s="11"/>
      <c r="AQ43" s="12"/>
      <c r="AR43" s="13"/>
      <c r="AS43" s="11"/>
      <c r="AT43" s="12"/>
      <c r="AU43" s="13"/>
      <c r="AV43" s="11"/>
      <c r="AW43" s="12"/>
      <c r="AX43" s="13"/>
      <c r="AY43" s="11"/>
      <c r="AZ43" s="18"/>
    </row>
    <row r="44" ht="15.75" customHeight="1">
      <c r="A44" s="7"/>
      <c r="B44" s="47">
        <v>549.0</v>
      </c>
      <c r="C44" s="11">
        <v>106.0</v>
      </c>
      <c r="D44" s="12">
        <v>0.26944444444444443</v>
      </c>
      <c r="E44" s="13">
        <v>0.2701388888888889</v>
      </c>
      <c r="F44" s="64">
        <v>113.0</v>
      </c>
      <c r="G44" s="65">
        <v>0.32569444444444445</v>
      </c>
      <c r="H44" s="66">
        <v>0.32569444444444445</v>
      </c>
      <c r="I44" s="11">
        <v>104.0</v>
      </c>
      <c r="J44" s="12">
        <v>0.3972222222222222</v>
      </c>
      <c r="K44" s="13">
        <v>0.40208333333333335</v>
      </c>
      <c r="L44" s="11"/>
      <c r="M44" s="12"/>
      <c r="N44" s="13"/>
      <c r="O44" s="38"/>
      <c r="P44" s="12"/>
      <c r="Q44" s="13"/>
      <c r="R44" s="11"/>
      <c r="S44" s="18"/>
      <c r="T44" s="38"/>
      <c r="U44" s="11"/>
      <c r="V44" s="18"/>
      <c r="W44" s="38"/>
      <c r="X44" s="11"/>
      <c r="Y44" s="12"/>
      <c r="Z44" s="13"/>
      <c r="AA44" s="11">
        <v>62.0</v>
      </c>
      <c r="AB44" s="12">
        <v>0.8222222222222222</v>
      </c>
      <c r="AC44" s="13">
        <v>0.8236111111111111</v>
      </c>
      <c r="AD44" s="11"/>
      <c r="AE44" s="18"/>
      <c r="AF44" s="38"/>
      <c r="AG44" s="11">
        <v>65.0</v>
      </c>
      <c r="AH44" s="12">
        <v>0.021527777777777778</v>
      </c>
      <c r="AI44" s="13">
        <v>0.024305555555555556</v>
      </c>
      <c r="AJ44" s="11"/>
      <c r="AK44" s="12"/>
      <c r="AL44" s="13"/>
      <c r="AM44" s="11"/>
      <c r="AN44" s="12"/>
      <c r="AO44" s="13"/>
      <c r="AP44" s="11"/>
      <c r="AQ44" s="12"/>
      <c r="AR44" s="13"/>
      <c r="AS44" s="11"/>
      <c r="AT44" s="12"/>
      <c r="AU44" s="13"/>
      <c r="AV44" s="11"/>
      <c r="AW44" s="12"/>
      <c r="AX44" s="13"/>
      <c r="AY44" s="11"/>
      <c r="AZ44" s="12"/>
    </row>
    <row r="45" ht="15.75" customHeight="1">
      <c r="A45" s="7"/>
      <c r="B45" s="47">
        <v>550.0</v>
      </c>
      <c r="C45" s="11">
        <v>76.0</v>
      </c>
      <c r="D45" s="12">
        <v>0.2659722222222222</v>
      </c>
      <c r="E45" s="13">
        <v>0.26666666666666666</v>
      </c>
      <c r="F45" s="64">
        <v>76.0</v>
      </c>
      <c r="G45" s="65">
        <v>0.32083333333333336</v>
      </c>
      <c r="H45" s="66">
        <v>0.32083333333333336</v>
      </c>
      <c r="I45" s="11">
        <v>82.0</v>
      </c>
      <c r="J45" s="12">
        <v>0.38819444444444445</v>
      </c>
      <c r="K45" s="13">
        <v>0.39652777777777776</v>
      </c>
      <c r="L45" s="11"/>
      <c r="M45" s="12"/>
      <c r="N45" s="13"/>
      <c r="O45" s="38"/>
      <c r="P45" s="12"/>
      <c r="Q45" s="13"/>
      <c r="R45" s="11"/>
      <c r="S45" s="18"/>
      <c r="T45" s="38"/>
      <c r="U45" s="11"/>
      <c r="V45" s="18"/>
      <c r="W45" s="38"/>
      <c r="X45" s="11"/>
      <c r="Y45" s="12"/>
      <c r="Z45" s="13"/>
      <c r="AA45" s="11"/>
      <c r="AB45" s="12"/>
      <c r="AC45" s="13"/>
      <c r="AD45" s="11"/>
      <c r="AE45" s="12"/>
      <c r="AF45" s="38"/>
      <c r="AG45" s="11">
        <v>51.0</v>
      </c>
      <c r="AH45" s="12">
        <v>0.9979166666666667</v>
      </c>
      <c r="AI45" s="13">
        <v>0.003472222222222222</v>
      </c>
      <c r="AJ45" s="11"/>
      <c r="AK45" s="12"/>
      <c r="AL45" s="38"/>
      <c r="AM45" s="11"/>
      <c r="AN45" s="12"/>
      <c r="AO45" s="38"/>
      <c r="AP45" s="11"/>
      <c r="AQ45" s="12"/>
      <c r="AR45" s="38"/>
      <c r="AS45" s="11"/>
      <c r="AT45" s="12"/>
      <c r="AU45" s="38"/>
      <c r="AV45" s="11"/>
      <c r="AW45" s="12"/>
      <c r="AX45" s="38"/>
      <c r="AY45" s="11"/>
      <c r="AZ45" s="12"/>
    </row>
    <row r="46" ht="15.75" customHeight="1">
      <c r="A46" s="7"/>
      <c r="B46" s="47">
        <v>552.0</v>
      </c>
      <c r="C46" s="11">
        <v>81.0</v>
      </c>
      <c r="D46" s="12">
        <v>0.2659722222222222</v>
      </c>
      <c r="E46" s="13">
        <v>0.26666666666666666</v>
      </c>
      <c r="F46" s="64">
        <v>90.0</v>
      </c>
      <c r="G46" s="65">
        <v>0.32430555555555557</v>
      </c>
      <c r="H46" s="66">
        <v>0.32430555555555557</v>
      </c>
      <c r="I46" s="11">
        <v>124.0</v>
      </c>
      <c r="J46" s="12">
        <v>0.4041666666666667</v>
      </c>
      <c r="K46" s="38" t="s">
        <v>178</v>
      </c>
      <c r="L46" s="11"/>
      <c r="M46" s="12"/>
      <c r="N46" s="13"/>
      <c r="R46" s="11"/>
      <c r="S46" s="18"/>
      <c r="T46" s="38"/>
      <c r="U46" s="11"/>
      <c r="V46" s="18"/>
      <c r="W46" s="38"/>
      <c r="X46" s="11"/>
      <c r="Y46" s="12"/>
      <c r="Z46" s="13"/>
      <c r="AA46" s="11">
        <v>72.0</v>
      </c>
      <c r="AB46" s="12">
        <v>0.8388888888888889</v>
      </c>
      <c r="AC46" s="13">
        <v>0.8444444444444444</v>
      </c>
      <c r="AD46" s="11"/>
      <c r="AE46" s="18"/>
      <c r="AF46" s="38"/>
      <c r="AG46" s="11"/>
      <c r="AH46" s="18"/>
      <c r="AI46" s="38"/>
      <c r="AJ46" s="11"/>
      <c r="AK46" s="18"/>
      <c r="AL46" s="38"/>
      <c r="AM46" s="11"/>
      <c r="AN46" s="18"/>
      <c r="AO46" s="38"/>
      <c r="AP46" s="11"/>
      <c r="AQ46" s="18"/>
      <c r="AR46" s="38"/>
      <c r="AS46" s="11"/>
      <c r="AT46" s="18"/>
      <c r="AU46" s="38"/>
      <c r="AV46" s="11"/>
      <c r="AW46" s="18"/>
      <c r="AX46" s="38"/>
      <c r="AY46" s="11"/>
      <c r="AZ46" s="12"/>
    </row>
    <row r="47" ht="15.75" customHeight="1">
      <c r="A47" s="7"/>
      <c r="B47" s="47">
        <v>553.0</v>
      </c>
      <c r="C47" s="11">
        <v>93.0</v>
      </c>
      <c r="D47" s="12">
        <v>0.2673611111111111</v>
      </c>
      <c r="E47" s="13">
        <v>0.26805555555555555</v>
      </c>
      <c r="F47" s="64">
        <v>95.0</v>
      </c>
      <c r="G47" s="65">
        <v>0.32430555555555557</v>
      </c>
      <c r="H47" s="66">
        <v>0.32430555555555557</v>
      </c>
      <c r="I47" s="11">
        <v>98.0</v>
      </c>
      <c r="J47" s="12">
        <v>0.3958333333333333</v>
      </c>
      <c r="K47" s="13">
        <v>0.4</v>
      </c>
      <c r="L47" s="11"/>
      <c r="M47" s="12"/>
      <c r="N47" s="13"/>
      <c r="O47" s="38"/>
      <c r="P47" s="12"/>
      <c r="Q47" s="13"/>
      <c r="R47" s="11"/>
      <c r="S47" s="18"/>
      <c r="T47" s="38"/>
      <c r="U47" s="11"/>
      <c r="V47" s="18"/>
      <c r="W47" s="38"/>
      <c r="X47" s="11"/>
      <c r="Y47" s="12"/>
      <c r="Z47" s="13"/>
      <c r="AA47" s="11">
        <v>127.0</v>
      </c>
      <c r="AB47" s="12">
        <v>0.9194444444444444</v>
      </c>
      <c r="AC47" s="13">
        <v>0.925</v>
      </c>
      <c r="AD47" s="11"/>
      <c r="AE47" s="18"/>
      <c r="AF47" s="38"/>
      <c r="AG47" s="11">
        <v>79.0</v>
      </c>
      <c r="AH47" s="12">
        <v>0.043055555555555555</v>
      </c>
      <c r="AI47" s="13">
        <v>0.04722222222222222</v>
      </c>
      <c r="AJ47" s="11"/>
      <c r="AK47" s="12"/>
      <c r="AL47" s="13"/>
      <c r="AM47" s="11"/>
      <c r="AN47" s="12"/>
      <c r="AO47" s="13"/>
      <c r="AP47" s="11"/>
      <c r="AQ47" s="12"/>
      <c r="AR47" s="13"/>
      <c r="AS47" s="11"/>
      <c r="AT47" s="12"/>
      <c r="AU47" s="13"/>
      <c r="AV47" s="11"/>
      <c r="AW47" s="12"/>
      <c r="AX47" s="13"/>
      <c r="AY47" s="11"/>
      <c r="AZ47" s="12"/>
    </row>
    <row r="48" ht="15.75" customHeight="1">
      <c r="A48" s="7"/>
      <c r="B48" s="47">
        <v>554.0</v>
      </c>
      <c r="C48" s="11">
        <v>164.0</v>
      </c>
      <c r="D48" s="12">
        <v>0.2743055555555556</v>
      </c>
      <c r="E48" s="13">
        <v>0.275</v>
      </c>
      <c r="F48" s="64">
        <v>177.0</v>
      </c>
      <c r="G48" s="65">
        <v>0.34375</v>
      </c>
      <c r="H48" s="66">
        <v>0.34375</v>
      </c>
      <c r="I48" s="11">
        <v>171.0</v>
      </c>
      <c r="J48" s="12">
        <v>0.4222222222222222</v>
      </c>
      <c r="K48" s="13">
        <v>0.4284722222222222</v>
      </c>
      <c r="L48" s="11"/>
      <c r="M48" s="12"/>
      <c r="N48" s="13"/>
      <c r="O48" s="38"/>
      <c r="P48" s="12"/>
      <c r="Q48" s="13"/>
      <c r="R48" s="11"/>
      <c r="S48" s="18"/>
      <c r="T48" s="13"/>
      <c r="U48" s="11"/>
      <c r="V48" s="12"/>
      <c r="W48" s="13"/>
      <c r="X48" s="11"/>
      <c r="Y48" s="12"/>
      <c r="Z48" s="13"/>
      <c r="AA48" s="11">
        <v>122.0</v>
      </c>
      <c r="AB48" s="12">
        <v>0.9152777777777777</v>
      </c>
      <c r="AC48" s="13">
        <v>0.9180555555555555</v>
      </c>
      <c r="AD48" s="11"/>
      <c r="AE48" s="12"/>
      <c r="AF48" s="13"/>
      <c r="AG48" s="11">
        <v>123.0</v>
      </c>
      <c r="AH48" s="12">
        <v>0.13819444444444445</v>
      </c>
      <c r="AI48" s="13">
        <v>0.14722222222222223</v>
      </c>
      <c r="AJ48" s="11"/>
      <c r="AK48" s="12"/>
      <c r="AL48" s="13"/>
      <c r="AM48" s="11"/>
      <c r="AN48" s="12"/>
      <c r="AO48" s="13"/>
      <c r="AP48" s="11"/>
      <c r="AQ48" s="12"/>
      <c r="AR48" s="13"/>
      <c r="AS48" s="11"/>
      <c r="AT48" s="12"/>
      <c r="AU48" s="13"/>
      <c r="AV48" s="11"/>
      <c r="AW48" s="12"/>
      <c r="AX48" s="13"/>
      <c r="AY48" s="11"/>
      <c r="AZ48" s="12"/>
    </row>
    <row r="49" ht="15.75" customHeight="1">
      <c r="A49" s="7"/>
      <c r="B49" s="47">
        <v>556.0</v>
      </c>
      <c r="C49" s="11">
        <v>40.0</v>
      </c>
      <c r="D49" s="12">
        <v>0.2604166666666667</v>
      </c>
      <c r="E49" s="13">
        <v>0.26180555555555557</v>
      </c>
      <c r="F49" s="64">
        <v>35.0</v>
      </c>
      <c r="G49" s="65">
        <v>0.31180555555555556</v>
      </c>
      <c r="H49" s="66">
        <v>0.31180555555555556</v>
      </c>
      <c r="I49" s="11">
        <v>56.0</v>
      </c>
      <c r="J49" s="12">
        <v>0.3770833333333333</v>
      </c>
      <c r="K49" s="13">
        <v>0.38263888888888886</v>
      </c>
      <c r="L49" s="11"/>
      <c r="M49" s="12"/>
      <c r="N49" s="13"/>
      <c r="O49" s="38"/>
      <c r="P49" s="12"/>
      <c r="Q49" s="13"/>
      <c r="R49" s="11"/>
      <c r="S49" s="18"/>
      <c r="T49" s="38"/>
      <c r="U49" s="11"/>
      <c r="V49" s="18"/>
      <c r="W49" s="38"/>
      <c r="X49" s="11"/>
      <c r="Y49" s="18"/>
      <c r="Z49" s="38"/>
      <c r="AA49" s="11"/>
      <c r="AB49" s="12"/>
      <c r="AC49" s="13"/>
      <c r="AD49" s="11"/>
      <c r="AE49" s="18"/>
      <c r="AF49" s="38"/>
      <c r="AG49" s="11">
        <v>131.0</v>
      </c>
      <c r="AH49" s="12">
        <v>0.16458333333333333</v>
      </c>
      <c r="AI49" s="13">
        <v>0.16875</v>
      </c>
      <c r="AJ49" s="11"/>
      <c r="AK49" s="18"/>
      <c r="AL49" s="38"/>
      <c r="AM49" s="11"/>
      <c r="AN49" s="18"/>
      <c r="AO49" s="38"/>
      <c r="AP49" s="11"/>
      <c r="AQ49" s="18"/>
      <c r="AR49" s="38"/>
      <c r="AS49" s="11"/>
      <c r="AT49" s="18"/>
      <c r="AU49" s="38"/>
      <c r="AV49" s="11"/>
      <c r="AW49" s="18"/>
      <c r="AX49" s="38"/>
      <c r="AY49" s="11"/>
      <c r="AZ49" s="12"/>
    </row>
    <row r="50" ht="15.75" customHeight="1">
      <c r="A50" s="7"/>
      <c r="B50" s="47">
        <v>557.0</v>
      </c>
      <c r="C50" s="11">
        <v>142.0</v>
      </c>
      <c r="D50" s="12">
        <v>0.27152777777777776</v>
      </c>
      <c r="E50" s="13">
        <v>0.2722222222222222</v>
      </c>
      <c r="F50" s="64">
        <v>158.0</v>
      </c>
      <c r="G50" s="65">
        <v>0.33819444444444446</v>
      </c>
      <c r="H50" s="66">
        <v>0.33819444444444446</v>
      </c>
      <c r="I50" s="11">
        <v>166.0</v>
      </c>
      <c r="J50" s="12">
        <v>0.42083333333333334</v>
      </c>
      <c r="K50" s="38" t="s">
        <v>178</v>
      </c>
      <c r="L50" s="11"/>
      <c r="M50" s="12"/>
      <c r="N50" s="13"/>
      <c r="R50" s="11"/>
      <c r="S50" s="18"/>
      <c r="T50" s="13"/>
      <c r="U50" s="11"/>
      <c r="V50" s="12"/>
      <c r="W50" s="13"/>
      <c r="X50" s="11"/>
      <c r="Y50" s="12"/>
      <c r="Z50" s="13"/>
      <c r="AA50" s="11"/>
      <c r="AB50" s="18"/>
      <c r="AC50" s="13"/>
      <c r="AD50" s="11"/>
      <c r="AE50" s="12"/>
      <c r="AF50" s="13"/>
      <c r="AG50" s="11"/>
      <c r="AH50" s="12"/>
      <c r="AI50" s="13"/>
      <c r="AJ50" s="11"/>
      <c r="AK50" s="12"/>
      <c r="AL50" s="13"/>
      <c r="AM50" s="11"/>
      <c r="AN50" s="12"/>
      <c r="AO50" s="13"/>
      <c r="AP50" s="11"/>
      <c r="AQ50" s="12"/>
      <c r="AR50" s="13"/>
      <c r="AS50" s="11"/>
      <c r="AT50" s="12"/>
      <c r="AU50" s="13"/>
      <c r="AV50" s="11"/>
      <c r="AW50" s="12"/>
      <c r="AX50" s="13"/>
      <c r="AY50" s="11"/>
      <c r="AZ50" s="12"/>
    </row>
    <row r="51" ht="15.75" customHeight="1">
      <c r="A51" s="7"/>
      <c r="B51" s="47">
        <v>558.0</v>
      </c>
      <c r="C51" s="11">
        <v>156.0</v>
      </c>
      <c r="D51" s="12">
        <v>0.2743055555555556</v>
      </c>
      <c r="E51" s="13">
        <v>0.275</v>
      </c>
      <c r="F51" s="64">
        <v>171.0</v>
      </c>
      <c r="G51" s="65">
        <v>0.3388888888888889</v>
      </c>
      <c r="H51" s="66">
        <v>0.3388888888888889</v>
      </c>
      <c r="I51" s="11">
        <v>184.0</v>
      </c>
      <c r="J51" s="12">
        <v>0.42777777777777776</v>
      </c>
      <c r="K51" s="13">
        <v>0.43333333333333335</v>
      </c>
      <c r="L51" s="11"/>
      <c r="M51" s="12"/>
      <c r="N51" s="13"/>
      <c r="O51" s="38"/>
      <c r="P51" s="12"/>
      <c r="Q51" s="13"/>
      <c r="R51" s="11"/>
      <c r="S51" s="18"/>
      <c r="T51" s="13"/>
      <c r="U51" s="11"/>
      <c r="V51" s="12"/>
      <c r="W51" s="13"/>
      <c r="X51" s="11"/>
      <c r="Y51" s="12"/>
      <c r="Z51" s="13"/>
      <c r="AA51" s="11">
        <v>96.0</v>
      </c>
      <c r="AB51" s="12">
        <v>0.8777777777777778</v>
      </c>
      <c r="AC51" s="13">
        <v>0.8763888888888889</v>
      </c>
      <c r="AD51" s="11"/>
      <c r="AE51" s="12"/>
      <c r="AF51" s="13"/>
      <c r="AG51" s="11"/>
      <c r="AH51" s="12"/>
      <c r="AI51" s="13"/>
      <c r="AJ51" s="11"/>
      <c r="AK51" s="12"/>
      <c r="AL51" s="13"/>
      <c r="AM51" s="11"/>
      <c r="AN51" s="12"/>
      <c r="AO51" s="13"/>
      <c r="AP51" s="11"/>
      <c r="AQ51" s="12"/>
      <c r="AR51" s="13"/>
      <c r="AS51" s="11"/>
      <c r="AT51" s="12"/>
      <c r="AU51" s="13"/>
      <c r="AV51" s="11"/>
      <c r="AW51" s="12"/>
      <c r="AX51" s="13"/>
      <c r="AY51" s="11"/>
      <c r="AZ51" s="12"/>
    </row>
    <row r="52" ht="15.75" customHeight="1">
      <c r="A52" s="7"/>
      <c r="B52" s="47">
        <v>559.0</v>
      </c>
      <c r="C52" s="11">
        <v>176.0</v>
      </c>
      <c r="D52" s="12">
        <v>0.275</v>
      </c>
      <c r="E52" s="13">
        <v>0.27569444444444446</v>
      </c>
      <c r="F52" s="64">
        <v>139.0</v>
      </c>
      <c r="G52" s="65">
        <v>0.33402777777777776</v>
      </c>
      <c r="H52" s="66">
        <v>0.33402777777777776</v>
      </c>
      <c r="I52" s="11">
        <v>112.0</v>
      </c>
      <c r="J52" s="12">
        <v>0.40069444444444446</v>
      </c>
      <c r="K52" s="13">
        <v>0.41180555555555554</v>
      </c>
      <c r="L52" s="11"/>
      <c r="M52" s="12"/>
      <c r="N52" s="13"/>
      <c r="O52" s="38"/>
      <c r="P52" s="12"/>
      <c r="Q52" s="13"/>
      <c r="R52" s="11"/>
      <c r="S52" s="18"/>
      <c r="T52" s="38"/>
      <c r="U52" s="11"/>
      <c r="V52" s="18"/>
      <c r="W52" s="38"/>
      <c r="X52" s="11"/>
      <c r="Y52" s="18"/>
      <c r="Z52" s="38"/>
      <c r="AA52" s="11">
        <v>23.0</v>
      </c>
      <c r="AB52" s="12">
        <v>0.7493055555555556</v>
      </c>
      <c r="AC52" s="13">
        <v>0.7520833333333333</v>
      </c>
      <c r="AD52" s="11"/>
      <c r="AE52" s="18"/>
      <c r="AF52" s="38"/>
      <c r="AG52" s="11">
        <v>96.0</v>
      </c>
      <c r="AH52" s="12">
        <v>0.08611111111111111</v>
      </c>
      <c r="AI52" s="13">
        <v>0.09652777777777778</v>
      </c>
      <c r="AJ52" s="11"/>
      <c r="AK52" s="18"/>
      <c r="AL52" s="38"/>
      <c r="AM52" s="11"/>
      <c r="AN52" s="18"/>
      <c r="AO52" s="38"/>
      <c r="AP52" s="11"/>
      <c r="AQ52" s="18"/>
      <c r="AR52" s="38"/>
      <c r="AS52" s="11"/>
      <c r="AT52" s="18"/>
      <c r="AU52" s="38"/>
      <c r="AV52" s="11"/>
      <c r="AW52" s="18"/>
      <c r="AX52" s="38"/>
      <c r="AY52" s="11"/>
      <c r="AZ52" s="12"/>
    </row>
    <row r="53" ht="15.75" customHeight="1">
      <c r="A53" s="7"/>
      <c r="B53" s="47">
        <v>561.0</v>
      </c>
      <c r="C53" s="11">
        <v>36.0</v>
      </c>
      <c r="D53" s="12">
        <v>0.2604166666666667</v>
      </c>
      <c r="E53" s="13">
        <v>0.26180555555555557</v>
      </c>
      <c r="F53" s="64">
        <v>36.0</v>
      </c>
      <c r="G53" s="65">
        <v>0.31180555555555556</v>
      </c>
      <c r="H53" s="66">
        <v>0.31180555555555556</v>
      </c>
      <c r="I53" s="11">
        <v>38.0</v>
      </c>
      <c r="J53" s="12">
        <v>0.3715277777777778</v>
      </c>
      <c r="K53" s="13">
        <v>0.3770833333333333</v>
      </c>
      <c r="L53" s="11"/>
      <c r="M53" s="12"/>
      <c r="N53" s="13"/>
      <c r="O53" s="38"/>
      <c r="P53" s="12"/>
      <c r="Q53" s="13"/>
      <c r="R53" s="11"/>
      <c r="S53" s="18"/>
      <c r="T53" s="38"/>
      <c r="U53" s="11"/>
      <c r="V53" s="18"/>
      <c r="W53" s="38"/>
      <c r="X53" s="11"/>
      <c r="Y53" s="12"/>
      <c r="Z53" s="13"/>
      <c r="AA53" s="11">
        <v>41.0</v>
      </c>
      <c r="AB53" s="12">
        <v>0.7840277777777778</v>
      </c>
      <c r="AC53" s="13">
        <v>0.7861111111111111</v>
      </c>
      <c r="AD53" s="11"/>
      <c r="AE53" s="18"/>
      <c r="AF53" s="38"/>
      <c r="AG53" s="11">
        <v>19.0</v>
      </c>
      <c r="AH53" s="12">
        <v>0.8986111111111111</v>
      </c>
      <c r="AI53" s="13">
        <v>0.9006944444444445</v>
      </c>
      <c r="AJ53" s="11"/>
      <c r="AK53" s="12"/>
      <c r="AL53" s="13"/>
      <c r="AM53" s="11"/>
      <c r="AN53" s="12"/>
      <c r="AO53" s="13"/>
      <c r="AP53" s="11"/>
      <c r="AQ53" s="12"/>
      <c r="AR53" s="13"/>
      <c r="AS53" s="11"/>
      <c r="AT53" s="12"/>
      <c r="AU53" s="13"/>
      <c r="AV53" s="11"/>
      <c r="AW53" s="12"/>
      <c r="AX53" s="13"/>
      <c r="AY53" s="11"/>
      <c r="AZ53" s="12"/>
    </row>
    <row r="54" ht="15.75" customHeight="1">
      <c r="A54" s="7"/>
      <c r="B54" s="47">
        <v>562.0</v>
      </c>
      <c r="C54" s="11">
        <v>42.0</v>
      </c>
      <c r="D54" s="12">
        <v>0.2604166666666667</v>
      </c>
      <c r="E54" s="13">
        <v>0.26180555555555557</v>
      </c>
      <c r="F54" s="64">
        <v>40.0</v>
      </c>
      <c r="G54" s="65">
        <v>0.31319444444444444</v>
      </c>
      <c r="H54" s="66">
        <v>0.31319444444444444</v>
      </c>
      <c r="I54" s="11">
        <v>49.0</v>
      </c>
      <c r="J54" s="12">
        <v>0.375</v>
      </c>
      <c r="K54" s="13">
        <v>0.3819444444444444</v>
      </c>
      <c r="L54" s="11"/>
      <c r="M54" s="12"/>
      <c r="N54" s="13"/>
      <c r="O54" s="38"/>
      <c r="P54" s="12"/>
      <c r="Q54" s="13"/>
      <c r="R54" s="11"/>
      <c r="S54" s="18"/>
      <c r="T54" s="38"/>
      <c r="U54" s="11"/>
      <c r="V54" s="18"/>
      <c r="W54" s="38"/>
      <c r="X54" s="11"/>
      <c r="Y54" s="12"/>
      <c r="Z54" s="13"/>
      <c r="AA54" s="11">
        <v>6.0</v>
      </c>
      <c r="AB54" s="12">
        <v>0.6916666666666667</v>
      </c>
      <c r="AC54" s="13">
        <v>0.69375</v>
      </c>
      <c r="AD54" s="11"/>
      <c r="AE54" s="18"/>
      <c r="AF54" s="38"/>
      <c r="AG54" s="11">
        <v>30.0</v>
      </c>
      <c r="AH54" s="12">
        <v>0.9388888888888889</v>
      </c>
      <c r="AI54" s="13">
        <v>0.9416666666666667</v>
      </c>
      <c r="AJ54" s="11"/>
      <c r="AK54" s="12"/>
      <c r="AL54" s="13"/>
      <c r="AM54" s="11"/>
      <c r="AN54" s="12"/>
      <c r="AO54" s="13"/>
      <c r="AP54" s="11"/>
      <c r="AQ54" s="12"/>
      <c r="AR54" s="13"/>
      <c r="AS54" s="11"/>
      <c r="AT54" s="12"/>
      <c r="AU54" s="13"/>
      <c r="AV54" s="11"/>
      <c r="AW54" s="12"/>
      <c r="AX54" s="13"/>
      <c r="AY54" s="11"/>
      <c r="AZ54" s="12"/>
    </row>
    <row r="55" ht="15.75" customHeight="1">
      <c r="A55" s="7"/>
      <c r="B55" s="47">
        <v>563.0</v>
      </c>
      <c r="C55" s="11">
        <v>7.0</v>
      </c>
      <c r="D55" s="12">
        <v>0.2520833333333333</v>
      </c>
      <c r="E55" s="13">
        <v>0.25277777777777777</v>
      </c>
      <c r="F55" s="64">
        <v>4.0</v>
      </c>
      <c r="G55" s="65">
        <v>0.2923611111111111</v>
      </c>
      <c r="H55" s="66">
        <v>0.2923611111111111</v>
      </c>
      <c r="I55" s="11">
        <v>7.0</v>
      </c>
      <c r="J55" s="12">
        <v>0.3458333333333333</v>
      </c>
      <c r="K55" s="13">
        <v>0.34791666666666665</v>
      </c>
      <c r="L55" s="11"/>
      <c r="M55" s="12"/>
      <c r="N55" s="13"/>
      <c r="O55" s="38"/>
      <c r="P55" s="12"/>
      <c r="Q55" s="13"/>
      <c r="R55" s="11"/>
      <c r="S55" s="18"/>
      <c r="T55" s="38"/>
      <c r="U55" s="11"/>
      <c r="V55" s="18"/>
      <c r="W55" s="38"/>
      <c r="X55" s="11"/>
      <c r="Y55" s="12"/>
      <c r="Z55" s="13"/>
      <c r="AA55" s="11">
        <v>61.0</v>
      </c>
      <c r="AB55" s="12">
        <v>0.8194444444444444</v>
      </c>
      <c r="AC55" s="13">
        <v>0.8215277777777777</v>
      </c>
      <c r="AD55" s="11"/>
      <c r="AE55" s="18"/>
      <c r="AF55" s="38"/>
      <c r="AG55" s="11">
        <v>6.0</v>
      </c>
      <c r="AH55" s="12">
        <v>0.8395833333333333</v>
      </c>
      <c r="AI55" s="12">
        <v>0.8416666666666667</v>
      </c>
      <c r="AJ55" s="11"/>
      <c r="AK55" s="12"/>
      <c r="AL55" s="13"/>
      <c r="AM55" s="11"/>
      <c r="AN55" s="12"/>
      <c r="AO55" s="13"/>
      <c r="AP55" s="11"/>
      <c r="AQ55" s="12"/>
      <c r="AR55" s="13"/>
      <c r="AS55" s="11"/>
      <c r="AT55" s="12"/>
      <c r="AU55" s="13"/>
      <c r="AV55" s="11"/>
      <c r="AW55" s="12"/>
      <c r="AX55" s="13"/>
      <c r="AY55" s="11"/>
      <c r="AZ55" s="12"/>
    </row>
    <row r="56" ht="15.75" customHeight="1">
      <c r="A56" s="7"/>
      <c r="B56" s="47">
        <v>564.0</v>
      </c>
      <c r="C56" s="11">
        <v>61.0</v>
      </c>
      <c r="D56" s="12">
        <v>0.26319444444444445</v>
      </c>
      <c r="E56" s="13">
        <v>0.2638888888888889</v>
      </c>
      <c r="F56" s="64">
        <v>47.0</v>
      </c>
      <c r="G56" s="65">
        <v>0.3138888888888889</v>
      </c>
      <c r="H56" s="66">
        <v>0.3138888888888889</v>
      </c>
      <c r="I56" s="11">
        <v>51.0</v>
      </c>
      <c r="J56" s="12">
        <v>0.3763888888888889</v>
      </c>
      <c r="K56" s="13">
        <v>0.38055555555555554</v>
      </c>
      <c r="L56" s="11"/>
      <c r="M56" s="12"/>
      <c r="N56" s="13"/>
      <c r="O56" s="38"/>
      <c r="P56" s="12"/>
      <c r="Q56" s="13"/>
      <c r="R56" s="11"/>
      <c r="S56" s="18"/>
      <c r="T56" s="38"/>
      <c r="U56" s="11"/>
      <c r="V56" s="18"/>
      <c r="W56" s="38"/>
      <c r="X56" s="11"/>
      <c r="Y56" s="12"/>
      <c r="Z56" s="13"/>
      <c r="AA56" s="11">
        <v>25.0</v>
      </c>
      <c r="AB56" s="12">
        <v>0.75</v>
      </c>
      <c r="AC56" s="13">
        <v>0.7541666666666667</v>
      </c>
      <c r="AD56" s="11"/>
      <c r="AE56" s="12"/>
      <c r="AF56" s="38"/>
      <c r="AG56" s="11">
        <v>68.0</v>
      </c>
      <c r="AH56" s="12">
        <v>0.024305555555555556</v>
      </c>
      <c r="AI56" s="13">
        <v>0.027083333333333334</v>
      </c>
      <c r="AJ56" s="11"/>
      <c r="AK56" s="12"/>
      <c r="AL56" s="38"/>
      <c r="AM56" s="11"/>
      <c r="AN56" s="12"/>
      <c r="AO56" s="38"/>
      <c r="AP56" s="11"/>
      <c r="AQ56" s="12"/>
      <c r="AR56" s="38"/>
      <c r="AS56" s="11"/>
      <c r="AT56" s="12"/>
      <c r="AU56" s="38"/>
      <c r="AV56" s="11"/>
      <c r="AW56" s="12"/>
      <c r="AX56" s="38"/>
      <c r="AY56" s="11"/>
      <c r="AZ56" s="12"/>
    </row>
    <row r="57" ht="15.75" customHeight="1">
      <c r="A57" s="7"/>
      <c r="B57" s="47">
        <v>565.0</v>
      </c>
      <c r="C57" s="11"/>
      <c r="D57" s="12"/>
      <c r="E57" s="13"/>
      <c r="F57" s="64"/>
      <c r="G57" s="65"/>
      <c r="H57" s="66"/>
      <c r="I57" s="11">
        <v>12.0</v>
      </c>
      <c r="J57" s="18" t="s">
        <v>105</v>
      </c>
      <c r="K57" s="13">
        <v>0.3541666666666667</v>
      </c>
      <c r="L57" s="11"/>
      <c r="M57" s="12"/>
      <c r="N57" s="13"/>
      <c r="O57" s="38"/>
      <c r="P57" s="12"/>
      <c r="Q57" s="13"/>
      <c r="R57" s="11"/>
      <c r="S57" s="18"/>
      <c r="T57" s="13"/>
      <c r="U57" s="11"/>
      <c r="V57" s="12"/>
      <c r="W57" s="13"/>
      <c r="X57" s="11"/>
      <c r="Y57" s="12"/>
      <c r="Z57" s="13"/>
      <c r="AA57" s="11">
        <v>148.0</v>
      </c>
      <c r="AB57" s="12">
        <v>0.9472222222222222</v>
      </c>
      <c r="AC57" s="13">
        <v>0.9506944444444444</v>
      </c>
      <c r="AD57" s="11"/>
      <c r="AE57" s="12"/>
      <c r="AF57" s="13"/>
      <c r="AG57" s="11">
        <v>54.0</v>
      </c>
      <c r="AH57" s="12">
        <v>0.003472222222222222</v>
      </c>
      <c r="AI57" s="35">
        <v>0.007638888888888889</v>
      </c>
      <c r="AJ57" s="11"/>
      <c r="AK57" s="12"/>
      <c r="AL57" s="13"/>
      <c r="AM57" s="11"/>
      <c r="AN57" s="12"/>
      <c r="AO57" s="13"/>
      <c r="AP57" s="11"/>
      <c r="AQ57" s="12"/>
      <c r="AR57" s="13"/>
      <c r="AS57" s="11"/>
      <c r="AT57" s="12"/>
      <c r="AU57" s="13"/>
      <c r="AV57" s="11"/>
      <c r="AW57" s="12"/>
      <c r="AX57" s="13"/>
      <c r="AY57" s="11"/>
      <c r="AZ57" s="12"/>
    </row>
    <row r="58" ht="15.75" customHeight="1">
      <c r="A58" s="7"/>
      <c r="B58" s="47">
        <v>566.0</v>
      </c>
      <c r="C58" s="11">
        <v>20.0</v>
      </c>
      <c r="D58" s="12">
        <v>0.25763888888888886</v>
      </c>
      <c r="E58" s="13">
        <v>0.25833333333333336</v>
      </c>
      <c r="F58" s="64">
        <v>16.0</v>
      </c>
      <c r="G58" s="65">
        <v>0.3020833333333333</v>
      </c>
      <c r="H58" s="66">
        <v>0.3020833333333333</v>
      </c>
      <c r="I58" s="11">
        <v>75.0</v>
      </c>
      <c r="J58" s="12">
        <v>0.38819444444444445</v>
      </c>
      <c r="K58" s="13">
        <v>0.39305555555555555</v>
      </c>
      <c r="L58" s="11"/>
      <c r="M58" s="12"/>
      <c r="N58" s="13"/>
      <c r="O58" s="38"/>
      <c r="P58" s="12"/>
      <c r="Q58" s="13"/>
      <c r="R58" s="11"/>
      <c r="S58" s="18"/>
      <c r="T58" s="13"/>
      <c r="U58" s="11"/>
      <c r="V58" s="12"/>
      <c r="W58" s="13"/>
      <c r="X58" s="11"/>
      <c r="Y58" s="12"/>
      <c r="Z58" s="13"/>
      <c r="AA58" s="11"/>
      <c r="AB58" s="12"/>
      <c r="AC58" s="38"/>
      <c r="AD58" s="11"/>
      <c r="AE58" s="12"/>
      <c r="AF58" s="13"/>
      <c r="AG58" s="11"/>
      <c r="AH58" s="12"/>
      <c r="AI58" s="13"/>
      <c r="AJ58" s="11"/>
      <c r="AK58" s="12"/>
      <c r="AL58" s="13"/>
      <c r="AM58" s="11"/>
      <c r="AN58" s="12"/>
      <c r="AO58" s="13"/>
      <c r="AP58" s="11"/>
      <c r="AQ58" s="12"/>
      <c r="AR58" s="13"/>
      <c r="AS58" s="11"/>
      <c r="AT58" s="12"/>
      <c r="AU58" s="13"/>
      <c r="AV58" s="11"/>
      <c r="AW58" s="12"/>
      <c r="AX58" s="13"/>
      <c r="AY58" s="11"/>
      <c r="AZ58" s="12"/>
    </row>
    <row r="59" ht="15.75" customHeight="1">
      <c r="A59" s="7"/>
      <c r="B59" s="47">
        <v>566.0</v>
      </c>
      <c r="C59" s="11">
        <v>58.0</v>
      </c>
      <c r="D59" s="12">
        <v>0.26319444444444445</v>
      </c>
      <c r="E59" s="13">
        <v>0.2638888888888889</v>
      </c>
      <c r="F59" s="64">
        <v>62.0</v>
      </c>
      <c r="G59" s="65">
        <v>0.3173611111111111</v>
      </c>
      <c r="H59" s="66">
        <v>0.3173611111111111</v>
      </c>
      <c r="I59" s="11"/>
      <c r="J59" s="18"/>
      <c r="K59" s="38"/>
      <c r="L59" s="11"/>
      <c r="M59" s="12"/>
      <c r="N59" s="13"/>
      <c r="R59" s="11"/>
      <c r="S59" s="18"/>
      <c r="T59" s="38"/>
      <c r="U59" s="11"/>
      <c r="V59" s="18"/>
      <c r="W59" s="38"/>
      <c r="X59" s="11"/>
      <c r="Y59" s="12"/>
      <c r="Z59" s="13"/>
      <c r="AA59" s="11">
        <v>38.0</v>
      </c>
      <c r="AB59" s="12">
        <v>0.78125</v>
      </c>
      <c r="AC59" s="13">
        <v>0.7833333333333333</v>
      </c>
      <c r="AD59" s="11"/>
      <c r="AE59" s="12"/>
      <c r="AF59" s="38"/>
      <c r="AG59" s="11"/>
      <c r="AH59" s="12"/>
      <c r="AI59" s="38"/>
      <c r="AJ59" s="11"/>
      <c r="AK59" s="12"/>
      <c r="AL59" s="38"/>
      <c r="AM59" s="11"/>
      <c r="AN59" s="12"/>
      <c r="AO59" s="38"/>
      <c r="AP59" s="11"/>
      <c r="AQ59" s="12"/>
      <c r="AR59" s="38"/>
      <c r="AS59" s="11"/>
      <c r="AT59" s="12"/>
      <c r="AU59" s="38"/>
      <c r="AV59" s="11"/>
      <c r="AW59" s="12"/>
      <c r="AX59" s="38"/>
      <c r="AY59" s="11"/>
      <c r="AZ59" s="12"/>
    </row>
    <row r="60" ht="15.75" customHeight="1">
      <c r="A60" s="7"/>
      <c r="B60" s="47">
        <v>567.0</v>
      </c>
      <c r="C60" s="11">
        <v>4.0</v>
      </c>
      <c r="D60" s="12">
        <v>0.2513888888888889</v>
      </c>
      <c r="E60" s="13">
        <v>0.2520833333333333</v>
      </c>
      <c r="F60" s="64">
        <v>2.0</v>
      </c>
      <c r="G60" s="65">
        <v>0.2923611111111111</v>
      </c>
      <c r="H60" s="66">
        <v>0.29305555555555557</v>
      </c>
      <c r="I60" s="11">
        <v>5.0</v>
      </c>
      <c r="J60" s="12">
        <v>0.34375</v>
      </c>
      <c r="K60" s="13">
        <v>0.3451388888888889</v>
      </c>
      <c r="L60" s="11"/>
      <c r="M60" s="12"/>
      <c r="N60" s="13"/>
      <c r="O60" s="38"/>
      <c r="P60" s="12"/>
      <c r="Q60" s="13"/>
      <c r="R60" s="11"/>
      <c r="S60" s="18"/>
      <c r="T60" s="38"/>
      <c r="U60" s="11"/>
      <c r="V60" s="18"/>
      <c r="W60" s="38"/>
      <c r="X60" s="11"/>
      <c r="Y60" s="12"/>
      <c r="Z60" s="13"/>
      <c r="AA60" s="11">
        <v>60.0</v>
      </c>
      <c r="AB60" s="12">
        <v>0.8180555555555555</v>
      </c>
      <c r="AC60" s="13">
        <v>0.8263888888888888</v>
      </c>
      <c r="AD60" s="11"/>
      <c r="AE60" s="18"/>
      <c r="AF60" s="38"/>
      <c r="AG60" s="11">
        <v>33.0</v>
      </c>
      <c r="AH60" s="12">
        <v>0.9409722222222222</v>
      </c>
      <c r="AI60" s="13">
        <v>0.9430555555555555</v>
      </c>
      <c r="AJ60" s="11"/>
      <c r="AK60" s="12"/>
      <c r="AL60" s="13"/>
      <c r="AM60" s="11"/>
      <c r="AN60" s="12"/>
      <c r="AO60" s="13"/>
      <c r="AP60" s="11"/>
      <c r="AQ60" s="12"/>
      <c r="AR60" s="13"/>
      <c r="AS60" s="11"/>
      <c r="AT60" s="12"/>
      <c r="AU60" s="13"/>
      <c r="AV60" s="11"/>
      <c r="AW60" s="12"/>
      <c r="AX60" s="13"/>
      <c r="AY60" s="11"/>
      <c r="AZ60" s="12"/>
    </row>
    <row r="61" ht="15.75" customHeight="1">
      <c r="A61" s="7"/>
      <c r="B61" s="47">
        <v>568.0</v>
      </c>
      <c r="C61" s="11">
        <v>30.0</v>
      </c>
      <c r="D61" s="12">
        <v>0.25972222222222224</v>
      </c>
      <c r="E61" s="13">
        <v>0.2604166666666667</v>
      </c>
      <c r="F61" s="64">
        <v>58.0</v>
      </c>
      <c r="G61" s="65">
        <v>0.3145833333333333</v>
      </c>
      <c r="H61" s="66">
        <v>0.3145833333333333</v>
      </c>
      <c r="I61" s="11">
        <v>54.0</v>
      </c>
      <c r="J61" s="12">
        <v>0.3763888888888889</v>
      </c>
      <c r="K61" s="13">
        <v>0.38263888888888886</v>
      </c>
      <c r="L61" s="11"/>
      <c r="M61" s="12"/>
      <c r="N61" s="13"/>
      <c r="O61" s="38"/>
      <c r="P61" s="12"/>
      <c r="Q61" s="13"/>
      <c r="R61" s="11"/>
      <c r="S61" s="18"/>
      <c r="T61" s="13"/>
      <c r="U61" s="11"/>
      <c r="V61" s="12"/>
      <c r="W61" s="13"/>
      <c r="X61" s="11"/>
      <c r="Y61" s="12"/>
      <c r="Z61" s="13"/>
      <c r="AA61" s="11">
        <v>75.0</v>
      </c>
      <c r="AB61" s="12">
        <v>0.8402777777777778</v>
      </c>
      <c r="AC61" s="13">
        <v>0.8444444444444444</v>
      </c>
      <c r="AD61" s="11"/>
      <c r="AE61" s="12"/>
      <c r="AF61" s="13"/>
      <c r="AG61" s="11">
        <v>59.0</v>
      </c>
      <c r="AH61" s="12">
        <v>0.013888888888888888</v>
      </c>
      <c r="AI61" s="13">
        <v>0.02013888888888889</v>
      </c>
      <c r="AJ61" s="11"/>
      <c r="AK61" s="12"/>
      <c r="AL61" s="13"/>
      <c r="AM61" s="11"/>
      <c r="AN61" s="12"/>
      <c r="AO61" s="13"/>
      <c r="AP61" s="11"/>
      <c r="AQ61" s="12"/>
      <c r="AR61" s="13"/>
      <c r="AS61" s="11"/>
      <c r="AT61" s="12"/>
      <c r="AU61" s="13"/>
      <c r="AV61" s="11"/>
      <c r="AW61" s="12"/>
      <c r="AX61" s="13"/>
      <c r="AY61" s="11"/>
      <c r="AZ61" s="12"/>
    </row>
    <row r="62" ht="15.75" customHeight="1">
      <c r="A62" s="7"/>
      <c r="B62" s="47">
        <v>569.0</v>
      </c>
      <c r="C62" s="11">
        <v>85.0</v>
      </c>
      <c r="D62" s="12">
        <v>0.2659722222222222</v>
      </c>
      <c r="E62" s="13">
        <v>0.26666666666666666</v>
      </c>
      <c r="F62" s="64">
        <v>80.0</v>
      </c>
      <c r="G62" s="65">
        <v>0.3215277777777778</v>
      </c>
      <c r="H62" s="66">
        <v>0.3215277777777778</v>
      </c>
      <c r="I62" s="11">
        <v>74.0</v>
      </c>
      <c r="J62" s="12">
        <v>0.3875</v>
      </c>
      <c r="K62" s="13">
        <v>0.3909722222222222</v>
      </c>
      <c r="L62" s="11"/>
      <c r="M62" s="12"/>
      <c r="N62" s="13"/>
      <c r="O62" s="38"/>
      <c r="P62" s="12"/>
      <c r="Q62" s="13"/>
      <c r="R62" s="11"/>
      <c r="S62" s="18"/>
      <c r="T62" s="38"/>
      <c r="U62" s="11"/>
      <c r="V62" s="12"/>
      <c r="W62" s="38"/>
      <c r="X62" s="11"/>
      <c r="Y62" s="12"/>
      <c r="Z62" s="38"/>
      <c r="AA62" s="11">
        <v>133.0</v>
      </c>
      <c r="AB62" s="12">
        <v>0.9291666666666667</v>
      </c>
      <c r="AC62" s="13">
        <v>0.9416666666666667</v>
      </c>
      <c r="AD62" s="11"/>
      <c r="AE62" s="12"/>
      <c r="AF62" s="38"/>
      <c r="AG62" s="11">
        <v>78.0</v>
      </c>
      <c r="AH62" s="12">
        <v>0.03958333333333333</v>
      </c>
      <c r="AI62" s="13">
        <v>0.04236111111111111</v>
      </c>
      <c r="AJ62" s="11"/>
      <c r="AK62" s="12"/>
      <c r="AL62" s="38"/>
      <c r="AM62" s="11"/>
      <c r="AN62" s="12"/>
      <c r="AO62" s="38"/>
      <c r="AP62" s="11"/>
      <c r="AQ62" s="12"/>
      <c r="AR62" s="38"/>
      <c r="AS62" s="11"/>
      <c r="AT62" s="12"/>
      <c r="AU62" s="38"/>
      <c r="AV62" s="11"/>
      <c r="AW62" s="12"/>
      <c r="AX62" s="38"/>
      <c r="AY62" s="11"/>
      <c r="AZ62" s="12"/>
    </row>
    <row r="63" ht="15.75" customHeight="1">
      <c r="A63" s="7"/>
      <c r="B63" s="47">
        <v>570.0</v>
      </c>
      <c r="C63" s="11">
        <v>147.0</v>
      </c>
      <c r="D63" s="12">
        <v>0.27152777777777776</v>
      </c>
      <c r="E63" s="13">
        <v>0.2722222222222222</v>
      </c>
      <c r="F63" s="64">
        <v>148.0</v>
      </c>
      <c r="G63" s="65">
        <v>0.3368055555555556</v>
      </c>
      <c r="H63" s="66">
        <v>0.3368055555555556</v>
      </c>
      <c r="I63" s="11">
        <v>144.0</v>
      </c>
      <c r="J63" s="12">
        <v>0.41180555555555554</v>
      </c>
      <c r="K63" s="13">
        <v>0.41875</v>
      </c>
      <c r="L63" s="11"/>
      <c r="M63" s="12"/>
      <c r="N63" s="13"/>
      <c r="O63" s="38"/>
      <c r="P63" s="12"/>
      <c r="Q63" s="13"/>
      <c r="R63" s="11"/>
      <c r="S63" s="18"/>
      <c r="T63" s="38"/>
      <c r="U63" s="11"/>
      <c r="V63" s="12"/>
      <c r="W63" s="38"/>
      <c r="X63" s="11"/>
      <c r="Y63" s="12"/>
      <c r="Z63" s="38"/>
      <c r="AA63" s="11">
        <v>97.0</v>
      </c>
      <c r="AB63" s="12">
        <v>0.8777777777777778</v>
      </c>
      <c r="AC63" s="13">
        <v>0.8875</v>
      </c>
      <c r="AD63" s="11"/>
      <c r="AE63" s="12"/>
      <c r="AF63" s="38"/>
      <c r="AG63" s="11">
        <v>132.0</v>
      </c>
      <c r="AH63" s="12">
        <v>0.16805555555555557</v>
      </c>
      <c r="AI63" s="38" t="s">
        <v>178</v>
      </c>
      <c r="AJ63" s="11"/>
      <c r="AK63" s="12"/>
      <c r="AL63" s="38"/>
      <c r="AM63" s="11"/>
      <c r="AN63" s="12"/>
      <c r="AO63" s="38"/>
      <c r="AP63" s="11"/>
      <c r="AQ63" s="12"/>
      <c r="AR63" s="38"/>
      <c r="AS63" s="11"/>
      <c r="AT63" s="12"/>
      <c r="AU63" s="38"/>
      <c r="AV63" s="11"/>
      <c r="AW63" s="12"/>
      <c r="AX63" s="38"/>
      <c r="AY63" s="11"/>
      <c r="AZ63" s="12"/>
    </row>
    <row r="64" ht="15.75" customHeight="1">
      <c r="A64" s="7"/>
      <c r="B64" s="47">
        <v>571.0</v>
      </c>
      <c r="C64" s="11">
        <v>50.0</v>
      </c>
      <c r="D64" s="12">
        <v>0.26180555555555557</v>
      </c>
      <c r="E64" s="13">
        <v>0.2625</v>
      </c>
      <c r="F64" s="64">
        <v>55.0</v>
      </c>
      <c r="G64" s="65">
        <v>0.3145833333333333</v>
      </c>
      <c r="H64" s="66">
        <v>0.3145833333333333</v>
      </c>
      <c r="I64" s="11">
        <v>61.0</v>
      </c>
      <c r="J64" s="12">
        <v>0.38263888888888886</v>
      </c>
      <c r="K64" s="13">
        <v>0.3888888888888889</v>
      </c>
      <c r="L64" s="11"/>
      <c r="M64" s="12"/>
      <c r="N64" s="13"/>
      <c r="O64" s="38"/>
      <c r="P64" s="12"/>
      <c r="Q64" s="13"/>
      <c r="R64" s="11"/>
      <c r="S64" s="18"/>
      <c r="T64" s="38"/>
      <c r="U64" s="11"/>
      <c r="V64" s="18"/>
      <c r="W64" s="38"/>
      <c r="X64" s="11"/>
      <c r="Y64" s="12"/>
      <c r="Z64" s="13"/>
      <c r="AA64" s="11"/>
      <c r="AB64" s="18"/>
      <c r="AC64" s="13"/>
      <c r="AD64" s="11"/>
      <c r="AE64" s="12"/>
      <c r="AF64" s="38"/>
      <c r="AG64" s="11">
        <v>98.0</v>
      </c>
      <c r="AH64" s="12">
        <v>0.08958333333333333</v>
      </c>
      <c r="AI64" s="13">
        <v>0.10069444444444445</v>
      </c>
      <c r="AJ64" s="11"/>
      <c r="AK64" s="12"/>
      <c r="AL64" s="38"/>
      <c r="AM64" s="11"/>
      <c r="AN64" s="12"/>
      <c r="AO64" s="38"/>
      <c r="AP64" s="11"/>
      <c r="AQ64" s="12"/>
      <c r="AR64" s="38"/>
      <c r="AS64" s="11"/>
      <c r="AT64" s="12"/>
      <c r="AU64" s="38"/>
      <c r="AV64" s="11"/>
      <c r="AW64" s="12"/>
      <c r="AX64" s="38"/>
      <c r="AY64" s="11"/>
      <c r="AZ64" s="12"/>
    </row>
    <row r="65" ht="15.75" customHeight="1">
      <c r="A65" s="7"/>
      <c r="B65" s="47">
        <v>572.0</v>
      </c>
      <c r="C65" s="11">
        <v>80.0</v>
      </c>
      <c r="D65" s="12">
        <v>0.2659722222222222</v>
      </c>
      <c r="E65" s="13">
        <v>0.26666666666666666</v>
      </c>
      <c r="F65" s="64">
        <v>87.0</v>
      </c>
      <c r="G65" s="65">
        <v>0.32430555555555557</v>
      </c>
      <c r="H65" s="66">
        <v>0.32430555555555557</v>
      </c>
      <c r="I65" s="11">
        <v>123.0</v>
      </c>
      <c r="J65" s="12">
        <v>0.4041666666666667</v>
      </c>
      <c r="K65" s="38" t="s">
        <v>178</v>
      </c>
      <c r="L65" s="11"/>
      <c r="M65" s="12"/>
      <c r="N65" s="13"/>
      <c r="R65" s="11"/>
      <c r="S65" s="18"/>
      <c r="T65" s="38"/>
      <c r="U65" s="11"/>
      <c r="V65" s="18"/>
      <c r="W65" s="38"/>
      <c r="X65" s="11"/>
      <c r="Y65" s="18"/>
      <c r="Z65" s="38"/>
      <c r="AA65" s="11"/>
      <c r="AB65" s="12"/>
      <c r="AC65" s="38"/>
      <c r="AD65" s="11"/>
      <c r="AE65" s="18"/>
      <c r="AF65" s="38"/>
      <c r="AG65" s="11"/>
      <c r="AH65" s="18"/>
      <c r="AI65" s="38"/>
      <c r="AJ65" s="11"/>
      <c r="AK65" s="18"/>
      <c r="AL65" s="38"/>
      <c r="AM65" s="11"/>
      <c r="AN65" s="18"/>
      <c r="AO65" s="38"/>
      <c r="AP65" s="11"/>
      <c r="AQ65" s="18"/>
      <c r="AR65" s="38"/>
      <c r="AS65" s="11"/>
      <c r="AT65" s="18"/>
      <c r="AU65" s="38"/>
      <c r="AV65" s="11"/>
      <c r="AW65" s="18"/>
      <c r="AX65" s="38"/>
      <c r="AY65" s="11"/>
      <c r="AZ65" s="12"/>
    </row>
    <row r="66" ht="15.75" customHeight="1">
      <c r="A66" s="7"/>
      <c r="B66" s="47">
        <v>574.0</v>
      </c>
      <c r="C66" s="11">
        <v>111.0</v>
      </c>
      <c r="D66" s="12">
        <v>0.26944444444444443</v>
      </c>
      <c r="E66" s="13">
        <v>0.2701388888888889</v>
      </c>
      <c r="F66" s="64">
        <v>120.0</v>
      </c>
      <c r="G66" s="65">
        <v>0.33055555555555555</v>
      </c>
      <c r="H66" s="66">
        <v>0.33055555555555555</v>
      </c>
      <c r="I66" s="11">
        <v>159.0</v>
      </c>
      <c r="J66" s="12">
        <v>0.41458333333333336</v>
      </c>
      <c r="K66" s="13">
        <v>0.4215277777777778</v>
      </c>
      <c r="L66" s="11"/>
      <c r="M66" s="12"/>
      <c r="N66" s="13"/>
      <c r="O66" s="38"/>
      <c r="P66" s="12"/>
      <c r="Q66" s="13"/>
      <c r="R66" s="11"/>
      <c r="S66" s="18"/>
      <c r="T66" s="13"/>
      <c r="U66" s="11"/>
      <c r="V66" s="12"/>
      <c r="W66" s="13"/>
      <c r="X66" s="11"/>
      <c r="Y66" s="12"/>
      <c r="Z66" s="13"/>
      <c r="AA66" s="11">
        <v>83.0</v>
      </c>
      <c r="AB66" s="12">
        <v>0.8548611111111111</v>
      </c>
      <c r="AC66" s="13">
        <v>0.8576388888888888</v>
      </c>
      <c r="AD66" s="11"/>
      <c r="AE66" s="12"/>
      <c r="AF66" s="13"/>
      <c r="AG66" s="11"/>
      <c r="AH66" s="12"/>
      <c r="AI66" s="13"/>
      <c r="AJ66" s="11"/>
      <c r="AK66" s="12"/>
      <c r="AL66" s="13"/>
      <c r="AM66" s="11"/>
      <c r="AN66" s="12"/>
      <c r="AO66" s="13"/>
      <c r="AP66" s="11"/>
      <c r="AQ66" s="12"/>
      <c r="AR66" s="13"/>
      <c r="AS66" s="11"/>
      <c r="AT66" s="12"/>
      <c r="AU66" s="13"/>
      <c r="AV66" s="11"/>
      <c r="AW66" s="12"/>
      <c r="AX66" s="13"/>
      <c r="AY66" s="11"/>
      <c r="AZ66" s="12"/>
    </row>
    <row r="67" ht="15.75" customHeight="1">
      <c r="A67" s="7"/>
      <c r="B67" s="47">
        <v>575.0</v>
      </c>
      <c r="C67" s="11">
        <v>91.0</v>
      </c>
      <c r="D67" s="12">
        <v>0.2673611111111111</v>
      </c>
      <c r="E67" s="13">
        <v>0.26805555555555555</v>
      </c>
      <c r="F67" s="64">
        <v>98.0</v>
      </c>
      <c r="G67" s="65">
        <v>0.32569444444444445</v>
      </c>
      <c r="H67" s="66">
        <v>0.32569444444444445</v>
      </c>
      <c r="I67" s="11">
        <v>100.0</v>
      </c>
      <c r="J67" s="12">
        <v>0.39652777777777776</v>
      </c>
      <c r="K67" s="13">
        <v>0.4</v>
      </c>
      <c r="L67" s="11"/>
      <c r="M67" s="12"/>
      <c r="N67" s="13"/>
      <c r="O67" s="38"/>
      <c r="P67" s="12"/>
      <c r="Q67" s="13"/>
      <c r="R67" s="11"/>
      <c r="S67" s="18"/>
      <c r="T67" s="38"/>
      <c r="U67" s="11"/>
      <c r="V67" s="18"/>
      <c r="W67" s="38"/>
      <c r="X67" s="11"/>
      <c r="Y67" s="12"/>
      <c r="Z67" s="13"/>
      <c r="AA67" s="11"/>
      <c r="AB67" s="18"/>
      <c r="AC67" s="38"/>
      <c r="AD67" s="11"/>
      <c r="AE67" s="18"/>
      <c r="AF67" s="38"/>
      <c r="AG67" s="11">
        <v>72.0</v>
      </c>
      <c r="AH67" s="12">
        <v>0.030555555555555555</v>
      </c>
      <c r="AI67" s="13">
        <v>0.034722222222222224</v>
      </c>
      <c r="AJ67" s="11"/>
      <c r="AK67" s="12"/>
      <c r="AL67" s="13"/>
      <c r="AM67" s="11"/>
      <c r="AN67" s="12"/>
      <c r="AO67" s="13"/>
      <c r="AP67" s="11"/>
      <c r="AQ67" s="12"/>
      <c r="AR67" s="13"/>
      <c r="AS67" s="11"/>
      <c r="AT67" s="12"/>
      <c r="AU67" s="13"/>
      <c r="AV67" s="11"/>
      <c r="AW67" s="12"/>
      <c r="AX67" s="13"/>
      <c r="AY67" s="11"/>
      <c r="AZ67" s="12"/>
    </row>
    <row r="68" ht="15.75" customHeight="1">
      <c r="A68" s="7"/>
      <c r="B68" s="47">
        <v>576.0</v>
      </c>
      <c r="C68" s="11">
        <v>186.0</v>
      </c>
      <c r="D68" s="12">
        <v>0.2791666666666667</v>
      </c>
      <c r="E68" s="13">
        <v>0.2798611111111111</v>
      </c>
      <c r="F68" s="64">
        <v>184.0</v>
      </c>
      <c r="G68" s="65">
        <v>0.34444444444444444</v>
      </c>
      <c r="H68" s="66">
        <v>0.34444444444444444</v>
      </c>
      <c r="I68" s="11">
        <v>192.0</v>
      </c>
      <c r="J68" s="12">
        <v>0.44027777777777777</v>
      </c>
      <c r="K68" s="13">
        <v>0.44375</v>
      </c>
      <c r="L68" s="11"/>
      <c r="M68" s="12"/>
      <c r="N68" s="13"/>
      <c r="O68" s="38"/>
      <c r="P68" s="12"/>
      <c r="Q68" s="13"/>
      <c r="R68" s="11"/>
      <c r="S68" s="18"/>
      <c r="T68" s="38"/>
      <c r="U68" s="11"/>
      <c r="V68" s="18"/>
      <c r="W68" s="38"/>
      <c r="X68" s="11"/>
      <c r="Y68" s="12"/>
      <c r="Z68" s="13"/>
      <c r="AA68" s="11">
        <v>108.0</v>
      </c>
      <c r="AB68" s="12">
        <v>0.8923611111111112</v>
      </c>
      <c r="AC68" s="13">
        <v>0.8951388888888889</v>
      </c>
      <c r="AD68" s="11"/>
      <c r="AE68" s="18"/>
      <c r="AF68" s="38"/>
      <c r="AG68" s="11"/>
      <c r="AH68" s="18"/>
      <c r="AI68" s="38"/>
      <c r="AJ68" s="11"/>
      <c r="AK68" s="12"/>
      <c r="AL68" s="13"/>
      <c r="AM68" s="11"/>
      <c r="AN68" s="12"/>
      <c r="AO68" s="13"/>
      <c r="AP68" s="11"/>
      <c r="AQ68" s="12"/>
      <c r="AR68" s="13"/>
      <c r="AS68" s="11"/>
      <c r="AT68" s="12"/>
      <c r="AU68" s="13"/>
      <c r="AV68" s="11"/>
      <c r="AW68" s="12"/>
      <c r="AX68" s="13"/>
      <c r="AY68" s="11"/>
      <c r="AZ68" s="12"/>
    </row>
    <row r="69" ht="15.75" customHeight="1">
      <c r="A69" s="7"/>
      <c r="B69" s="47">
        <v>577.0</v>
      </c>
      <c r="C69" s="11">
        <v>117.0</v>
      </c>
      <c r="D69" s="12">
        <v>0.26944444444444443</v>
      </c>
      <c r="E69" s="13">
        <v>0.2701388888888889</v>
      </c>
      <c r="F69" s="64">
        <v>122.0</v>
      </c>
      <c r="G69" s="65">
        <v>0.33055555555555555</v>
      </c>
      <c r="H69" s="66">
        <v>0.33055555555555555</v>
      </c>
      <c r="I69" s="11">
        <v>134.0</v>
      </c>
      <c r="J69" s="12">
        <v>0.4083333333333333</v>
      </c>
      <c r="K69" s="13">
        <v>0.4111111111111111</v>
      </c>
      <c r="L69" s="11"/>
      <c r="M69" s="12"/>
      <c r="N69" s="13"/>
      <c r="O69" s="38"/>
      <c r="P69" s="12"/>
      <c r="Q69" s="13"/>
      <c r="R69" s="11"/>
      <c r="S69" s="18"/>
      <c r="T69" s="38"/>
      <c r="U69" s="11"/>
      <c r="V69" s="18"/>
      <c r="W69" s="38"/>
      <c r="X69" s="11"/>
      <c r="Y69" s="12"/>
      <c r="Z69" s="38"/>
      <c r="AA69" s="11">
        <v>56.0</v>
      </c>
      <c r="AB69" s="12">
        <v>0.8125</v>
      </c>
      <c r="AC69" s="13">
        <v>0.8215277777777777</v>
      </c>
      <c r="AD69" s="11"/>
      <c r="AE69" s="18"/>
      <c r="AF69" s="38"/>
      <c r="AG69" s="11">
        <v>94.0</v>
      </c>
      <c r="AH69" s="12">
        <v>0.08402777777777778</v>
      </c>
      <c r="AI69" s="13">
        <v>0.08541666666666667</v>
      </c>
      <c r="AJ69" s="11"/>
      <c r="AK69" s="18"/>
      <c r="AL69" s="38"/>
      <c r="AM69" s="11"/>
      <c r="AN69" s="18"/>
      <c r="AO69" s="38"/>
      <c r="AP69" s="11"/>
      <c r="AQ69" s="18"/>
      <c r="AR69" s="38"/>
      <c r="AS69" s="11"/>
      <c r="AT69" s="18"/>
      <c r="AU69" s="38"/>
      <c r="AV69" s="11"/>
      <c r="AW69" s="18"/>
      <c r="AX69" s="38"/>
      <c r="AY69" s="11"/>
      <c r="AZ69" s="12"/>
    </row>
    <row r="70" ht="15.75" customHeight="1">
      <c r="A70" s="7"/>
      <c r="B70" s="47">
        <v>578.0</v>
      </c>
      <c r="C70" s="11">
        <v>118.0</v>
      </c>
      <c r="D70" s="12">
        <v>0.26944444444444443</v>
      </c>
      <c r="E70" s="13">
        <v>0.2701388888888889</v>
      </c>
      <c r="F70" s="64">
        <v>102.0</v>
      </c>
      <c r="G70" s="65">
        <v>0.32569444444444445</v>
      </c>
      <c r="H70" s="66">
        <v>0.32569444444444445</v>
      </c>
      <c r="I70" s="11">
        <v>86.0</v>
      </c>
      <c r="J70" s="12">
        <v>0.3888888888888889</v>
      </c>
      <c r="K70" s="13">
        <v>0.3902777777777778</v>
      </c>
      <c r="L70" s="11"/>
      <c r="M70" s="12"/>
      <c r="N70" s="13"/>
      <c r="O70" s="38"/>
      <c r="P70" s="12"/>
      <c r="Q70" s="13"/>
      <c r="R70" s="11"/>
      <c r="S70" s="18"/>
      <c r="T70" s="38"/>
      <c r="U70" s="11"/>
      <c r="V70" s="18"/>
      <c r="W70" s="38"/>
      <c r="X70" s="11"/>
      <c r="Y70" s="18"/>
      <c r="Z70" s="13"/>
      <c r="AA70" s="11">
        <v>171.0</v>
      </c>
      <c r="AB70" s="12">
        <v>1.0215277777777778</v>
      </c>
      <c r="AC70" s="13">
        <v>1.0097222222222222</v>
      </c>
      <c r="AD70" s="11"/>
      <c r="AE70" s="18"/>
      <c r="AF70" s="38"/>
      <c r="AG70" s="11">
        <v>52.0</v>
      </c>
      <c r="AH70" s="12">
        <v>0.9986111111111111</v>
      </c>
      <c r="AI70" s="13">
        <v>0.011111111111111112</v>
      </c>
      <c r="AJ70" s="11"/>
      <c r="AK70" s="18"/>
      <c r="AL70" s="38"/>
      <c r="AM70" s="11"/>
      <c r="AN70" s="18"/>
      <c r="AO70" s="38"/>
      <c r="AP70" s="11"/>
      <c r="AQ70" s="18"/>
      <c r="AR70" s="38"/>
      <c r="AS70" s="11"/>
      <c r="AT70" s="18"/>
      <c r="AU70" s="38"/>
      <c r="AV70" s="11"/>
      <c r="AW70" s="18"/>
      <c r="AX70" s="38"/>
      <c r="AY70" s="11"/>
      <c r="AZ70" s="12"/>
    </row>
    <row r="71" ht="15.75" customHeight="1">
      <c r="A71" s="7"/>
      <c r="B71" s="47">
        <v>579.0</v>
      </c>
      <c r="C71" s="11">
        <v>197.0</v>
      </c>
      <c r="D71" s="12">
        <v>0.2826388888888889</v>
      </c>
      <c r="E71" s="13">
        <v>0.2833333333333333</v>
      </c>
      <c r="F71" s="64">
        <v>197.0</v>
      </c>
      <c r="G71" s="65">
        <v>0.3576388888888889</v>
      </c>
      <c r="H71" s="66">
        <v>0.3576388888888889</v>
      </c>
      <c r="I71" s="11">
        <v>200.0</v>
      </c>
      <c r="J71" s="12">
        <v>0.44930555555555557</v>
      </c>
      <c r="K71" s="13">
        <v>0.45208333333333334</v>
      </c>
      <c r="L71" s="11"/>
      <c r="M71" s="12"/>
      <c r="N71" s="13"/>
      <c r="O71" s="38"/>
      <c r="P71" s="12"/>
      <c r="Q71" s="13"/>
      <c r="R71" s="11"/>
      <c r="S71" s="18"/>
      <c r="T71" s="13"/>
      <c r="U71" s="11"/>
      <c r="V71" s="12"/>
      <c r="W71" s="13"/>
      <c r="X71" s="11"/>
      <c r="Y71" s="12"/>
      <c r="Z71" s="13"/>
      <c r="AA71" s="11">
        <v>120.0</v>
      </c>
      <c r="AB71" s="12">
        <v>0.9104166666666667</v>
      </c>
      <c r="AC71" s="13">
        <v>0.9152777777777777</v>
      </c>
      <c r="AD71" s="11"/>
      <c r="AE71" s="12"/>
      <c r="AF71" s="13"/>
      <c r="AG71" s="11"/>
      <c r="AH71" s="12"/>
      <c r="AI71" s="13"/>
      <c r="AJ71" s="11"/>
      <c r="AK71" s="12"/>
      <c r="AL71" s="13"/>
      <c r="AM71" s="11"/>
      <c r="AN71" s="12"/>
      <c r="AO71" s="13"/>
      <c r="AP71" s="11"/>
      <c r="AQ71" s="12"/>
      <c r="AR71" s="13"/>
      <c r="AS71" s="11"/>
      <c r="AT71" s="12"/>
      <c r="AU71" s="13"/>
      <c r="AV71" s="11"/>
      <c r="AW71" s="12"/>
      <c r="AX71" s="13"/>
      <c r="AY71" s="11"/>
      <c r="AZ71" s="12"/>
    </row>
    <row r="72" ht="15.75" customHeight="1">
      <c r="A72" s="7"/>
      <c r="B72" s="47">
        <v>580.0</v>
      </c>
      <c r="C72" s="11">
        <v>120.0</v>
      </c>
      <c r="D72" s="12">
        <v>0.2701388888888889</v>
      </c>
      <c r="E72" s="13">
        <v>0.2708333333333333</v>
      </c>
      <c r="F72" s="64">
        <v>104.0</v>
      </c>
      <c r="G72" s="65">
        <v>0.32569444444444445</v>
      </c>
      <c r="H72" s="66">
        <v>0.32569444444444445</v>
      </c>
      <c r="I72" s="11">
        <v>116.0</v>
      </c>
      <c r="J72" s="12">
        <v>0.4013888888888889</v>
      </c>
      <c r="K72" s="13">
        <v>0.41180555555555554</v>
      </c>
      <c r="L72" s="11"/>
      <c r="M72" s="12"/>
      <c r="N72" s="13"/>
      <c r="O72" s="38"/>
      <c r="P72" s="12"/>
      <c r="Q72" s="13"/>
      <c r="R72" s="11"/>
      <c r="S72" s="18"/>
      <c r="T72" s="38"/>
      <c r="U72" s="11"/>
      <c r="V72" s="18"/>
      <c r="W72" s="38"/>
      <c r="X72" s="11"/>
      <c r="Y72" s="12"/>
      <c r="Z72" s="13"/>
      <c r="AA72" s="11">
        <v>81.0</v>
      </c>
      <c r="AB72" s="12">
        <v>0.8534722222222222</v>
      </c>
      <c r="AC72" s="38" t="s">
        <v>178</v>
      </c>
      <c r="AD72" s="11"/>
      <c r="AE72" s="18"/>
      <c r="AF72" s="38"/>
      <c r="AG72" s="11">
        <v>113.0</v>
      </c>
      <c r="AH72" s="12">
        <v>0.11736111111111111</v>
      </c>
      <c r="AI72" s="13">
        <v>0.12222222222222222</v>
      </c>
      <c r="AJ72" s="11"/>
      <c r="AK72" s="18"/>
      <c r="AL72" s="38"/>
      <c r="AM72" s="11"/>
      <c r="AN72" s="18"/>
      <c r="AO72" s="38"/>
      <c r="AP72" s="11"/>
      <c r="AQ72" s="18"/>
      <c r="AR72" s="38"/>
      <c r="AS72" s="11"/>
      <c r="AT72" s="18"/>
      <c r="AU72" s="38"/>
      <c r="AV72" s="11"/>
      <c r="AW72" s="18"/>
      <c r="AX72" s="38"/>
      <c r="AY72" s="11"/>
      <c r="AZ72" s="12"/>
    </row>
    <row r="73" ht="15.75" customHeight="1">
      <c r="A73" s="7"/>
      <c r="B73" s="47">
        <v>581.0</v>
      </c>
      <c r="C73" s="11">
        <v>104.0</v>
      </c>
      <c r="D73" s="12">
        <v>0.26875</v>
      </c>
      <c r="E73" s="13">
        <v>0.26944444444444443</v>
      </c>
      <c r="F73" s="64">
        <v>117.0</v>
      </c>
      <c r="G73" s="65">
        <v>0.3298611111111111</v>
      </c>
      <c r="H73" s="66">
        <v>0.3298611111111111</v>
      </c>
      <c r="I73" s="11">
        <v>107.0</v>
      </c>
      <c r="J73" s="12">
        <v>0.39861111111111114</v>
      </c>
      <c r="K73" s="13">
        <v>0.40208333333333335</v>
      </c>
      <c r="L73" s="11"/>
      <c r="M73" s="12"/>
      <c r="N73" s="13"/>
      <c r="O73" s="38"/>
      <c r="P73" s="12"/>
      <c r="Q73" s="13"/>
      <c r="R73" s="11"/>
      <c r="S73" s="18"/>
      <c r="T73" s="38"/>
      <c r="U73" s="11"/>
      <c r="V73" s="18"/>
      <c r="W73" s="38"/>
      <c r="X73" s="11"/>
      <c r="Y73" s="12"/>
      <c r="Z73" s="13"/>
      <c r="AA73" s="11">
        <v>103.0</v>
      </c>
      <c r="AB73" s="12">
        <v>0.8881944444444444</v>
      </c>
      <c r="AC73" s="13">
        <v>0.8895833333333333</v>
      </c>
      <c r="AD73" s="11"/>
      <c r="AE73" s="18"/>
      <c r="AF73" s="38"/>
      <c r="AG73" s="11"/>
      <c r="AH73" s="18"/>
      <c r="AI73" s="38"/>
      <c r="AJ73" s="11"/>
      <c r="AK73" s="12"/>
      <c r="AL73" s="13"/>
      <c r="AM73" s="11"/>
      <c r="AN73" s="12"/>
      <c r="AO73" s="13"/>
      <c r="AP73" s="11"/>
      <c r="AQ73" s="12"/>
      <c r="AR73" s="13"/>
      <c r="AS73" s="11"/>
      <c r="AT73" s="12"/>
      <c r="AU73" s="13"/>
      <c r="AV73" s="11"/>
      <c r="AW73" s="12"/>
      <c r="AX73" s="13"/>
      <c r="AY73" s="11"/>
      <c r="AZ73" s="12"/>
    </row>
    <row r="74" ht="15.75" customHeight="1">
      <c r="A74" s="7"/>
      <c r="B74" s="47">
        <v>582.0</v>
      </c>
      <c r="C74" s="11">
        <v>70.0</v>
      </c>
      <c r="D74" s="12">
        <v>0.2638888888888889</v>
      </c>
      <c r="E74" s="13">
        <v>0.26458333333333334</v>
      </c>
      <c r="F74" s="64">
        <v>42.0</v>
      </c>
      <c r="G74" s="65">
        <v>0.3138888888888889</v>
      </c>
      <c r="H74" s="66">
        <v>0.3138888888888889</v>
      </c>
      <c r="I74" s="11">
        <v>119.0</v>
      </c>
      <c r="J74" s="12">
        <v>0.40208333333333335</v>
      </c>
      <c r="K74" s="13">
        <v>0.4097222222222222</v>
      </c>
      <c r="L74" s="11"/>
      <c r="M74" s="12"/>
      <c r="N74" s="13"/>
      <c r="O74" s="38"/>
      <c r="P74" s="12"/>
      <c r="Q74" s="13"/>
      <c r="R74" s="11"/>
      <c r="S74" s="18"/>
      <c r="T74" s="38"/>
      <c r="U74" s="11"/>
      <c r="V74" s="18"/>
      <c r="W74" s="38"/>
      <c r="X74" s="11"/>
      <c r="Y74" s="12"/>
      <c r="Z74" s="13"/>
      <c r="AA74" s="11">
        <v>63.0</v>
      </c>
      <c r="AB74" s="12">
        <v>0.8222222222222222</v>
      </c>
      <c r="AC74" s="13">
        <v>0.8263888888888888</v>
      </c>
      <c r="AD74" s="11"/>
      <c r="AE74" s="12"/>
      <c r="AF74" s="38"/>
      <c r="AG74" s="11">
        <v>101.0</v>
      </c>
      <c r="AH74" s="12">
        <v>0.09861111111111111</v>
      </c>
      <c r="AI74" s="13">
        <v>0.10208333333333333</v>
      </c>
      <c r="AJ74" s="11"/>
      <c r="AK74" s="12"/>
      <c r="AL74" s="38"/>
      <c r="AM74" s="11"/>
      <c r="AN74" s="12"/>
      <c r="AO74" s="38"/>
      <c r="AP74" s="11"/>
      <c r="AQ74" s="12"/>
      <c r="AR74" s="38"/>
      <c r="AS74" s="11"/>
      <c r="AT74" s="12"/>
      <c r="AU74" s="38"/>
      <c r="AV74" s="11"/>
      <c r="AW74" s="12"/>
      <c r="AX74" s="38"/>
      <c r="AY74" s="11"/>
      <c r="AZ74" s="12"/>
    </row>
    <row r="75" ht="15.75" customHeight="1">
      <c r="A75" s="7"/>
      <c r="B75" s="47">
        <v>583.0</v>
      </c>
      <c r="C75" s="11">
        <v>98.0</v>
      </c>
      <c r="D75" s="12">
        <v>0.26805555555555555</v>
      </c>
      <c r="E75" s="13">
        <v>0.26875</v>
      </c>
      <c r="F75" s="64">
        <v>86.0</v>
      </c>
      <c r="G75" s="65">
        <v>0.32430555555555557</v>
      </c>
      <c r="H75" s="66">
        <v>0.32430555555555557</v>
      </c>
      <c r="I75" s="11">
        <v>77.0</v>
      </c>
      <c r="J75" s="12">
        <v>0.38819444444444445</v>
      </c>
      <c r="K75" s="13">
        <v>0.3902777777777778</v>
      </c>
      <c r="L75" s="11"/>
      <c r="M75" s="12"/>
      <c r="N75" s="13"/>
      <c r="O75" s="38"/>
      <c r="P75" s="12"/>
      <c r="Q75" s="13"/>
      <c r="R75" s="11"/>
      <c r="S75" s="18"/>
      <c r="T75" s="38"/>
      <c r="U75" s="11"/>
      <c r="V75" s="18"/>
      <c r="W75" s="38"/>
      <c r="X75" s="11"/>
      <c r="Y75" s="12"/>
      <c r="Z75" s="38"/>
      <c r="AA75" s="11">
        <v>149.0</v>
      </c>
      <c r="AB75" s="12">
        <v>0.9541666666666667</v>
      </c>
      <c r="AC75" s="13">
        <v>0.9590277777777778</v>
      </c>
      <c r="AD75" s="11"/>
      <c r="AE75" s="12"/>
      <c r="AF75" s="38"/>
      <c r="AG75" s="11">
        <v>50.0</v>
      </c>
      <c r="AH75" s="12">
        <v>0.9958333333333333</v>
      </c>
      <c r="AI75" s="13">
        <v>0.9993055555555556</v>
      </c>
      <c r="AJ75" s="11"/>
      <c r="AK75" s="12"/>
      <c r="AL75" s="38"/>
      <c r="AM75" s="11"/>
      <c r="AN75" s="12"/>
      <c r="AO75" s="38"/>
      <c r="AP75" s="11"/>
      <c r="AQ75" s="12"/>
      <c r="AR75" s="38"/>
      <c r="AS75" s="11"/>
      <c r="AT75" s="12"/>
      <c r="AU75" s="38"/>
      <c r="AV75" s="11"/>
      <c r="AW75" s="12"/>
      <c r="AX75" s="38"/>
      <c r="AY75" s="11"/>
      <c r="AZ75" s="12"/>
    </row>
    <row r="76" ht="15.75" customHeight="1">
      <c r="A76" s="7"/>
      <c r="B76" s="47">
        <v>584.0</v>
      </c>
      <c r="C76" s="11">
        <v>160.0</v>
      </c>
      <c r="D76" s="12">
        <v>0.2743055555555556</v>
      </c>
      <c r="E76" s="13">
        <v>0.275</v>
      </c>
      <c r="F76" s="64">
        <v>174.0</v>
      </c>
      <c r="G76" s="65">
        <v>0.3416666666666667</v>
      </c>
      <c r="H76" s="66">
        <v>0.3416666666666667</v>
      </c>
      <c r="I76" s="11">
        <v>176.0</v>
      </c>
      <c r="J76" s="12">
        <v>0.42430555555555555</v>
      </c>
      <c r="K76" s="13">
        <v>0.43194444444444446</v>
      </c>
      <c r="L76" s="11"/>
      <c r="M76" s="12"/>
      <c r="N76" s="13"/>
      <c r="O76" s="38"/>
      <c r="P76" s="12"/>
      <c r="Q76" s="13"/>
      <c r="R76" s="11"/>
      <c r="S76" s="18"/>
      <c r="T76" s="38"/>
      <c r="U76" s="11"/>
      <c r="V76" s="18"/>
      <c r="W76" s="38"/>
      <c r="X76" s="11"/>
      <c r="Y76" s="12"/>
      <c r="Z76" s="13"/>
      <c r="AA76" s="11">
        <v>84.0</v>
      </c>
      <c r="AB76" s="12">
        <v>0.8555555555555555</v>
      </c>
      <c r="AC76" s="13">
        <v>0.8555555555555555</v>
      </c>
      <c r="AD76" s="11"/>
      <c r="AE76" s="18"/>
      <c r="AF76" s="38"/>
      <c r="AG76" s="11">
        <v>138.0</v>
      </c>
      <c r="AH76" s="12">
        <v>0.1840277777777778</v>
      </c>
      <c r="AI76" s="13">
        <v>0.18611111111111112</v>
      </c>
      <c r="AJ76" s="11"/>
      <c r="AK76" s="18"/>
      <c r="AL76" s="38"/>
      <c r="AM76" s="11"/>
      <c r="AN76" s="18"/>
      <c r="AO76" s="38"/>
      <c r="AP76" s="11"/>
      <c r="AQ76" s="18"/>
      <c r="AR76" s="38"/>
      <c r="AS76" s="11"/>
      <c r="AT76" s="18"/>
      <c r="AU76" s="38"/>
      <c r="AV76" s="11"/>
      <c r="AW76" s="18"/>
      <c r="AX76" s="38"/>
      <c r="AY76" s="11"/>
      <c r="AZ76" s="12"/>
    </row>
    <row r="77" ht="15.75" customHeight="1">
      <c r="A77" s="7"/>
      <c r="B77" s="47">
        <v>585.0</v>
      </c>
      <c r="C77" s="11">
        <v>144.0</v>
      </c>
      <c r="D77" s="12">
        <v>0.27152777777777776</v>
      </c>
      <c r="E77" s="13">
        <v>0.2722222222222222</v>
      </c>
      <c r="F77" s="64">
        <v>142.0</v>
      </c>
      <c r="G77" s="65">
        <v>0.33611111111111114</v>
      </c>
      <c r="H77" s="66">
        <v>0.33611111111111114</v>
      </c>
      <c r="I77" s="11">
        <v>147.0</v>
      </c>
      <c r="J77" s="12">
        <v>0.4125</v>
      </c>
      <c r="K77" s="13">
        <v>0.41944444444444445</v>
      </c>
      <c r="L77" s="11"/>
      <c r="M77" s="12"/>
      <c r="N77" s="13"/>
      <c r="O77" s="38"/>
      <c r="P77" s="12"/>
      <c r="Q77" s="13"/>
      <c r="R77" s="11"/>
      <c r="S77" s="18"/>
      <c r="T77" s="13"/>
      <c r="U77" s="11"/>
      <c r="V77" s="12"/>
      <c r="W77" s="13"/>
      <c r="X77" s="11"/>
      <c r="Y77" s="12"/>
      <c r="Z77" s="13"/>
      <c r="AA77" s="11">
        <v>163.0</v>
      </c>
      <c r="AB77" s="12">
        <v>0.9798611111111111</v>
      </c>
      <c r="AC77" s="13">
        <v>1.0020833333333334</v>
      </c>
      <c r="AD77" s="11"/>
      <c r="AE77" s="12"/>
      <c r="AF77" s="13"/>
      <c r="AG77" s="11">
        <v>71.0</v>
      </c>
      <c r="AH77" s="12">
        <v>0.029861111111111113</v>
      </c>
      <c r="AI77" s="13">
        <v>0.03125</v>
      </c>
      <c r="AJ77" s="11"/>
      <c r="AK77" s="12"/>
      <c r="AL77" s="13"/>
      <c r="AM77" s="11"/>
      <c r="AN77" s="12"/>
      <c r="AO77" s="13"/>
      <c r="AP77" s="11"/>
      <c r="AQ77" s="12"/>
      <c r="AR77" s="13"/>
      <c r="AS77" s="11"/>
      <c r="AT77" s="12"/>
      <c r="AU77" s="13"/>
      <c r="AV77" s="11"/>
      <c r="AW77" s="12"/>
      <c r="AX77" s="13"/>
      <c r="AY77" s="11"/>
      <c r="AZ77" s="12"/>
    </row>
    <row r="78" ht="15.75" customHeight="1">
      <c r="A78" s="7"/>
      <c r="B78" s="47">
        <v>587.0</v>
      </c>
      <c r="C78" s="11">
        <v>170.0</v>
      </c>
      <c r="D78" s="12">
        <v>0.2743055555555556</v>
      </c>
      <c r="E78" s="13">
        <v>0.275</v>
      </c>
      <c r="F78" s="64">
        <v>175.0</v>
      </c>
      <c r="G78" s="65">
        <v>0.3416666666666667</v>
      </c>
      <c r="H78" s="66">
        <v>0.3416666666666667</v>
      </c>
      <c r="I78" s="11">
        <v>142.0</v>
      </c>
      <c r="J78" s="12">
        <v>0.4097222222222222</v>
      </c>
      <c r="K78" s="13">
        <v>0.41597222222222224</v>
      </c>
      <c r="L78" s="11"/>
      <c r="M78" s="12"/>
      <c r="N78" s="13"/>
      <c r="O78" s="38"/>
      <c r="P78" s="12"/>
      <c r="Q78" s="13"/>
      <c r="R78" s="11"/>
      <c r="S78" s="18"/>
      <c r="T78" s="38"/>
      <c r="U78" s="11"/>
      <c r="V78" s="18"/>
      <c r="W78" s="38"/>
      <c r="X78" s="11"/>
      <c r="Y78" s="12"/>
      <c r="Z78" s="13"/>
      <c r="AA78" s="11">
        <v>43.0</v>
      </c>
      <c r="AB78" s="12">
        <v>0.7868055555555555</v>
      </c>
      <c r="AC78" s="38" t="s">
        <v>178</v>
      </c>
      <c r="AD78" s="11"/>
      <c r="AE78" s="18"/>
      <c r="AF78" s="38"/>
      <c r="AG78" s="11"/>
      <c r="AH78" s="18"/>
      <c r="AI78" s="38"/>
      <c r="AJ78" s="11"/>
      <c r="AK78" s="12"/>
      <c r="AL78" s="13"/>
      <c r="AM78" s="11"/>
      <c r="AN78" s="12"/>
      <c r="AO78" s="13"/>
      <c r="AP78" s="11"/>
      <c r="AQ78" s="12"/>
      <c r="AR78" s="13"/>
      <c r="AS78" s="11"/>
      <c r="AT78" s="12"/>
      <c r="AU78" s="13"/>
      <c r="AV78" s="11"/>
      <c r="AW78" s="12"/>
      <c r="AX78" s="13"/>
      <c r="AY78" s="11"/>
      <c r="AZ78" s="12"/>
    </row>
    <row r="79" ht="15.75" customHeight="1">
      <c r="A79" s="7"/>
      <c r="B79" s="47">
        <v>588.0</v>
      </c>
      <c r="C79" s="11">
        <v>21.0</v>
      </c>
      <c r="D79" s="12">
        <v>0.25763888888888886</v>
      </c>
      <c r="E79" s="13">
        <v>0.25833333333333336</v>
      </c>
      <c r="F79" s="64">
        <v>22.0</v>
      </c>
      <c r="G79" s="65">
        <v>0.30625</v>
      </c>
      <c r="H79" s="66">
        <v>0.30625</v>
      </c>
      <c r="I79" s="11">
        <v>28.0</v>
      </c>
      <c r="J79" s="12">
        <v>0.3659722222222222</v>
      </c>
      <c r="K79" s="13">
        <v>0.37916666666666665</v>
      </c>
      <c r="L79" s="11"/>
      <c r="M79" s="12"/>
      <c r="N79" s="13"/>
      <c r="O79" s="38"/>
      <c r="P79" s="12"/>
      <c r="Q79" s="13"/>
      <c r="R79" s="11"/>
      <c r="S79" s="18"/>
      <c r="T79" s="38"/>
      <c r="U79" s="11"/>
      <c r="V79" s="18"/>
      <c r="W79" s="38"/>
      <c r="X79" s="11"/>
      <c r="Y79" s="12"/>
      <c r="Z79" s="13"/>
      <c r="AA79" s="11">
        <v>35.0</v>
      </c>
      <c r="AB79" s="12">
        <v>0.7729166666666667</v>
      </c>
      <c r="AC79" s="13">
        <v>0.7854166666666667</v>
      </c>
      <c r="AD79" s="11"/>
      <c r="AE79" s="18"/>
      <c r="AF79" s="38"/>
      <c r="AG79" s="11"/>
      <c r="AH79" s="18"/>
      <c r="AI79" s="38"/>
      <c r="AJ79" s="11"/>
      <c r="AK79" s="12"/>
      <c r="AL79" s="13"/>
      <c r="AM79" s="11"/>
      <c r="AN79" s="12"/>
      <c r="AO79" s="13"/>
      <c r="AP79" s="11"/>
      <c r="AQ79" s="12"/>
      <c r="AR79" s="13"/>
      <c r="AS79" s="11"/>
      <c r="AT79" s="12"/>
      <c r="AU79" s="13"/>
      <c r="AV79" s="11"/>
      <c r="AW79" s="12"/>
      <c r="AX79" s="13"/>
      <c r="AY79" s="11"/>
      <c r="AZ79" s="12"/>
    </row>
    <row r="80" ht="15.75" customHeight="1">
      <c r="A80" s="7"/>
      <c r="B80" s="47">
        <v>589.0</v>
      </c>
      <c r="C80" s="11">
        <v>22.0</v>
      </c>
      <c r="D80" s="12">
        <v>0.25763888888888886</v>
      </c>
      <c r="E80" s="13">
        <v>0.25833333333333336</v>
      </c>
      <c r="F80" s="64">
        <v>19.0</v>
      </c>
      <c r="G80" s="65">
        <v>0.30625</v>
      </c>
      <c r="H80" s="66">
        <v>0.30625</v>
      </c>
      <c r="I80" s="11">
        <v>22.0</v>
      </c>
      <c r="J80" s="12">
        <v>0.3638888888888889</v>
      </c>
      <c r="K80" s="13">
        <v>0.3659722222222222</v>
      </c>
      <c r="L80" s="11"/>
      <c r="M80" s="12"/>
      <c r="N80" s="13"/>
      <c r="O80" s="38"/>
      <c r="P80" s="12"/>
      <c r="Q80" s="13"/>
      <c r="R80" s="11"/>
      <c r="S80" s="18"/>
      <c r="T80" s="38"/>
      <c r="U80" s="11"/>
      <c r="V80" s="18"/>
      <c r="W80" s="38"/>
      <c r="X80" s="11"/>
      <c r="Y80" s="12"/>
      <c r="Z80" s="13"/>
      <c r="AA80" s="11">
        <v>135.0</v>
      </c>
      <c r="AB80" s="12">
        <v>0.9298611111111111</v>
      </c>
      <c r="AC80" s="13">
        <v>0.9347222222222222</v>
      </c>
      <c r="AD80" s="11"/>
      <c r="AE80" s="18"/>
      <c r="AF80" s="38"/>
      <c r="AG80" s="11">
        <v>62.0</v>
      </c>
      <c r="AH80" s="12">
        <v>0.019444444444444445</v>
      </c>
      <c r="AI80" s="38" t="s">
        <v>178</v>
      </c>
      <c r="AJ80" s="11"/>
      <c r="AK80" s="12"/>
      <c r="AL80" s="13"/>
      <c r="AM80" s="11"/>
      <c r="AN80" s="12"/>
      <c r="AO80" s="13"/>
      <c r="AP80" s="11"/>
      <c r="AQ80" s="12"/>
      <c r="AR80" s="13"/>
      <c r="AS80" s="11"/>
      <c r="AT80" s="12"/>
      <c r="AU80" s="13"/>
      <c r="AV80" s="11"/>
      <c r="AW80" s="12"/>
      <c r="AX80" s="13"/>
      <c r="AY80" s="11"/>
      <c r="AZ80" s="12"/>
    </row>
    <row r="81" ht="15.75" customHeight="1">
      <c r="A81" s="7"/>
      <c r="B81" s="47">
        <v>590.0</v>
      </c>
      <c r="C81" s="11">
        <v>109.0</v>
      </c>
      <c r="D81" s="12">
        <v>0.26944444444444443</v>
      </c>
      <c r="E81" s="13">
        <v>0.2701388888888889</v>
      </c>
      <c r="F81" s="64">
        <v>112.0</v>
      </c>
      <c r="G81" s="65">
        <v>0.32569444444444445</v>
      </c>
      <c r="H81" s="66">
        <v>0.32569444444444445</v>
      </c>
      <c r="I81" s="11">
        <v>120.0</v>
      </c>
      <c r="J81" s="12">
        <v>0.40208333333333335</v>
      </c>
      <c r="K81" s="13">
        <v>0.4222222222222222</v>
      </c>
      <c r="L81" s="11"/>
      <c r="M81" s="12"/>
      <c r="N81" s="13"/>
      <c r="O81" s="38"/>
      <c r="P81" s="12"/>
      <c r="Q81" s="13"/>
      <c r="R81" s="11"/>
      <c r="S81" s="18"/>
      <c r="T81" s="13"/>
      <c r="U81" s="11"/>
      <c r="V81" s="12"/>
      <c r="W81" s="13"/>
      <c r="X81" s="11"/>
      <c r="Y81" s="12"/>
      <c r="Z81" s="13"/>
      <c r="AA81" s="11">
        <v>48.0</v>
      </c>
      <c r="AB81" s="12">
        <v>0.7958333333333333</v>
      </c>
      <c r="AC81" s="13">
        <v>0.7979166666666667</v>
      </c>
      <c r="AD81" s="11"/>
      <c r="AE81" s="12"/>
      <c r="AF81" s="13"/>
      <c r="AG81" s="11">
        <v>140.0</v>
      </c>
      <c r="AH81" s="12">
        <v>0.18541666666666667</v>
      </c>
      <c r="AI81" s="13">
        <v>0.18611111111111112</v>
      </c>
      <c r="AJ81" s="11"/>
      <c r="AK81" s="12"/>
      <c r="AL81" s="13"/>
      <c r="AM81" s="11"/>
      <c r="AN81" s="12"/>
      <c r="AO81" s="13"/>
      <c r="AP81" s="11"/>
      <c r="AQ81" s="12"/>
      <c r="AR81" s="13"/>
      <c r="AS81" s="11"/>
      <c r="AT81" s="12"/>
      <c r="AU81" s="13"/>
      <c r="AV81" s="11"/>
      <c r="AW81" s="12"/>
      <c r="AX81" s="13"/>
      <c r="AY81" s="11"/>
      <c r="AZ81" s="18"/>
    </row>
    <row r="82" ht="15.75" customHeight="1">
      <c r="A82" s="7"/>
      <c r="B82" s="47">
        <v>591.0</v>
      </c>
      <c r="C82" s="11">
        <v>169.0</v>
      </c>
      <c r="D82" s="12">
        <v>0.2743055555555556</v>
      </c>
      <c r="E82" s="13">
        <v>0.275</v>
      </c>
      <c r="F82" s="64">
        <v>144.0</v>
      </c>
      <c r="G82" s="65">
        <v>0.33611111111111114</v>
      </c>
      <c r="H82" s="66">
        <v>0.33611111111111114</v>
      </c>
      <c r="I82" s="11">
        <v>110.0</v>
      </c>
      <c r="J82" s="12">
        <v>0.4</v>
      </c>
      <c r="K82" s="13">
        <v>0.4097222222222222</v>
      </c>
      <c r="L82" s="11"/>
      <c r="M82" s="12"/>
      <c r="N82" s="13"/>
      <c r="O82" s="38"/>
      <c r="P82" s="12"/>
      <c r="Q82" s="13"/>
      <c r="R82" s="11"/>
      <c r="S82" s="18"/>
      <c r="T82" s="38"/>
      <c r="U82" s="11"/>
      <c r="V82" s="18"/>
      <c r="W82" s="38"/>
      <c r="X82" s="11"/>
      <c r="Y82" s="12"/>
      <c r="Z82" s="13"/>
      <c r="AA82" s="11">
        <v>123.0</v>
      </c>
      <c r="AB82" s="12">
        <v>0.9152777777777777</v>
      </c>
      <c r="AC82" s="13">
        <v>0.9236111111111112</v>
      </c>
      <c r="AD82" s="11"/>
      <c r="AE82" s="18"/>
      <c r="AF82" s="38"/>
      <c r="AG82" s="11">
        <v>31.0</v>
      </c>
      <c r="AH82" s="12">
        <v>0.9395833333333333</v>
      </c>
      <c r="AI82" s="13">
        <v>0.9423611111111111</v>
      </c>
      <c r="AJ82" s="11"/>
      <c r="AK82" s="12"/>
      <c r="AL82" s="13"/>
      <c r="AM82" s="11"/>
      <c r="AN82" s="12"/>
      <c r="AO82" s="13"/>
      <c r="AP82" s="11"/>
      <c r="AQ82" s="12"/>
      <c r="AR82" s="13"/>
      <c r="AS82" s="11"/>
      <c r="AT82" s="12"/>
      <c r="AU82" s="13"/>
      <c r="AV82" s="11"/>
      <c r="AW82" s="12"/>
      <c r="AX82" s="13"/>
      <c r="AY82" s="11"/>
      <c r="AZ82" s="12"/>
    </row>
    <row r="83" ht="15.75" customHeight="1">
      <c r="A83" s="7"/>
      <c r="B83" s="47">
        <v>592.0</v>
      </c>
      <c r="C83" s="11">
        <v>148.0</v>
      </c>
      <c r="D83" s="12">
        <v>0.27152777777777776</v>
      </c>
      <c r="E83" s="13">
        <v>0.2722222222222222</v>
      </c>
      <c r="F83" s="64">
        <v>143.0</v>
      </c>
      <c r="G83" s="65">
        <v>0.33611111111111114</v>
      </c>
      <c r="H83" s="66">
        <v>0.33611111111111114</v>
      </c>
      <c r="I83" s="11">
        <v>132.0</v>
      </c>
      <c r="J83" s="12">
        <v>0.4076388888888889</v>
      </c>
      <c r="K83" s="13">
        <v>0.4097222222222222</v>
      </c>
      <c r="L83" s="11"/>
      <c r="M83" s="12"/>
      <c r="N83" s="13"/>
      <c r="O83" s="38"/>
      <c r="P83" s="12"/>
      <c r="Q83" s="13"/>
      <c r="R83" s="11"/>
      <c r="S83" s="18"/>
      <c r="T83" s="38"/>
      <c r="U83" s="11"/>
      <c r="V83" s="18"/>
      <c r="W83" s="38"/>
      <c r="X83" s="11"/>
      <c r="Y83" s="12"/>
      <c r="Z83" s="13"/>
      <c r="AA83" s="11">
        <v>150.0</v>
      </c>
      <c r="AB83" s="12">
        <v>0.9548611111111112</v>
      </c>
      <c r="AC83" s="13">
        <v>0.9638888888888889</v>
      </c>
      <c r="AD83" s="11"/>
      <c r="AE83" s="18"/>
      <c r="AF83" s="38"/>
      <c r="AG83" s="11">
        <v>119.0</v>
      </c>
      <c r="AH83" s="12">
        <v>0.1326388888888889</v>
      </c>
      <c r="AI83" s="13">
        <v>0.13819444444444445</v>
      </c>
      <c r="AJ83" s="11"/>
      <c r="AK83" s="12"/>
      <c r="AL83" s="13"/>
      <c r="AM83" s="11"/>
      <c r="AN83" s="12"/>
      <c r="AO83" s="13"/>
      <c r="AP83" s="11"/>
      <c r="AQ83" s="12"/>
      <c r="AR83" s="13"/>
      <c r="AS83" s="11"/>
      <c r="AT83" s="12"/>
      <c r="AU83" s="38"/>
      <c r="AV83" s="11"/>
      <c r="AW83" s="12"/>
      <c r="AX83" s="38"/>
      <c r="AY83" s="11"/>
      <c r="AZ83" s="12"/>
    </row>
    <row r="84" ht="15.75" customHeight="1">
      <c r="A84" s="7"/>
      <c r="B84" s="18">
        <v>593.0</v>
      </c>
      <c r="C84" s="11">
        <v>200.0</v>
      </c>
      <c r="D84" s="12">
        <v>0.28958333333333336</v>
      </c>
      <c r="E84" s="13">
        <v>0.2902777777777778</v>
      </c>
      <c r="F84" s="67"/>
      <c r="G84" s="67"/>
      <c r="H84" s="72"/>
      <c r="I84" s="11"/>
      <c r="J84" s="18"/>
      <c r="K84" s="38"/>
      <c r="L84" s="11"/>
      <c r="M84" s="18"/>
      <c r="N84" s="38"/>
      <c r="O84" s="72"/>
      <c r="Q84" s="72"/>
      <c r="R84" s="11"/>
      <c r="S84" s="18"/>
      <c r="T84" s="38"/>
      <c r="U84" s="11"/>
      <c r="V84" s="18"/>
      <c r="W84" s="38"/>
      <c r="X84" s="11"/>
      <c r="Y84" s="18"/>
      <c r="Z84" s="38"/>
      <c r="AA84" s="11"/>
      <c r="AB84" s="18"/>
      <c r="AC84" s="13"/>
      <c r="AD84" s="11"/>
      <c r="AE84" s="18"/>
      <c r="AF84" s="38"/>
      <c r="AG84" s="11"/>
      <c r="AH84" s="18"/>
      <c r="AI84" s="38"/>
      <c r="AJ84" s="11"/>
      <c r="AK84" s="18"/>
      <c r="AL84" s="38"/>
      <c r="AM84" s="11"/>
      <c r="AN84" s="18"/>
      <c r="AO84" s="38"/>
      <c r="AP84" s="11"/>
      <c r="AQ84" s="18"/>
      <c r="AR84" s="38"/>
      <c r="AS84" s="11"/>
      <c r="AT84" s="18"/>
      <c r="AU84" s="38"/>
      <c r="AV84" s="11"/>
      <c r="AW84" s="18"/>
      <c r="AX84" s="38"/>
      <c r="AY84" s="11"/>
      <c r="AZ84" s="18"/>
    </row>
    <row r="85" ht="15.75" customHeight="1">
      <c r="A85" s="7"/>
      <c r="B85" s="47">
        <v>595.0</v>
      </c>
      <c r="C85" s="11">
        <v>137.0</v>
      </c>
      <c r="D85" s="12">
        <v>0.27152777777777776</v>
      </c>
      <c r="E85" s="13">
        <v>0.2722222222222222</v>
      </c>
      <c r="F85" s="64">
        <v>129.0</v>
      </c>
      <c r="G85" s="65">
        <v>0.3326388888888889</v>
      </c>
      <c r="H85" s="66">
        <v>0.3326388888888889</v>
      </c>
      <c r="I85" s="11">
        <v>162.0</v>
      </c>
      <c r="J85" s="12">
        <v>0.41597222222222224</v>
      </c>
      <c r="K85" s="13">
        <v>0.4284722222222222</v>
      </c>
      <c r="L85" s="11"/>
      <c r="M85" s="12"/>
      <c r="N85" s="13"/>
      <c r="O85" s="38"/>
      <c r="P85" s="12"/>
      <c r="Q85" s="13"/>
      <c r="R85" s="11"/>
      <c r="S85" s="18"/>
      <c r="T85" s="38"/>
      <c r="U85" s="11"/>
      <c r="V85" s="18"/>
      <c r="W85" s="38"/>
      <c r="X85" s="11"/>
      <c r="Y85" s="18"/>
      <c r="Z85" s="38"/>
      <c r="AA85" s="11">
        <v>2.0</v>
      </c>
      <c r="AB85" s="12">
        <v>0.6673611111111111</v>
      </c>
      <c r="AC85" s="13">
        <v>0.6701388888888888</v>
      </c>
      <c r="AD85" s="11"/>
      <c r="AE85" s="18"/>
      <c r="AF85" s="38"/>
      <c r="AG85" s="11">
        <v>135.0</v>
      </c>
      <c r="AH85" s="12">
        <v>0.17430555555555555</v>
      </c>
      <c r="AI85" s="13">
        <v>0.17916666666666667</v>
      </c>
      <c r="AJ85" s="11"/>
      <c r="AK85" s="18"/>
      <c r="AL85" s="38"/>
      <c r="AM85" s="11"/>
      <c r="AN85" s="18"/>
      <c r="AO85" s="38"/>
      <c r="AP85" s="11"/>
      <c r="AQ85" s="18"/>
      <c r="AR85" s="38"/>
      <c r="AS85" s="11"/>
      <c r="AT85" s="18"/>
      <c r="AU85" s="38"/>
      <c r="AV85" s="11"/>
      <c r="AW85" s="18"/>
      <c r="AX85" s="38"/>
      <c r="AY85" s="11"/>
      <c r="AZ85" s="12"/>
    </row>
    <row r="86" ht="15.75" customHeight="1">
      <c r="A86" s="7"/>
      <c r="B86" s="47">
        <v>596.0</v>
      </c>
      <c r="C86" s="11">
        <v>3.0</v>
      </c>
      <c r="D86" s="12">
        <v>0.2513888888888889</v>
      </c>
      <c r="E86" s="13">
        <v>0.2520833333333333</v>
      </c>
      <c r="F86" s="64">
        <v>1.0</v>
      </c>
      <c r="G86" s="65">
        <v>0.29097222222222224</v>
      </c>
      <c r="H86" s="66">
        <v>0.2916666666666667</v>
      </c>
      <c r="I86" s="11">
        <v>2.0</v>
      </c>
      <c r="J86" s="12">
        <v>0.34097222222222223</v>
      </c>
      <c r="K86" s="13">
        <v>0.34305555555555556</v>
      </c>
      <c r="L86" s="11"/>
      <c r="M86" s="12"/>
      <c r="N86" s="13"/>
      <c r="O86" s="38"/>
      <c r="P86" s="12"/>
      <c r="Q86" s="13"/>
      <c r="R86" s="11"/>
      <c r="S86" s="18"/>
      <c r="T86" s="38"/>
      <c r="U86" s="11"/>
      <c r="V86" s="18"/>
      <c r="W86" s="38"/>
      <c r="X86" s="11"/>
      <c r="Y86" s="18"/>
      <c r="Z86" s="38"/>
      <c r="AA86" s="11">
        <v>121.0</v>
      </c>
      <c r="AB86" s="12">
        <v>0.9138888888888889</v>
      </c>
      <c r="AC86" s="13">
        <v>0.9131944444444444</v>
      </c>
      <c r="AD86" s="11"/>
      <c r="AE86" s="18"/>
      <c r="AF86" s="38"/>
      <c r="AG86" s="11">
        <v>2.0</v>
      </c>
      <c r="AH86" s="12">
        <v>0.8</v>
      </c>
      <c r="AI86" s="13">
        <v>0.8013888888888889</v>
      </c>
      <c r="AJ86" s="11"/>
      <c r="AK86" s="18"/>
      <c r="AL86" s="38"/>
      <c r="AM86" s="11"/>
      <c r="AN86" s="18"/>
      <c r="AO86" s="38"/>
      <c r="AP86" s="11"/>
      <c r="AQ86" s="18"/>
      <c r="AR86" s="38"/>
      <c r="AS86" s="11"/>
      <c r="AT86" s="18"/>
      <c r="AU86" s="38"/>
      <c r="AV86" s="11"/>
      <c r="AW86" s="18"/>
      <c r="AX86" s="38"/>
      <c r="AY86" s="11"/>
      <c r="AZ86" s="18"/>
    </row>
    <row r="87" ht="15.75" customHeight="1">
      <c r="A87" s="7"/>
      <c r="B87" s="47">
        <v>597.0</v>
      </c>
      <c r="C87" s="11">
        <v>185.0</v>
      </c>
      <c r="D87" s="12">
        <v>0.27847222222222223</v>
      </c>
      <c r="E87" s="13">
        <v>0.2791666666666667</v>
      </c>
      <c r="F87" s="64">
        <v>188.0</v>
      </c>
      <c r="G87" s="65">
        <v>0.35138888888888886</v>
      </c>
      <c r="H87" s="66">
        <v>0.35138888888888886</v>
      </c>
      <c r="I87" s="11">
        <v>178.0</v>
      </c>
      <c r="J87" s="12">
        <v>0.425</v>
      </c>
      <c r="K87" s="13">
        <v>0.4388888888888889</v>
      </c>
      <c r="L87" s="11"/>
      <c r="M87" s="12"/>
      <c r="N87" s="13"/>
      <c r="O87" s="38"/>
      <c r="P87" s="12"/>
      <c r="Q87" s="13"/>
      <c r="R87" s="11"/>
      <c r="S87" s="18"/>
      <c r="T87" s="38"/>
      <c r="U87" s="11"/>
      <c r="V87" s="18"/>
      <c r="W87" s="38"/>
      <c r="X87" s="11"/>
      <c r="Y87" s="18"/>
      <c r="Z87" s="38"/>
      <c r="AA87" s="11">
        <v>129.0</v>
      </c>
      <c r="AB87" s="12">
        <v>0.9256944444444445</v>
      </c>
      <c r="AC87" s="13">
        <v>0.9236111111111112</v>
      </c>
      <c r="AD87" s="11"/>
      <c r="AE87" s="18"/>
      <c r="AF87" s="38"/>
      <c r="AG87" s="11">
        <v>116.0</v>
      </c>
      <c r="AH87" s="12">
        <v>0.12222222222222222</v>
      </c>
      <c r="AI87" s="13">
        <v>0.12430555555555556</v>
      </c>
      <c r="AJ87" s="11"/>
      <c r="AK87" s="18"/>
      <c r="AL87" s="38"/>
      <c r="AM87" s="11"/>
      <c r="AN87" s="18"/>
      <c r="AO87" s="38"/>
      <c r="AP87" s="11"/>
      <c r="AQ87" s="18"/>
      <c r="AR87" s="38"/>
      <c r="AS87" s="11"/>
      <c r="AT87" s="18"/>
      <c r="AU87" s="38"/>
      <c r="AV87" s="11"/>
      <c r="AW87" s="18"/>
      <c r="AX87" s="38"/>
      <c r="AY87" s="11"/>
      <c r="AZ87" s="12"/>
    </row>
    <row r="88" ht="15.75" customHeight="1">
      <c r="A88" s="7"/>
      <c r="B88" s="47">
        <v>598.0</v>
      </c>
      <c r="C88" s="11">
        <v>126.0</v>
      </c>
      <c r="D88" s="12">
        <v>0.2708333333333333</v>
      </c>
      <c r="E88" s="13">
        <v>0.27152777777777776</v>
      </c>
      <c r="F88" s="64">
        <v>135.0</v>
      </c>
      <c r="G88" s="65">
        <v>0.33402777777777776</v>
      </c>
      <c r="H88" s="66">
        <v>0.33402777777777776</v>
      </c>
      <c r="I88" s="11">
        <v>138.0</v>
      </c>
      <c r="J88" s="12">
        <v>0.40902777777777777</v>
      </c>
      <c r="K88" s="13">
        <v>0.4131944444444444</v>
      </c>
      <c r="L88" s="11"/>
      <c r="M88" s="12"/>
      <c r="N88" s="13"/>
      <c r="O88" s="38"/>
      <c r="P88" s="12"/>
      <c r="Q88" s="13"/>
      <c r="R88" s="11"/>
      <c r="S88" s="18"/>
      <c r="T88" s="38"/>
      <c r="U88" s="11"/>
      <c r="V88" s="18"/>
      <c r="W88" s="38"/>
      <c r="X88" s="11"/>
      <c r="Y88" s="12"/>
      <c r="Z88" s="13"/>
      <c r="AA88" s="11">
        <v>11.0</v>
      </c>
      <c r="AB88" s="12">
        <v>0.7347222222222223</v>
      </c>
      <c r="AC88" s="13">
        <v>0.7361111111111112</v>
      </c>
      <c r="AD88" s="11"/>
      <c r="AE88" s="18"/>
      <c r="AF88" s="38"/>
      <c r="AG88" s="11">
        <v>117.0</v>
      </c>
      <c r="AH88" s="12">
        <v>0.12777777777777777</v>
      </c>
      <c r="AI88" s="13">
        <v>0.13333333333333333</v>
      </c>
      <c r="AJ88" s="11"/>
      <c r="AK88" s="12"/>
      <c r="AL88" s="13"/>
      <c r="AM88" s="11"/>
      <c r="AN88" s="12"/>
      <c r="AO88" s="13"/>
      <c r="AP88" s="11"/>
      <c r="AQ88" s="12"/>
      <c r="AR88" s="13"/>
      <c r="AS88" s="11"/>
      <c r="AT88" s="12"/>
      <c r="AU88" s="13"/>
      <c r="AV88" s="11"/>
      <c r="AW88" s="12"/>
      <c r="AX88" s="13"/>
      <c r="AY88" s="11"/>
      <c r="AZ88" s="18"/>
    </row>
    <row r="89" ht="15.75" customHeight="1">
      <c r="A89" s="7"/>
      <c r="B89" s="47">
        <v>599.0</v>
      </c>
      <c r="C89" s="11">
        <v>2.0</v>
      </c>
      <c r="D89" s="12">
        <v>0.2513888888888889</v>
      </c>
      <c r="E89" s="13">
        <v>0.2520833333333333</v>
      </c>
      <c r="F89" s="64">
        <v>10.0</v>
      </c>
      <c r="G89" s="65">
        <v>0.2951388888888889</v>
      </c>
      <c r="H89" s="66">
        <v>0.2951388888888889</v>
      </c>
      <c r="I89" s="11">
        <v>10.0</v>
      </c>
      <c r="J89" s="12">
        <v>0.34652777777777777</v>
      </c>
      <c r="K89" s="13">
        <v>0.35</v>
      </c>
      <c r="L89" s="11"/>
      <c r="M89" s="12"/>
      <c r="N89" s="13"/>
      <c r="O89" s="38"/>
      <c r="P89" s="12"/>
      <c r="Q89" s="13"/>
      <c r="R89" s="11"/>
      <c r="S89" s="18"/>
      <c r="T89" s="38"/>
      <c r="U89" s="11"/>
      <c r="V89" s="18"/>
      <c r="W89" s="38"/>
      <c r="X89" s="11"/>
      <c r="Y89" s="18"/>
      <c r="Z89" s="38"/>
      <c r="AA89" s="11"/>
      <c r="AB89" s="12"/>
      <c r="AC89" s="38"/>
      <c r="AD89" s="11"/>
      <c r="AE89" s="18"/>
      <c r="AF89" s="38"/>
      <c r="AG89" s="11">
        <v>26.0</v>
      </c>
      <c r="AH89" s="12">
        <v>0.9166666666666666</v>
      </c>
      <c r="AI89" s="13">
        <v>0.9180555555555555</v>
      </c>
      <c r="AJ89" s="11"/>
      <c r="AK89" s="18"/>
      <c r="AL89" s="38"/>
      <c r="AM89" s="11"/>
      <c r="AN89" s="18"/>
      <c r="AO89" s="38"/>
      <c r="AP89" s="11"/>
      <c r="AQ89" s="18"/>
      <c r="AR89" s="38"/>
      <c r="AS89" s="11"/>
      <c r="AT89" s="18"/>
      <c r="AU89" s="38"/>
      <c r="AV89" s="11"/>
      <c r="AW89" s="18"/>
      <c r="AX89" s="38"/>
      <c r="AY89" s="11"/>
      <c r="AZ89" s="18"/>
    </row>
    <row r="90" ht="15.75" customHeight="1">
      <c r="A90" s="7"/>
      <c r="B90" s="47">
        <v>600.0</v>
      </c>
      <c r="C90" s="11">
        <v>55.0</v>
      </c>
      <c r="D90" s="12">
        <v>0.26319444444444445</v>
      </c>
      <c r="E90" s="13">
        <v>0.2638888888888889</v>
      </c>
      <c r="F90" s="64">
        <v>74.0</v>
      </c>
      <c r="G90" s="65">
        <v>0.32083333333333336</v>
      </c>
      <c r="H90" s="66">
        <v>0.32083333333333336</v>
      </c>
      <c r="I90" s="11">
        <v>97.0</v>
      </c>
      <c r="J90" s="12">
        <v>0.3958333333333333</v>
      </c>
      <c r="K90" s="13">
        <v>0.40347222222222223</v>
      </c>
      <c r="L90" s="11"/>
      <c r="M90" s="12"/>
      <c r="N90" s="13"/>
      <c r="O90" s="38"/>
      <c r="P90" s="12"/>
      <c r="Q90" s="13"/>
      <c r="R90" s="11"/>
      <c r="S90" s="18"/>
      <c r="T90" s="38"/>
      <c r="U90" s="11"/>
      <c r="V90" s="18"/>
      <c r="W90" s="38"/>
      <c r="X90" s="11"/>
      <c r="Y90" s="12"/>
      <c r="Z90" s="13"/>
      <c r="AA90" s="11">
        <v>19.0</v>
      </c>
      <c r="AB90" s="12">
        <v>0.7451388888888889</v>
      </c>
      <c r="AC90" s="13">
        <v>0.7472222222222222</v>
      </c>
      <c r="AD90" s="11"/>
      <c r="AE90" s="12"/>
      <c r="AF90" s="38"/>
      <c r="AG90" s="11"/>
      <c r="AH90" s="12"/>
      <c r="AI90" s="38"/>
      <c r="AJ90" s="11"/>
      <c r="AK90" s="12"/>
      <c r="AL90" s="38"/>
      <c r="AM90" s="11"/>
      <c r="AN90" s="12"/>
      <c r="AO90" s="38"/>
      <c r="AP90" s="11"/>
      <c r="AQ90" s="12"/>
      <c r="AR90" s="38"/>
      <c r="AS90" s="11"/>
      <c r="AT90" s="12"/>
      <c r="AU90" s="38"/>
      <c r="AV90" s="11"/>
      <c r="AW90" s="12"/>
      <c r="AX90" s="38"/>
      <c r="AY90" s="11"/>
      <c r="AZ90" s="18"/>
    </row>
    <row r="91" ht="15.75" customHeight="1">
      <c r="A91" s="7"/>
      <c r="B91" s="47">
        <v>601.0</v>
      </c>
      <c r="C91" s="11">
        <v>11.0</v>
      </c>
      <c r="D91" s="12">
        <v>0.25416666666666665</v>
      </c>
      <c r="E91" s="13">
        <v>0.25416666666666665</v>
      </c>
      <c r="F91" s="64">
        <v>12.0</v>
      </c>
      <c r="G91" s="65">
        <v>0.3013888888888889</v>
      </c>
      <c r="H91" s="66">
        <v>0.3013888888888889</v>
      </c>
      <c r="I91" s="11">
        <v>15.0</v>
      </c>
      <c r="J91" s="12">
        <v>0.3590277777777778</v>
      </c>
      <c r="K91" s="13">
        <v>0.36180555555555555</v>
      </c>
      <c r="L91" s="11"/>
      <c r="M91" s="12"/>
      <c r="N91" s="13"/>
      <c r="O91" s="38"/>
      <c r="P91" s="12"/>
      <c r="Q91" s="13"/>
      <c r="R91" s="11"/>
      <c r="S91" s="18"/>
      <c r="T91" s="38"/>
      <c r="U91" s="11"/>
      <c r="V91" s="18"/>
      <c r="W91" s="38"/>
      <c r="X91" s="11"/>
      <c r="Y91" s="12"/>
      <c r="Z91" s="13"/>
      <c r="AA91" s="11">
        <v>24.0</v>
      </c>
      <c r="AB91" s="12">
        <v>0.7493055555555556</v>
      </c>
      <c r="AC91" s="13">
        <v>0.7520833333333333</v>
      </c>
      <c r="AD91" s="11"/>
      <c r="AE91" s="18"/>
      <c r="AF91" s="38"/>
      <c r="AG91" s="11">
        <v>15.0</v>
      </c>
      <c r="AH91" s="12">
        <v>0.8881944444444444</v>
      </c>
      <c r="AI91" s="13">
        <v>0.8895833333333333</v>
      </c>
      <c r="AJ91" s="11"/>
      <c r="AK91" s="18"/>
      <c r="AL91" s="38"/>
      <c r="AM91" s="11"/>
      <c r="AN91" s="18"/>
      <c r="AO91" s="38"/>
      <c r="AP91" s="11"/>
      <c r="AQ91" s="18"/>
      <c r="AR91" s="38"/>
      <c r="AS91" s="11"/>
      <c r="AT91" s="18"/>
      <c r="AU91" s="38"/>
      <c r="AV91" s="11"/>
      <c r="AW91" s="18"/>
      <c r="AX91" s="38"/>
      <c r="AY91" s="11"/>
      <c r="AZ91" s="12"/>
    </row>
    <row r="92" ht="15.75" customHeight="1">
      <c r="A92" s="7"/>
      <c r="B92" s="47">
        <v>602.0</v>
      </c>
      <c r="C92" s="11">
        <v>101.0</v>
      </c>
      <c r="D92" s="12">
        <v>0.26875</v>
      </c>
      <c r="E92" s="13">
        <v>0.26944444444444443</v>
      </c>
      <c r="F92" s="64">
        <v>83.0</v>
      </c>
      <c r="G92" s="65">
        <v>0.3215277777777778</v>
      </c>
      <c r="H92" s="66">
        <v>0.3215277777777778</v>
      </c>
      <c r="I92" s="11">
        <v>60.0</v>
      </c>
      <c r="J92" s="12">
        <v>0.3819444444444444</v>
      </c>
      <c r="K92" s="13">
        <v>0.38472222222222224</v>
      </c>
      <c r="L92" s="11"/>
      <c r="M92" s="12"/>
      <c r="N92" s="13"/>
      <c r="O92" s="38"/>
      <c r="P92" s="12"/>
      <c r="Q92" s="13"/>
      <c r="R92" s="11"/>
      <c r="S92" s="18"/>
      <c r="T92" s="13"/>
      <c r="U92" s="11"/>
      <c r="V92" s="12"/>
      <c r="W92" s="13"/>
      <c r="X92" s="11"/>
      <c r="Y92" s="12"/>
      <c r="Z92" s="13"/>
      <c r="AA92" s="11">
        <v>7.0</v>
      </c>
      <c r="AB92" s="12">
        <v>0.7006944444444444</v>
      </c>
      <c r="AC92" s="13">
        <v>0.7069444444444445</v>
      </c>
      <c r="AD92" s="11"/>
      <c r="AE92" s="12"/>
      <c r="AF92" s="13"/>
      <c r="AG92" s="11">
        <v>20.0</v>
      </c>
      <c r="AH92" s="12">
        <v>0.9013888888888889</v>
      </c>
      <c r="AI92" s="13">
        <v>0.9041666666666667</v>
      </c>
      <c r="AJ92" s="11"/>
      <c r="AK92" s="12"/>
      <c r="AL92" s="13"/>
      <c r="AM92" s="11"/>
      <c r="AN92" s="12"/>
      <c r="AO92" s="13"/>
      <c r="AP92" s="11"/>
      <c r="AQ92" s="12"/>
      <c r="AR92" s="13"/>
      <c r="AS92" s="11"/>
      <c r="AT92" s="12"/>
      <c r="AU92" s="13"/>
      <c r="AV92" s="11"/>
      <c r="AW92" s="12"/>
      <c r="AX92" s="13"/>
      <c r="AY92" s="11"/>
      <c r="AZ92" s="18"/>
    </row>
    <row r="93" ht="15.75" customHeight="1">
      <c r="A93" s="7"/>
      <c r="B93" s="47">
        <v>603.0</v>
      </c>
      <c r="C93" s="11">
        <v>6.0</v>
      </c>
      <c r="D93" s="12">
        <v>0.2520833333333333</v>
      </c>
      <c r="E93" s="13">
        <v>0.25277777777777777</v>
      </c>
      <c r="F93" s="64">
        <v>6.0</v>
      </c>
      <c r="G93" s="65">
        <v>0.2923611111111111</v>
      </c>
      <c r="H93" s="66">
        <v>0.2923611111111111</v>
      </c>
      <c r="I93" s="11">
        <v>8.0</v>
      </c>
      <c r="J93" s="12">
        <v>0.3458333333333333</v>
      </c>
      <c r="K93" s="13">
        <v>0.34791666666666665</v>
      </c>
      <c r="L93" s="11"/>
      <c r="M93" s="12"/>
      <c r="N93" s="13"/>
      <c r="O93" s="38"/>
      <c r="P93" s="12"/>
      <c r="Q93" s="13"/>
      <c r="R93" s="11"/>
      <c r="S93" s="18"/>
      <c r="T93" s="38"/>
      <c r="U93" s="11"/>
      <c r="V93" s="18"/>
      <c r="W93" s="38"/>
      <c r="X93" s="11"/>
      <c r="Y93" s="12"/>
      <c r="Z93" s="13"/>
      <c r="AA93" s="11">
        <v>73.0</v>
      </c>
      <c r="AB93" s="12">
        <v>0.8395833333333333</v>
      </c>
      <c r="AC93" s="13">
        <v>0.8416666666666667</v>
      </c>
      <c r="AD93" s="11"/>
      <c r="AE93" s="18"/>
      <c r="AF93" s="38"/>
      <c r="AG93" s="11">
        <v>8.0</v>
      </c>
      <c r="AH93" s="12">
        <v>0.8486111111111111</v>
      </c>
      <c r="AI93" s="13">
        <v>0.8534722222222222</v>
      </c>
      <c r="AJ93" s="11"/>
      <c r="AK93" s="18"/>
      <c r="AL93" s="38"/>
      <c r="AM93" s="11"/>
      <c r="AN93" s="18"/>
      <c r="AO93" s="38"/>
      <c r="AP93" s="11"/>
      <c r="AQ93" s="18"/>
      <c r="AR93" s="38"/>
      <c r="AS93" s="11"/>
      <c r="AT93" s="18"/>
      <c r="AU93" s="38"/>
      <c r="AV93" s="11"/>
      <c r="AW93" s="18"/>
      <c r="AX93" s="38"/>
      <c r="AY93" s="11"/>
      <c r="AZ93" s="18"/>
    </row>
    <row r="94" ht="15.75" customHeight="1">
      <c r="A94" s="7"/>
      <c r="B94" s="47">
        <v>604.0</v>
      </c>
      <c r="C94" s="11">
        <v>32.0</v>
      </c>
      <c r="D94" s="12">
        <v>0.25972222222222224</v>
      </c>
      <c r="E94" s="13">
        <v>0.2604166666666667</v>
      </c>
      <c r="F94" s="64">
        <v>36.0</v>
      </c>
      <c r="G94" s="65">
        <v>0.31180555555555556</v>
      </c>
      <c r="H94" s="66">
        <v>0.31180555555555556</v>
      </c>
      <c r="I94" s="11">
        <v>50.0</v>
      </c>
      <c r="J94" s="12">
        <v>0.3763888888888889</v>
      </c>
      <c r="K94" s="13">
        <v>0.38055555555555554</v>
      </c>
      <c r="L94" s="11"/>
      <c r="M94" s="12"/>
      <c r="N94" s="13"/>
      <c r="O94" s="38"/>
      <c r="P94" s="12"/>
      <c r="Q94" s="13"/>
      <c r="R94" s="11"/>
      <c r="S94" s="18"/>
      <c r="T94" s="38"/>
      <c r="U94" s="11"/>
      <c r="V94" s="18"/>
      <c r="W94" s="38"/>
      <c r="X94" s="11"/>
      <c r="Y94" s="18"/>
      <c r="Z94" s="38"/>
      <c r="AA94" s="11">
        <v>147.0</v>
      </c>
      <c r="AB94" s="12">
        <v>0.9465277777777777</v>
      </c>
      <c r="AC94" s="13">
        <v>0.9513888888888888</v>
      </c>
      <c r="AD94" s="11"/>
      <c r="AE94" s="18"/>
      <c r="AF94" s="38"/>
      <c r="AG94" s="11">
        <v>75.0</v>
      </c>
      <c r="AH94" s="12">
        <v>0.035416666666666666</v>
      </c>
      <c r="AI94" s="13">
        <v>0.0375</v>
      </c>
      <c r="AJ94" s="11"/>
      <c r="AK94" s="18"/>
      <c r="AL94" s="38"/>
      <c r="AM94" s="11"/>
      <c r="AN94" s="18"/>
      <c r="AO94" s="38"/>
      <c r="AP94" s="11"/>
      <c r="AQ94" s="18"/>
      <c r="AR94" s="38"/>
      <c r="AS94" s="11"/>
      <c r="AT94" s="18"/>
      <c r="AU94" s="38"/>
      <c r="AV94" s="11"/>
      <c r="AW94" s="18"/>
      <c r="AX94" s="38"/>
      <c r="AY94" s="11"/>
      <c r="AZ94" s="18"/>
    </row>
    <row r="95" ht="15.75" customHeight="1">
      <c r="A95" s="7"/>
      <c r="B95" s="47">
        <v>605.0</v>
      </c>
      <c r="C95" s="11">
        <v>141.0</v>
      </c>
      <c r="D95" s="12">
        <v>0.27152777777777776</v>
      </c>
      <c r="E95" s="13">
        <v>0.2722222222222222</v>
      </c>
      <c r="F95" s="64">
        <v>164.0</v>
      </c>
      <c r="G95" s="65">
        <v>0.3388888888888889</v>
      </c>
      <c r="H95" s="66">
        <v>0.3388888888888889</v>
      </c>
      <c r="I95" s="11">
        <v>174.0</v>
      </c>
      <c r="J95" s="12">
        <v>0.4236111111111111</v>
      </c>
      <c r="K95" s="13">
        <v>0.4284722222222222</v>
      </c>
      <c r="L95" s="11"/>
      <c r="M95" s="12"/>
      <c r="N95" s="13"/>
      <c r="O95" s="38"/>
      <c r="P95" s="12"/>
      <c r="Q95" s="13"/>
      <c r="R95" s="11"/>
      <c r="S95" s="18"/>
      <c r="T95" s="38"/>
      <c r="U95" s="11"/>
      <c r="V95" s="18"/>
      <c r="W95" s="38"/>
      <c r="X95" s="11"/>
      <c r="Y95" s="12"/>
      <c r="Z95" s="13"/>
      <c r="AA95" s="11">
        <v>111.0</v>
      </c>
      <c r="AB95" s="12">
        <v>0.9027777777777778</v>
      </c>
      <c r="AC95" s="13">
        <v>0.9083333333333333</v>
      </c>
      <c r="AD95" s="11"/>
      <c r="AE95" s="18"/>
      <c r="AF95" s="38"/>
      <c r="AG95" s="11">
        <v>124.0</v>
      </c>
      <c r="AH95" s="12">
        <v>0.1423611111111111</v>
      </c>
      <c r="AI95" s="13">
        <v>0.14583333333333334</v>
      </c>
      <c r="AJ95" s="11"/>
      <c r="AK95" s="18"/>
      <c r="AL95" s="38"/>
      <c r="AM95" s="11"/>
      <c r="AN95" s="18"/>
      <c r="AO95" s="38"/>
      <c r="AP95" s="11"/>
      <c r="AQ95" s="18"/>
      <c r="AR95" s="38"/>
      <c r="AS95" s="11"/>
      <c r="AT95" s="18"/>
      <c r="AU95" s="38"/>
      <c r="AV95" s="11"/>
      <c r="AW95" s="18"/>
      <c r="AX95" s="38"/>
      <c r="AY95" s="11"/>
      <c r="AZ95" s="18"/>
    </row>
    <row r="96" ht="15.75" customHeight="1">
      <c r="A96" s="7"/>
      <c r="B96" s="47">
        <v>606.0</v>
      </c>
      <c r="C96" s="11">
        <v>92.0</v>
      </c>
      <c r="D96" s="12">
        <v>0.2673611111111111</v>
      </c>
      <c r="E96" s="13">
        <v>0.26805555555555555</v>
      </c>
      <c r="F96" s="64">
        <v>94.0</v>
      </c>
      <c r="G96" s="65">
        <v>0.32430555555555557</v>
      </c>
      <c r="H96" s="66">
        <v>0.32430555555555557</v>
      </c>
      <c r="I96" s="11">
        <v>118.0</v>
      </c>
      <c r="J96" s="12">
        <v>0.4013888888888889</v>
      </c>
      <c r="K96" s="13">
        <v>0.4097222222222222</v>
      </c>
      <c r="L96" s="11"/>
      <c r="M96" s="12"/>
      <c r="N96" s="13"/>
      <c r="O96" s="38"/>
      <c r="P96" s="12"/>
      <c r="Q96" s="13"/>
      <c r="R96" s="11"/>
      <c r="S96" s="18"/>
      <c r="T96" s="38"/>
      <c r="U96" s="11"/>
      <c r="V96" s="18"/>
      <c r="W96" s="38"/>
      <c r="X96" s="11"/>
      <c r="Y96" s="18"/>
      <c r="Z96" s="38"/>
      <c r="AA96" s="11">
        <v>110.0</v>
      </c>
      <c r="AB96" s="12">
        <v>0.9027777777777778</v>
      </c>
      <c r="AC96" s="13">
        <v>0.9013888888888889</v>
      </c>
      <c r="AD96" s="11"/>
      <c r="AE96" s="18"/>
      <c r="AF96" s="38"/>
      <c r="AG96" s="11">
        <v>115.0</v>
      </c>
      <c r="AH96" s="12">
        <v>0.12083333333333333</v>
      </c>
      <c r="AI96" s="13">
        <v>0.12361111111111112</v>
      </c>
      <c r="AJ96" s="11"/>
      <c r="AK96" s="18"/>
      <c r="AL96" s="38"/>
      <c r="AM96" s="11"/>
      <c r="AN96" s="18"/>
      <c r="AO96" s="38"/>
      <c r="AP96" s="11"/>
      <c r="AQ96" s="18"/>
      <c r="AR96" s="38"/>
      <c r="AS96" s="11"/>
      <c r="AT96" s="18"/>
      <c r="AU96" s="38"/>
      <c r="AV96" s="11"/>
      <c r="AW96" s="18"/>
      <c r="AX96" s="38"/>
      <c r="AY96" s="11"/>
      <c r="AZ96" s="12"/>
    </row>
    <row r="97" ht="15.75" customHeight="1">
      <c r="A97" s="7"/>
      <c r="B97" s="47">
        <v>607.0</v>
      </c>
      <c r="C97" s="11">
        <v>172.0</v>
      </c>
      <c r="D97" s="12">
        <v>0.2743055555555556</v>
      </c>
      <c r="E97" s="13">
        <v>0.275</v>
      </c>
      <c r="F97" s="64">
        <v>170.0</v>
      </c>
      <c r="G97" s="65">
        <v>0.3388888888888889</v>
      </c>
      <c r="H97" s="66">
        <v>0.3388888888888889</v>
      </c>
      <c r="I97" s="11">
        <v>155.0</v>
      </c>
      <c r="J97" s="12">
        <v>0.41388888888888886</v>
      </c>
      <c r="K97" s="13">
        <v>0.42083333333333334</v>
      </c>
      <c r="L97" s="11"/>
      <c r="M97" s="12"/>
      <c r="N97" s="13"/>
      <c r="O97" s="38"/>
      <c r="P97" s="12"/>
      <c r="Q97" s="13"/>
      <c r="R97" s="11"/>
      <c r="S97" s="18"/>
      <c r="T97" s="38"/>
      <c r="U97" s="11"/>
      <c r="V97" s="18"/>
      <c r="W97" s="38"/>
      <c r="X97" s="11"/>
      <c r="Y97" s="12"/>
      <c r="Z97" s="13"/>
      <c r="AA97" s="11"/>
      <c r="AB97" s="18"/>
      <c r="AC97" s="13"/>
      <c r="AD97" s="11"/>
      <c r="AE97" s="12"/>
      <c r="AF97" s="13"/>
      <c r="AG97" s="11">
        <v>102.0</v>
      </c>
      <c r="AH97" s="12">
        <v>0.09861111111111111</v>
      </c>
      <c r="AI97" s="13">
        <v>0.10208333333333333</v>
      </c>
      <c r="AJ97" s="11"/>
      <c r="AK97" s="12"/>
      <c r="AL97" s="13"/>
      <c r="AM97" s="11"/>
      <c r="AN97" s="12"/>
      <c r="AO97" s="13"/>
      <c r="AP97" s="11"/>
      <c r="AQ97" s="12"/>
      <c r="AR97" s="13"/>
      <c r="AS97" s="11"/>
      <c r="AT97" s="12"/>
      <c r="AU97" s="13"/>
      <c r="AV97" s="11"/>
      <c r="AW97" s="12"/>
      <c r="AX97" s="13"/>
      <c r="AY97" s="11"/>
      <c r="AZ97" s="18"/>
    </row>
    <row r="98" ht="15.75" customHeight="1">
      <c r="A98" s="7"/>
      <c r="B98" s="47">
        <v>608.0</v>
      </c>
      <c r="C98" s="11">
        <v>196.0</v>
      </c>
      <c r="D98" s="12">
        <v>0.28125</v>
      </c>
      <c r="E98" s="13">
        <v>0.28194444444444444</v>
      </c>
      <c r="F98" s="64">
        <v>193.0</v>
      </c>
      <c r="G98" s="65">
        <v>0.3541666666666667</v>
      </c>
      <c r="H98" s="66">
        <v>0.3541666666666667</v>
      </c>
      <c r="I98" s="11">
        <v>195.0</v>
      </c>
      <c r="J98" s="12">
        <v>0.44583333333333336</v>
      </c>
      <c r="K98" s="13">
        <v>0.45069444444444445</v>
      </c>
      <c r="L98" s="11"/>
      <c r="M98" s="12"/>
      <c r="N98" s="13"/>
      <c r="O98" s="38"/>
      <c r="P98" s="12"/>
      <c r="Q98" s="13"/>
      <c r="R98" s="11"/>
      <c r="S98" s="18"/>
      <c r="T98" s="38"/>
      <c r="U98" s="11"/>
      <c r="V98" s="18"/>
      <c r="W98" s="38"/>
      <c r="X98" s="11"/>
      <c r="Y98" s="12"/>
      <c r="Z98" s="13"/>
      <c r="AA98" s="11">
        <v>4.0</v>
      </c>
      <c r="AB98" s="12">
        <v>0.6895833333333333</v>
      </c>
      <c r="AC98" s="13">
        <v>0.6909722222222222</v>
      </c>
      <c r="AD98" s="11"/>
      <c r="AE98" s="18"/>
      <c r="AF98" s="38"/>
      <c r="AG98" s="11"/>
      <c r="AH98" s="12"/>
      <c r="AI98" s="13"/>
      <c r="AJ98" s="11"/>
      <c r="AK98" s="18"/>
      <c r="AL98" s="38"/>
      <c r="AM98" s="11"/>
      <c r="AN98" s="18"/>
      <c r="AO98" s="38"/>
      <c r="AP98" s="11"/>
      <c r="AQ98" s="18"/>
      <c r="AR98" s="38"/>
      <c r="AS98" s="11"/>
      <c r="AT98" s="18"/>
      <c r="AU98" s="38"/>
      <c r="AV98" s="11"/>
      <c r="AW98" s="18"/>
      <c r="AX98" s="38"/>
      <c r="AY98" s="11"/>
      <c r="AZ98" s="18"/>
    </row>
    <row r="99" ht="15.75" customHeight="1">
      <c r="A99" s="7"/>
      <c r="B99" s="47">
        <v>609.0</v>
      </c>
      <c r="C99" s="11"/>
      <c r="D99" s="12"/>
      <c r="E99" s="13"/>
      <c r="F99" s="64"/>
      <c r="G99" s="65"/>
      <c r="H99" s="66"/>
      <c r="I99" s="11">
        <v>11.0</v>
      </c>
      <c r="J99" s="12">
        <v>0.3486111111111111</v>
      </c>
      <c r="K99" s="13">
        <v>0.34930555555555554</v>
      </c>
      <c r="L99" s="11"/>
      <c r="M99" s="12"/>
      <c r="N99" s="13"/>
      <c r="O99" s="38"/>
      <c r="P99" s="12"/>
      <c r="Q99" s="13"/>
      <c r="R99" s="11"/>
      <c r="S99" s="18"/>
      <c r="T99" s="38"/>
      <c r="U99" s="11"/>
      <c r="V99" s="18"/>
      <c r="W99" s="38"/>
      <c r="X99" s="11"/>
      <c r="Y99" s="12"/>
      <c r="Z99" s="13"/>
      <c r="AA99" s="11">
        <v>34.0</v>
      </c>
      <c r="AB99" s="12">
        <v>0.7701388888888889</v>
      </c>
      <c r="AC99" s="13">
        <v>0.7729166666666667</v>
      </c>
      <c r="AD99" s="11"/>
      <c r="AE99" s="12"/>
      <c r="AF99" s="38"/>
      <c r="AG99" s="11">
        <v>5.0</v>
      </c>
      <c r="AH99" s="12">
        <v>0.8388888888888889</v>
      </c>
      <c r="AI99" s="13">
        <v>0.8458333333333333</v>
      </c>
      <c r="AJ99" s="11"/>
      <c r="AK99" s="12"/>
      <c r="AL99" s="38"/>
      <c r="AM99" s="11"/>
      <c r="AN99" s="12"/>
      <c r="AO99" s="38"/>
      <c r="AP99" s="11"/>
      <c r="AQ99" s="12"/>
      <c r="AR99" s="38"/>
      <c r="AS99" s="11"/>
      <c r="AT99" s="12"/>
      <c r="AU99" s="38"/>
      <c r="AV99" s="11"/>
      <c r="AW99" s="12"/>
      <c r="AX99" s="38"/>
      <c r="AY99" s="11"/>
      <c r="AZ99" s="12"/>
    </row>
    <row r="100" ht="15.75" customHeight="1">
      <c r="A100" s="7"/>
      <c r="B100" s="47">
        <v>611.0</v>
      </c>
      <c r="C100" s="11">
        <v>49.0</v>
      </c>
      <c r="D100" s="12">
        <v>0.2611111111111111</v>
      </c>
      <c r="E100" s="13">
        <v>0.26180555555555557</v>
      </c>
      <c r="F100" s="64">
        <v>11.0</v>
      </c>
      <c r="G100" s="65">
        <v>0.2986111111111111</v>
      </c>
      <c r="H100" s="66">
        <v>0.2986111111111111</v>
      </c>
      <c r="I100" s="11">
        <v>44.0</v>
      </c>
      <c r="J100" s="12">
        <v>0.3736111111111111</v>
      </c>
      <c r="K100" s="13">
        <v>0.3784722222222222</v>
      </c>
      <c r="L100" s="11"/>
      <c r="M100" s="12"/>
      <c r="N100" s="13"/>
      <c r="O100" s="38"/>
      <c r="P100" s="12"/>
      <c r="Q100" s="13"/>
      <c r="R100" s="11"/>
      <c r="S100" s="18"/>
      <c r="T100" s="38"/>
      <c r="U100" s="11"/>
      <c r="V100" s="18"/>
      <c r="W100" s="38"/>
      <c r="X100" s="11"/>
      <c r="Y100" s="12"/>
      <c r="Z100" s="13"/>
      <c r="AA100" s="11">
        <v>456.0</v>
      </c>
      <c r="AB100" s="12"/>
      <c r="AC100" s="13">
        <v>1.025</v>
      </c>
      <c r="AD100" s="11"/>
      <c r="AE100" s="12"/>
      <c r="AF100" s="38"/>
      <c r="AG100" s="11">
        <v>37.0</v>
      </c>
      <c r="AH100" s="12">
        <v>0.9465277777777777</v>
      </c>
      <c r="AI100" s="13">
        <v>0.95</v>
      </c>
      <c r="AJ100" s="11"/>
      <c r="AK100" s="12"/>
      <c r="AL100" s="38"/>
      <c r="AM100" s="11"/>
      <c r="AN100" s="12"/>
      <c r="AO100" s="38"/>
      <c r="AP100" s="11"/>
      <c r="AQ100" s="12"/>
      <c r="AR100" s="38"/>
      <c r="AS100" s="11"/>
      <c r="AT100" s="12"/>
      <c r="AU100" s="38"/>
      <c r="AV100" s="11"/>
      <c r="AW100" s="12"/>
      <c r="AX100" s="38"/>
      <c r="AY100" s="11"/>
      <c r="AZ100" s="12"/>
    </row>
    <row r="101" ht="15.75" customHeight="1">
      <c r="A101" s="7"/>
      <c r="B101" s="47">
        <v>612.0</v>
      </c>
      <c r="C101" s="11">
        <v>190.0</v>
      </c>
      <c r="D101" s="12">
        <v>0.28055555555555556</v>
      </c>
      <c r="E101" s="13">
        <v>0.28125</v>
      </c>
      <c r="F101" s="64">
        <v>51.0</v>
      </c>
      <c r="G101" s="65">
        <v>0.3145833333333333</v>
      </c>
      <c r="H101" s="66">
        <v>0.3145833333333333</v>
      </c>
      <c r="I101" s="11">
        <v>191.0</v>
      </c>
      <c r="J101" s="12">
        <v>0.4395833333333333</v>
      </c>
      <c r="K101" s="13">
        <v>0.4444444444444444</v>
      </c>
      <c r="L101" s="11"/>
      <c r="M101" s="12"/>
      <c r="N101" s="13"/>
      <c r="O101" s="18"/>
      <c r="P101" s="12"/>
      <c r="Q101" s="12"/>
      <c r="R101" s="11"/>
      <c r="S101" s="18"/>
      <c r="T101" s="38"/>
      <c r="U101" s="11"/>
      <c r="V101" s="18"/>
      <c r="W101" s="38"/>
      <c r="X101" s="11"/>
      <c r="Y101" s="12"/>
      <c r="Z101" s="13"/>
      <c r="AA101" s="11"/>
      <c r="AB101" s="12"/>
      <c r="AC101" s="38"/>
      <c r="AD101" s="11"/>
      <c r="AE101" s="18"/>
      <c r="AF101" s="38"/>
      <c r="AG101" s="11">
        <v>144.0</v>
      </c>
      <c r="AH101" s="12">
        <v>0.1951388888888889</v>
      </c>
      <c r="AI101" s="13">
        <v>0.19722222222222222</v>
      </c>
      <c r="AJ101" s="11"/>
      <c r="AK101" s="12"/>
      <c r="AL101" s="13"/>
      <c r="AM101" s="11"/>
      <c r="AN101" s="12"/>
      <c r="AO101" s="13"/>
      <c r="AP101" s="11"/>
      <c r="AQ101" s="12"/>
      <c r="AR101" s="13"/>
      <c r="AS101" s="11"/>
      <c r="AT101" s="12"/>
      <c r="AU101" s="13"/>
      <c r="AV101" s="11"/>
      <c r="AW101" s="12"/>
      <c r="AX101" s="13"/>
      <c r="AY101" s="11"/>
      <c r="AZ101" s="12"/>
    </row>
    <row r="102" ht="15.75" customHeight="1">
      <c r="A102" s="7"/>
      <c r="B102" s="47">
        <v>613.0</v>
      </c>
      <c r="C102" s="11">
        <v>19.0</v>
      </c>
      <c r="D102" s="12">
        <v>0.25763888888888886</v>
      </c>
      <c r="E102" s="13">
        <v>0.25833333333333336</v>
      </c>
      <c r="F102" s="64">
        <v>192.0</v>
      </c>
      <c r="G102" s="65">
        <v>0.35347222222222224</v>
      </c>
      <c r="H102" s="66">
        <v>0.35347222222222224</v>
      </c>
      <c r="I102" s="11">
        <v>17.0</v>
      </c>
      <c r="J102" s="12">
        <v>0.3611111111111111</v>
      </c>
      <c r="K102" s="38" t="s">
        <v>178</v>
      </c>
      <c r="L102" s="11"/>
      <c r="M102" s="12"/>
      <c r="N102" s="13"/>
      <c r="O102" s="72"/>
      <c r="Q102" s="72"/>
      <c r="R102" s="11"/>
      <c r="S102" s="18"/>
      <c r="T102" s="13"/>
      <c r="U102" s="11"/>
      <c r="V102" s="12"/>
      <c r="W102" s="13"/>
      <c r="X102" s="11"/>
      <c r="Y102" s="12"/>
      <c r="Z102" s="13"/>
      <c r="AA102" s="11">
        <v>164.0</v>
      </c>
      <c r="AB102" s="12">
        <v>0.9881944444444445</v>
      </c>
      <c r="AC102" s="13">
        <v>1.0020833333333334</v>
      </c>
      <c r="AD102" s="11"/>
      <c r="AE102" s="12"/>
      <c r="AF102" s="13"/>
      <c r="AG102" s="11"/>
      <c r="AH102" s="12"/>
      <c r="AI102" s="13"/>
      <c r="AJ102" s="11"/>
      <c r="AK102" s="12"/>
      <c r="AL102" s="13"/>
      <c r="AM102" s="11"/>
      <c r="AN102" s="12"/>
      <c r="AO102" s="13"/>
      <c r="AP102" s="11"/>
      <c r="AQ102" s="12"/>
      <c r="AR102" s="13"/>
      <c r="AS102" s="11"/>
      <c r="AT102" s="12"/>
      <c r="AU102" s="13"/>
      <c r="AV102" s="11"/>
      <c r="AW102" s="12"/>
      <c r="AX102" s="13"/>
      <c r="AY102" s="11"/>
      <c r="AZ102" s="12"/>
    </row>
    <row r="103" ht="15.75" customHeight="1">
      <c r="A103" s="7"/>
      <c r="B103" s="47">
        <v>614.0</v>
      </c>
      <c r="C103" s="11">
        <v>157.0</v>
      </c>
      <c r="D103" s="12">
        <v>0.2743055555555556</v>
      </c>
      <c r="E103" s="13">
        <v>0.275</v>
      </c>
      <c r="F103" s="64">
        <v>15.0</v>
      </c>
      <c r="G103" s="65">
        <v>0.3020833333333333</v>
      </c>
      <c r="H103" s="66">
        <v>0.3020833333333333</v>
      </c>
      <c r="I103" s="11">
        <v>182.0</v>
      </c>
      <c r="J103" s="12">
        <v>0.42777777777777776</v>
      </c>
      <c r="K103" s="13">
        <v>0.43333333333333335</v>
      </c>
      <c r="L103" s="11"/>
      <c r="M103" s="12"/>
      <c r="N103" s="13"/>
      <c r="O103" s="38"/>
      <c r="P103" s="12"/>
      <c r="Q103" s="13"/>
      <c r="R103" s="11"/>
      <c r="S103" s="18"/>
      <c r="T103" s="38"/>
      <c r="U103" s="11"/>
      <c r="V103" s="18"/>
      <c r="W103" s="38"/>
      <c r="X103" s="11"/>
      <c r="Y103" s="12"/>
      <c r="Z103" s="13"/>
      <c r="AA103" s="11">
        <v>116.0</v>
      </c>
      <c r="AB103" s="12">
        <v>0.9090277777777778</v>
      </c>
      <c r="AC103" s="13">
        <v>0.9208333333333333</v>
      </c>
      <c r="AD103" s="11"/>
      <c r="AE103" s="18"/>
      <c r="AF103" s="38"/>
      <c r="AG103" s="11"/>
      <c r="AH103" s="18"/>
      <c r="AI103" s="38"/>
      <c r="AJ103" s="11"/>
      <c r="AK103" s="12"/>
      <c r="AL103" s="13"/>
      <c r="AM103" s="11"/>
      <c r="AN103" s="12"/>
      <c r="AO103" s="13"/>
      <c r="AP103" s="11"/>
      <c r="AQ103" s="12"/>
      <c r="AR103" s="38"/>
      <c r="AS103" s="11"/>
      <c r="AT103" s="12"/>
      <c r="AU103" s="38"/>
      <c r="AV103" s="11"/>
      <c r="AW103" s="12"/>
      <c r="AX103" s="38"/>
      <c r="AY103" s="11"/>
      <c r="AZ103" s="18"/>
    </row>
    <row r="104" ht="15.75" customHeight="1">
      <c r="A104" s="7"/>
      <c r="B104" s="47">
        <v>615.0</v>
      </c>
      <c r="C104" s="11">
        <v>48.0</v>
      </c>
      <c r="D104" s="12">
        <v>0.2611111111111111</v>
      </c>
      <c r="E104" s="13">
        <v>0.26180555555555557</v>
      </c>
      <c r="F104" s="64">
        <v>169.0</v>
      </c>
      <c r="G104" s="65">
        <v>0.3388888888888889</v>
      </c>
      <c r="H104" s="66">
        <v>0.3388888888888889</v>
      </c>
      <c r="I104" s="11">
        <v>73.0</v>
      </c>
      <c r="J104" s="12">
        <v>0.3875</v>
      </c>
      <c r="K104" s="13">
        <v>0.4013888888888889</v>
      </c>
      <c r="L104" s="11"/>
      <c r="M104" s="12"/>
      <c r="N104" s="13"/>
      <c r="O104" s="38"/>
      <c r="P104" s="12"/>
      <c r="Q104" s="13"/>
      <c r="R104" s="11"/>
      <c r="S104" s="18"/>
      <c r="T104" s="38"/>
      <c r="U104" s="11"/>
      <c r="V104" s="18"/>
      <c r="W104" s="38"/>
      <c r="X104" s="11"/>
      <c r="Y104" s="12"/>
      <c r="Z104" s="13"/>
      <c r="AA104" s="11"/>
      <c r="AB104" s="18"/>
      <c r="AC104" s="13"/>
      <c r="AD104" s="11"/>
      <c r="AE104" s="12"/>
      <c r="AF104" s="38"/>
      <c r="AG104" s="11">
        <v>126.0</v>
      </c>
      <c r="AH104" s="12">
        <v>0.15069444444444444</v>
      </c>
      <c r="AI104" s="13">
        <v>0.1673611111111111</v>
      </c>
      <c r="AJ104" s="11"/>
      <c r="AK104" s="12"/>
      <c r="AL104" s="38"/>
      <c r="AM104" s="11"/>
      <c r="AN104" s="12"/>
      <c r="AO104" s="38"/>
      <c r="AP104" s="11"/>
      <c r="AQ104" s="12"/>
      <c r="AR104" s="38"/>
      <c r="AS104" s="11"/>
      <c r="AT104" s="12"/>
      <c r="AU104" s="38"/>
      <c r="AV104" s="11"/>
      <c r="AW104" s="12"/>
      <c r="AX104" s="38"/>
      <c r="AY104" s="11"/>
      <c r="AZ104" s="18"/>
    </row>
    <row r="105" ht="15.75" customHeight="1">
      <c r="A105" s="7"/>
      <c r="B105" s="47">
        <v>616.0</v>
      </c>
      <c r="C105" s="11">
        <v>138.0</v>
      </c>
      <c r="D105" s="12">
        <v>0.27152777777777776</v>
      </c>
      <c r="E105" s="13">
        <v>0.2722222222222222</v>
      </c>
      <c r="F105" s="64">
        <v>69.0</v>
      </c>
      <c r="G105" s="65">
        <v>0.32013888888888886</v>
      </c>
      <c r="H105" s="66">
        <v>0.32013888888888886</v>
      </c>
      <c r="I105" s="11">
        <v>187.0</v>
      </c>
      <c r="J105" s="12">
        <v>0.42916666666666664</v>
      </c>
      <c r="K105" s="13">
        <v>0.4305555555555556</v>
      </c>
      <c r="L105" s="11"/>
      <c r="M105" s="12"/>
      <c r="N105" s="13"/>
      <c r="O105" s="38"/>
      <c r="P105" s="12"/>
      <c r="Q105" s="13"/>
      <c r="R105" s="11"/>
      <c r="S105" s="18"/>
      <c r="T105" s="38"/>
      <c r="U105" s="11"/>
      <c r="V105" s="18"/>
      <c r="W105" s="38"/>
      <c r="X105" s="11"/>
      <c r="Y105" s="12"/>
      <c r="Z105" s="13"/>
      <c r="AA105" s="11">
        <v>52.0</v>
      </c>
      <c r="AB105" s="12">
        <v>0.80625</v>
      </c>
      <c r="AC105" s="13">
        <v>0.8125</v>
      </c>
      <c r="AD105" s="11"/>
      <c r="AE105" s="18"/>
      <c r="AF105" s="38"/>
      <c r="AG105" s="11"/>
      <c r="AH105" s="18"/>
      <c r="AI105" s="38"/>
      <c r="AJ105" s="11"/>
      <c r="AK105" s="12"/>
      <c r="AL105" s="13"/>
      <c r="AM105" s="11"/>
      <c r="AN105" s="12"/>
      <c r="AO105" s="13"/>
      <c r="AP105" s="11"/>
      <c r="AQ105" s="12"/>
      <c r="AR105" s="38"/>
      <c r="AS105" s="11"/>
      <c r="AT105" s="18"/>
      <c r="AU105" s="38"/>
      <c r="AV105" s="11"/>
      <c r="AW105" s="18"/>
      <c r="AX105" s="38"/>
      <c r="AY105" s="11"/>
      <c r="AZ105" s="18"/>
    </row>
    <row r="106" ht="15.75" customHeight="1">
      <c r="A106" s="7"/>
      <c r="B106" s="47">
        <v>617.0</v>
      </c>
      <c r="C106" s="11">
        <v>82.0</v>
      </c>
      <c r="D106" s="12">
        <v>0.2659722222222222</v>
      </c>
      <c r="E106" s="13">
        <v>0.26666666666666666</v>
      </c>
      <c r="F106" s="64">
        <v>173.0</v>
      </c>
      <c r="G106" s="65">
        <v>0.3388888888888889</v>
      </c>
      <c r="H106" s="66">
        <v>0.3388888888888889</v>
      </c>
      <c r="I106" s="11">
        <v>69.0</v>
      </c>
      <c r="J106" s="12">
        <v>0.3861111111111111</v>
      </c>
      <c r="K106" s="13">
        <v>0.38819444444444445</v>
      </c>
      <c r="L106" s="11"/>
      <c r="M106" s="12"/>
      <c r="N106" s="13"/>
      <c r="O106" s="38"/>
      <c r="P106" s="12"/>
      <c r="Q106" s="13"/>
      <c r="R106" s="11"/>
      <c r="S106" s="18"/>
      <c r="T106" s="13"/>
      <c r="U106" s="11"/>
      <c r="V106" s="12"/>
      <c r="W106" s="13"/>
      <c r="X106" s="11"/>
      <c r="Y106" s="12"/>
      <c r="Z106" s="13"/>
      <c r="AA106" s="11">
        <v>3.0</v>
      </c>
      <c r="AB106" s="12">
        <v>0.675</v>
      </c>
      <c r="AC106" s="13">
        <v>0.6784722222222223</v>
      </c>
      <c r="AD106" s="11"/>
      <c r="AE106" s="12"/>
      <c r="AF106" s="13"/>
      <c r="AG106" s="11">
        <v>48.0</v>
      </c>
      <c r="AH106" s="12">
        <v>0.9930555555555556</v>
      </c>
      <c r="AI106" s="13">
        <v>1.0</v>
      </c>
      <c r="AJ106" s="11"/>
      <c r="AK106" s="12"/>
      <c r="AL106" s="13"/>
      <c r="AM106" s="11"/>
      <c r="AN106" s="12"/>
      <c r="AO106" s="13"/>
      <c r="AP106" s="11"/>
      <c r="AQ106" s="12"/>
      <c r="AR106" s="13"/>
      <c r="AS106" s="11"/>
      <c r="AT106" s="12"/>
      <c r="AU106" s="13"/>
      <c r="AV106" s="11"/>
      <c r="AW106" s="12"/>
      <c r="AX106" s="13"/>
      <c r="AY106" s="11"/>
      <c r="AZ106" s="12"/>
    </row>
    <row r="107" ht="15.75" customHeight="1">
      <c r="A107" s="7"/>
      <c r="B107" s="47">
        <v>618.0</v>
      </c>
      <c r="C107" s="11">
        <v>8.0</v>
      </c>
      <c r="D107" s="12">
        <v>0.2520833333333333</v>
      </c>
      <c r="E107" s="13">
        <v>0.25277777777777777</v>
      </c>
      <c r="F107" s="64">
        <v>82.0</v>
      </c>
      <c r="G107" s="65">
        <v>0.3215277777777778</v>
      </c>
      <c r="H107" s="66">
        <v>0.3215277777777778</v>
      </c>
      <c r="I107" s="11">
        <v>4.0</v>
      </c>
      <c r="J107" s="12">
        <v>0.34375</v>
      </c>
      <c r="K107" s="13">
        <v>0.3451388888888889</v>
      </c>
      <c r="L107" s="11"/>
      <c r="M107" s="12"/>
      <c r="N107" s="13"/>
      <c r="O107" s="38"/>
      <c r="P107" s="12"/>
      <c r="Q107" s="13"/>
      <c r="R107" s="11"/>
      <c r="S107" s="18"/>
      <c r="T107" s="38"/>
      <c r="U107" s="11"/>
      <c r="V107" s="18"/>
      <c r="W107" s="38"/>
      <c r="X107" s="11"/>
      <c r="Y107" s="12"/>
      <c r="Z107" s="13"/>
      <c r="AA107" s="11">
        <v>5.0</v>
      </c>
      <c r="AB107" s="12">
        <v>0.6916666666666667</v>
      </c>
      <c r="AC107" s="13">
        <v>0.69375</v>
      </c>
      <c r="AD107" s="11"/>
      <c r="AE107" s="18"/>
      <c r="AF107" s="38"/>
      <c r="AG107" s="11">
        <v>3.0</v>
      </c>
      <c r="AH107" s="12">
        <v>0.8208333333333333</v>
      </c>
      <c r="AI107" s="13">
        <v>0.8243055555555555</v>
      </c>
      <c r="AJ107" s="11"/>
      <c r="AK107" s="12"/>
      <c r="AL107" s="13"/>
      <c r="AM107" s="11"/>
      <c r="AN107" s="12"/>
      <c r="AO107" s="38"/>
      <c r="AP107" s="11"/>
      <c r="AQ107" s="12"/>
      <c r="AR107" s="38"/>
      <c r="AS107" s="11"/>
      <c r="AT107" s="18"/>
      <c r="AU107" s="38"/>
      <c r="AV107" s="11"/>
      <c r="AW107" s="18"/>
      <c r="AX107" s="38"/>
      <c r="AY107" s="11"/>
      <c r="AZ107" s="18"/>
    </row>
    <row r="108" ht="15.75" customHeight="1">
      <c r="A108" s="7"/>
      <c r="B108" s="47">
        <v>620.0</v>
      </c>
      <c r="C108" s="11">
        <v>10.0</v>
      </c>
      <c r="D108" s="12">
        <v>0.2520833333333333</v>
      </c>
      <c r="E108" s="13">
        <v>0.25277777777777777</v>
      </c>
      <c r="F108" s="64">
        <v>5.0</v>
      </c>
      <c r="G108" s="65">
        <v>0.2923611111111111</v>
      </c>
      <c r="H108" s="66">
        <v>0.2923611111111111</v>
      </c>
      <c r="I108" s="11">
        <v>6.0</v>
      </c>
      <c r="J108" s="12">
        <v>0.34444444444444444</v>
      </c>
      <c r="K108" s="13">
        <v>0.34652777777777777</v>
      </c>
      <c r="L108" s="11"/>
      <c r="M108" s="12"/>
      <c r="N108" s="13"/>
      <c r="O108" s="38"/>
      <c r="P108" s="12"/>
      <c r="Q108" s="13"/>
      <c r="R108" s="11"/>
      <c r="S108" s="18"/>
      <c r="T108" s="38"/>
      <c r="U108" s="11"/>
      <c r="V108" s="18"/>
      <c r="W108" s="38"/>
      <c r="X108" s="11"/>
      <c r="Y108" s="12"/>
      <c r="Z108" s="13"/>
      <c r="AA108" s="11">
        <v>169.0</v>
      </c>
      <c r="AB108" s="12">
        <v>1.007638888888889</v>
      </c>
      <c r="AC108" s="13">
        <v>1.0097222222222222</v>
      </c>
      <c r="AD108" s="11"/>
      <c r="AE108" s="18"/>
      <c r="AF108" s="38"/>
      <c r="AG108" s="11">
        <v>4.0</v>
      </c>
      <c r="AH108" s="12">
        <v>0.8256944444444444</v>
      </c>
      <c r="AI108" s="13">
        <v>0.8270833333333333</v>
      </c>
      <c r="AJ108" s="11"/>
      <c r="AK108" s="12"/>
      <c r="AL108" s="13"/>
      <c r="AM108" s="11"/>
      <c r="AN108" s="12"/>
      <c r="AO108" s="13"/>
      <c r="AP108" s="11"/>
      <c r="AQ108" s="12"/>
      <c r="AR108" s="13"/>
      <c r="AS108" s="11"/>
      <c r="AT108" s="12"/>
      <c r="AU108" s="13"/>
      <c r="AV108" s="11"/>
      <c r="AW108" s="12"/>
      <c r="AX108" s="13"/>
      <c r="AY108" s="11"/>
      <c r="AZ108" s="12"/>
    </row>
    <row r="109" ht="15.75" customHeight="1">
      <c r="A109" s="7"/>
      <c r="B109" s="47">
        <v>622.0</v>
      </c>
      <c r="C109" s="11">
        <v>184.0</v>
      </c>
      <c r="D109" s="12">
        <v>0.2777777777777778</v>
      </c>
      <c r="E109" s="13">
        <v>0.27847222222222223</v>
      </c>
      <c r="F109" s="64">
        <v>8.0</v>
      </c>
      <c r="G109" s="65">
        <v>0.29444444444444445</v>
      </c>
      <c r="H109" s="66">
        <v>0.29444444444444445</v>
      </c>
      <c r="I109" s="11">
        <v>189.0</v>
      </c>
      <c r="J109" s="12">
        <v>0.4305555555555556</v>
      </c>
      <c r="K109" s="13">
        <v>0.4375</v>
      </c>
      <c r="L109" s="11"/>
      <c r="M109" s="12"/>
      <c r="N109" s="13"/>
      <c r="O109" s="38"/>
      <c r="P109" s="12"/>
      <c r="Q109" s="13"/>
      <c r="R109" s="11"/>
      <c r="S109" s="18"/>
      <c r="T109" s="38"/>
      <c r="U109" s="11"/>
      <c r="V109" s="18"/>
      <c r="W109" s="38"/>
      <c r="X109" s="11"/>
      <c r="Y109" s="18"/>
      <c r="Z109" s="38"/>
      <c r="AA109" s="11">
        <v>29.0</v>
      </c>
      <c r="AB109" s="12">
        <v>0.7631944444444444</v>
      </c>
      <c r="AC109" s="13">
        <v>0.7659722222222223</v>
      </c>
      <c r="AD109" s="11"/>
      <c r="AE109" s="18"/>
      <c r="AF109" s="38"/>
      <c r="AG109" s="11"/>
      <c r="AH109" s="18"/>
      <c r="AI109" s="38"/>
      <c r="AJ109" s="11"/>
      <c r="AK109" s="18"/>
      <c r="AL109" s="38"/>
      <c r="AM109" s="11"/>
      <c r="AN109" s="18"/>
      <c r="AO109" s="38"/>
      <c r="AP109" s="11"/>
      <c r="AQ109" s="18"/>
      <c r="AR109" s="38"/>
      <c r="AS109" s="11"/>
      <c r="AT109" s="18"/>
      <c r="AU109" s="38"/>
      <c r="AV109" s="11"/>
      <c r="AW109" s="18"/>
      <c r="AX109" s="38"/>
      <c r="AY109" s="11"/>
      <c r="AZ109" s="12"/>
    </row>
    <row r="110" ht="15.75" customHeight="1">
      <c r="A110" s="7"/>
      <c r="B110" s="47">
        <v>623.0</v>
      </c>
      <c r="C110" s="11">
        <v>51.0</v>
      </c>
      <c r="D110" s="12">
        <v>0.2625</v>
      </c>
      <c r="E110" s="13">
        <v>0.26319444444444445</v>
      </c>
      <c r="F110" s="64">
        <v>185.0</v>
      </c>
      <c r="G110" s="65">
        <v>0.34444444444444444</v>
      </c>
      <c r="H110" s="66">
        <v>0.34444444444444444</v>
      </c>
      <c r="I110" s="11">
        <v>37.0</v>
      </c>
      <c r="J110" s="12">
        <v>0.37083333333333335</v>
      </c>
      <c r="K110" s="13">
        <v>0.3736111111111111</v>
      </c>
      <c r="L110" s="11"/>
      <c r="M110" s="12"/>
      <c r="N110" s="13"/>
      <c r="O110" s="18"/>
      <c r="P110" s="12"/>
      <c r="Q110" s="12"/>
      <c r="R110" s="11"/>
      <c r="S110" s="18"/>
      <c r="T110" s="38"/>
      <c r="U110" s="11"/>
      <c r="V110" s="18"/>
      <c r="W110" s="38"/>
      <c r="X110" s="11"/>
      <c r="Y110" s="12"/>
      <c r="Z110" s="13"/>
      <c r="AA110" s="11"/>
      <c r="AB110" s="18"/>
      <c r="AC110" s="38"/>
      <c r="AD110" s="11"/>
      <c r="AE110" s="12"/>
      <c r="AF110" s="38"/>
      <c r="AG110" s="11"/>
      <c r="AH110" s="12"/>
      <c r="AI110" s="38"/>
      <c r="AJ110" s="11"/>
      <c r="AK110" s="12"/>
      <c r="AL110" s="38"/>
      <c r="AM110" s="11"/>
      <c r="AN110" s="12"/>
      <c r="AO110" s="38"/>
      <c r="AP110" s="11"/>
      <c r="AQ110" s="12"/>
      <c r="AR110" s="38"/>
      <c r="AS110" s="11"/>
      <c r="AT110" s="12"/>
      <c r="AU110" s="38"/>
      <c r="AV110" s="11"/>
      <c r="AW110" s="12"/>
      <c r="AX110" s="38"/>
      <c r="AY110" s="11"/>
      <c r="AZ110" s="12"/>
    </row>
    <row r="111" ht="15.75" customHeight="1">
      <c r="A111" s="7"/>
      <c r="B111" s="47">
        <v>624.0</v>
      </c>
      <c r="C111" s="11">
        <v>180.0</v>
      </c>
      <c r="D111" s="12">
        <v>0.2777777777777778</v>
      </c>
      <c r="E111" s="13">
        <v>0.27847222222222223</v>
      </c>
      <c r="F111" s="64">
        <v>59.0</v>
      </c>
      <c r="G111" s="65">
        <v>0.3159722222222222</v>
      </c>
      <c r="H111" s="66">
        <v>0.3159722222222222</v>
      </c>
      <c r="I111" s="11">
        <v>199.0</v>
      </c>
      <c r="J111" s="12">
        <v>0.44930555555555557</v>
      </c>
      <c r="K111" s="38" t="s">
        <v>178</v>
      </c>
      <c r="L111" s="11"/>
      <c r="M111" s="12"/>
      <c r="N111" s="13"/>
      <c r="O111" s="72"/>
      <c r="Q111" s="72"/>
      <c r="R111" s="11"/>
      <c r="S111" s="18"/>
      <c r="T111" s="13"/>
      <c r="U111" s="11"/>
      <c r="V111" s="12"/>
      <c r="W111" s="13"/>
      <c r="X111" s="11"/>
      <c r="Y111" s="12"/>
      <c r="Z111" s="13"/>
      <c r="AA111" s="11">
        <v>88.0</v>
      </c>
      <c r="AB111" s="12">
        <v>0.8583333333333333</v>
      </c>
      <c r="AC111" s="13">
        <v>0.8604166666666667</v>
      </c>
      <c r="AD111" s="11"/>
      <c r="AE111" s="12"/>
      <c r="AF111" s="13"/>
      <c r="AG111" s="11"/>
      <c r="AH111" s="12"/>
      <c r="AI111" s="13"/>
      <c r="AJ111" s="11"/>
      <c r="AK111" s="12"/>
      <c r="AL111" s="13"/>
      <c r="AM111" s="11"/>
      <c r="AN111" s="12"/>
      <c r="AO111" s="13"/>
      <c r="AP111" s="11"/>
      <c r="AQ111" s="12"/>
      <c r="AR111" s="13"/>
      <c r="AS111" s="11"/>
      <c r="AT111" s="12"/>
      <c r="AU111" s="13"/>
      <c r="AV111" s="11"/>
      <c r="AW111" s="12"/>
      <c r="AX111" s="13"/>
      <c r="AY111" s="11"/>
      <c r="AZ111" s="18"/>
    </row>
    <row r="112" ht="15.75" customHeight="1">
      <c r="A112" s="7"/>
      <c r="B112" s="47">
        <v>625.0</v>
      </c>
      <c r="C112" s="11">
        <v>134.0</v>
      </c>
      <c r="D112" s="12">
        <v>0.27152777777777776</v>
      </c>
      <c r="E112" s="13">
        <v>0.2722222222222222</v>
      </c>
      <c r="F112" s="64">
        <v>183.0</v>
      </c>
      <c r="G112" s="65">
        <v>0.34444444444444444</v>
      </c>
      <c r="H112" s="66">
        <v>0.34444444444444444</v>
      </c>
      <c r="I112" s="11">
        <v>125.0</v>
      </c>
      <c r="J112" s="12">
        <v>0.4041666666666667</v>
      </c>
      <c r="K112" s="13">
        <v>0.4125</v>
      </c>
      <c r="L112" s="11"/>
      <c r="M112" s="12"/>
      <c r="N112" s="13"/>
      <c r="O112" s="38"/>
      <c r="P112" s="12"/>
      <c r="Q112" s="13"/>
      <c r="R112" s="11"/>
      <c r="S112" s="18"/>
      <c r="T112" s="38"/>
      <c r="U112" s="11"/>
      <c r="V112" s="18"/>
      <c r="W112" s="38"/>
      <c r="X112" s="11"/>
      <c r="Y112" s="12"/>
      <c r="Z112" s="13"/>
      <c r="AA112" s="11">
        <v>100.0</v>
      </c>
      <c r="AB112" s="12">
        <v>0.8847222222222222</v>
      </c>
      <c r="AC112" s="13">
        <v>0.8875</v>
      </c>
      <c r="AD112" s="11"/>
      <c r="AE112" s="12"/>
      <c r="AF112" s="38"/>
      <c r="AG112" s="11">
        <v>74.0</v>
      </c>
      <c r="AH112" s="12">
        <v>0.03125</v>
      </c>
      <c r="AI112" s="13">
        <v>0.03680555555555556</v>
      </c>
      <c r="AJ112" s="11"/>
      <c r="AK112" s="12"/>
      <c r="AL112" s="38"/>
      <c r="AM112" s="11"/>
      <c r="AN112" s="12"/>
      <c r="AO112" s="38"/>
      <c r="AP112" s="11"/>
      <c r="AQ112" s="12"/>
      <c r="AR112" s="38"/>
      <c r="AS112" s="11"/>
      <c r="AT112" s="12"/>
      <c r="AU112" s="38"/>
      <c r="AV112" s="11"/>
      <c r="AW112" s="12"/>
      <c r="AX112" s="38"/>
      <c r="AY112" s="11"/>
      <c r="AZ112" s="12"/>
    </row>
    <row r="113" ht="15.75" customHeight="1">
      <c r="A113" s="7"/>
      <c r="B113" s="47">
        <v>626.0</v>
      </c>
      <c r="C113" s="11">
        <v>139.0</v>
      </c>
      <c r="D113" s="12">
        <v>0.27152777777777776</v>
      </c>
      <c r="E113" s="13">
        <v>0.2722222222222222</v>
      </c>
      <c r="F113" s="64">
        <v>130.0</v>
      </c>
      <c r="G113" s="65">
        <v>0.3326388888888889</v>
      </c>
      <c r="H113" s="66">
        <v>0.3326388888888889</v>
      </c>
      <c r="I113" s="11">
        <v>151.0</v>
      </c>
      <c r="J113" s="12">
        <v>0.4131944444444444</v>
      </c>
      <c r="K113" s="13">
        <v>0.41805555555555557</v>
      </c>
      <c r="L113" s="11"/>
      <c r="M113" s="12"/>
      <c r="N113" s="13"/>
      <c r="O113" s="38"/>
      <c r="P113" s="12"/>
      <c r="Q113" s="13"/>
      <c r="R113" s="11"/>
      <c r="S113" s="18"/>
      <c r="T113" s="38"/>
      <c r="U113" s="11"/>
      <c r="V113" s="18"/>
      <c r="W113" s="38"/>
      <c r="X113" s="11"/>
      <c r="Y113" s="18"/>
      <c r="Z113" s="38"/>
      <c r="AA113" s="11">
        <v>130.0</v>
      </c>
      <c r="AB113" s="12">
        <v>0.9256944444444445</v>
      </c>
      <c r="AC113" s="13">
        <v>0.9298611111111111</v>
      </c>
      <c r="AD113" s="11"/>
      <c r="AE113" s="18"/>
      <c r="AF113" s="38"/>
      <c r="AG113" s="11">
        <v>97.0</v>
      </c>
      <c r="AH113" s="12">
        <v>0.0875</v>
      </c>
      <c r="AI113" s="13">
        <v>0.09444444444444444</v>
      </c>
      <c r="AJ113" s="11"/>
      <c r="AK113" s="18"/>
      <c r="AL113" s="38"/>
      <c r="AM113" s="11"/>
      <c r="AN113" s="18"/>
      <c r="AO113" s="38"/>
      <c r="AP113" s="11"/>
      <c r="AQ113" s="18"/>
      <c r="AR113" s="38"/>
      <c r="AS113" s="11"/>
      <c r="AT113" s="18"/>
      <c r="AU113" s="38"/>
      <c r="AV113" s="11"/>
      <c r="AW113" s="18"/>
      <c r="AX113" s="38"/>
      <c r="AY113" s="11"/>
      <c r="AZ113" s="18"/>
    </row>
    <row r="114" ht="15.75" customHeight="1">
      <c r="A114" s="7"/>
      <c r="B114" s="47">
        <v>627.0</v>
      </c>
      <c r="C114" s="11">
        <v>127.0</v>
      </c>
      <c r="D114" s="12">
        <v>0.2708333333333333</v>
      </c>
      <c r="E114" s="13">
        <v>0.27152777777777776</v>
      </c>
      <c r="F114" s="64">
        <v>145.0</v>
      </c>
      <c r="G114" s="65">
        <v>0.3368055555555556</v>
      </c>
      <c r="H114" s="66">
        <v>0.3368055555555556</v>
      </c>
      <c r="I114" s="11">
        <v>160.0</v>
      </c>
      <c r="J114" s="12">
        <v>0.41597222222222224</v>
      </c>
      <c r="K114" s="13">
        <v>0.4222222222222222</v>
      </c>
      <c r="L114" s="11"/>
      <c r="M114" s="12"/>
      <c r="N114" s="13"/>
      <c r="O114" s="38"/>
      <c r="P114" s="12"/>
      <c r="Q114" s="13"/>
      <c r="R114" s="11"/>
      <c r="S114" s="18"/>
      <c r="T114" s="38"/>
      <c r="U114" s="11"/>
      <c r="V114" s="18"/>
      <c r="W114" s="38"/>
      <c r="X114" s="11"/>
      <c r="Y114" s="12"/>
      <c r="Z114" s="13"/>
      <c r="AA114" s="11">
        <v>137.0</v>
      </c>
      <c r="AB114" s="12">
        <v>0.9333333333333333</v>
      </c>
      <c r="AC114" s="13">
        <v>0.9388888888888889</v>
      </c>
      <c r="AD114" s="11"/>
      <c r="AE114" s="18"/>
      <c r="AF114" s="38"/>
      <c r="AG114" s="11">
        <v>136.0</v>
      </c>
      <c r="AH114" s="12">
        <v>0.1763888888888889</v>
      </c>
      <c r="AI114" s="38" t="s">
        <v>178</v>
      </c>
      <c r="AJ114" s="11"/>
      <c r="AK114" s="12"/>
      <c r="AL114" s="13"/>
      <c r="AM114" s="11"/>
      <c r="AN114" s="12"/>
      <c r="AO114" s="38"/>
      <c r="AP114" s="11"/>
      <c r="AQ114" s="12"/>
      <c r="AR114" s="38"/>
      <c r="AS114" s="11"/>
      <c r="AT114" s="12"/>
      <c r="AU114" s="38"/>
      <c r="AV114" s="11"/>
      <c r="AW114" s="12"/>
      <c r="AX114" s="38"/>
      <c r="AY114" s="11"/>
      <c r="AZ114" s="12"/>
    </row>
    <row r="115" ht="15.75" customHeight="1">
      <c r="A115" s="7"/>
      <c r="B115" s="47">
        <v>628.0</v>
      </c>
      <c r="C115" s="11">
        <v>135.0</v>
      </c>
      <c r="D115" s="12">
        <v>0.27152777777777776</v>
      </c>
      <c r="E115" s="13">
        <v>0.2722222222222222</v>
      </c>
      <c r="F115" s="64">
        <v>147.0</v>
      </c>
      <c r="G115" s="65">
        <v>0.3368055555555556</v>
      </c>
      <c r="H115" s="66">
        <v>0.3368055555555556</v>
      </c>
      <c r="I115" s="11">
        <v>157.0</v>
      </c>
      <c r="J115" s="12">
        <v>0.41458333333333336</v>
      </c>
      <c r="K115" s="13">
        <v>0.42083333333333334</v>
      </c>
      <c r="L115" s="11"/>
      <c r="M115" s="12"/>
      <c r="N115" s="13"/>
      <c r="O115" s="38"/>
      <c r="P115" s="12"/>
      <c r="Q115" s="13"/>
      <c r="R115" s="11"/>
      <c r="S115" s="18"/>
      <c r="T115" s="38"/>
      <c r="U115" s="11"/>
      <c r="V115" s="18"/>
      <c r="W115" s="38"/>
      <c r="X115" s="11"/>
      <c r="Y115" s="12"/>
      <c r="Z115" s="13"/>
      <c r="AA115" s="11">
        <v>20.0</v>
      </c>
      <c r="AB115" s="12">
        <v>0.7465277777777778</v>
      </c>
      <c r="AC115" s="13">
        <v>0.7506944444444444</v>
      </c>
      <c r="AD115" s="11"/>
      <c r="AE115" s="12"/>
      <c r="AF115" s="38"/>
      <c r="AG115" s="11">
        <v>127.0</v>
      </c>
      <c r="AH115" s="12">
        <v>0.15208333333333332</v>
      </c>
      <c r="AI115" s="13">
        <v>0.16041666666666668</v>
      </c>
      <c r="AJ115" s="11"/>
      <c r="AK115" s="12"/>
      <c r="AL115" s="38"/>
      <c r="AM115" s="11"/>
      <c r="AN115" s="12"/>
      <c r="AO115" s="38"/>
      <c r="AP115" s="11"/>
      <c r="AQ115" s="12"/>
      <c r="AR115" s="38"/>
      <c r="AS115" s="11"/>
      <c r="AT115" s="12"/>
      <c r="AU115" s="38"/>
      <c r="AV115" s="11"/>
      <c r="AW115" s="12"/>
      <c r="AX115" s="38"/>
      <c r="AY115" s="11"/>
      <c r="AZ115" s="18"/>
    </row>
    <row r="116" ht="15.75" customHeight="1">
      <c r="A116" s="7"/>
      <c r="B116" s="47">
        <v>629.0</v>
      </c>
      <c r="C116" s="11">
        <v>29.0</v>
      </c>
      <c r="D116" s="12">
        <v>0.25972222222222224</v>
      </c>
      <c r="E116" s="13">
        <v>0.2604166666666667</v>
      </c>
      <c r="F116" s="64">
        <v>118.0</v>
      </c>
      <c r="G116" s="65">
        <v>0.3298611111111111</v>
      </c>
      <c r="H116" s="66">
        <v>0.3298611111111111</v>
      </c>
      <c r="I116" s="11">
        <v>19.0</v>
      </c>
      <c r="J116" s="12">
        <v>0.3625</v>
      </c>
      <c r="K116" s="13">
        <v>0.36527777777777776</v>
      </c>
      <c r="L116" s="11"/>
      <c r="M116" s="12"/>
      <c r="N116" s="13"/>
      <c r="O116" s="38"/>
      <c r="P116" s="12"/>
      <c r="Q116" s="13"/>
      <c r="R116" s="11"/>
      <c r="S116" s="18"/>
      <c r="T116" s="38"/>
      <c r="U116" s="11"/>
      <c r="V116" s="18"/>
      <c r="W116" s="38"/>
      <c r="X116" s="11"/>
      <c r="Y116" s="12"/>
      <c r="Z116" s="13"/>
      <c r="AA116" s="11">
        <v>170.0</v>
      </c>
      <c r="AB116" s="12">
        <v>1.0083333333333333</v>
      </c>
      <c r="AC116" s="13" t="s">
        <v>178</v>
      </c>
      <c r="AD116" s="11"/>
      <c r="AE116" s="18"/>
      <c r="AF116" s="38"/>
      <c r="AG116" s="11">
        <v>18.0</v>
      </c>
      <c r="AH116" s="12">
        <v>0.8986111111111111</v>
      </c>
      <c r="AI116" s="13"/>
      <c r="AJ116" s="11"/>
      <c r="AK116" s="12"/>
      <c r="AL116" s="13"/>
      <c r="AM116" s="11"/>
      <c r="AN116" s="12"/>
      <c r="AO116" s="13"/>
      <c r="AP116" s="11"/>
      <c r="AQ116" s="12"/>
      <c r="AR116" s="13"/>
      <c r="AS116" s="11"/>
      <c r="AT116" s="12"/>
      <c r="AU116" s="13"/>
      <c r="AV116" s="11"/>
      <c r="AW116" s="12"/>
      <c r="AX116" s="13"/>
      <c r="AY116" s="11"/>
      <c r="AZ116" s="12"/>
    </row>
    <row r="117" ht="15.75" customHeight="1">
      <c r="A117" s="7"/>
      <c r="B117" s="47">
        <v>630.0</v>
      </c>
      <c r="C117" s="11">
        <v>149.0</v>
      </c>
      <c r="D117" s="12">
        <v>0.27152777777777776</v>
      </c>
      <c r="E117" s="13">
        <v>0.2722222222222222</v>
      </c>
      <c r="F117" s="64">
        <v>28.0</v>
      </c>
      <c r="G117" s="65">
        <v>0.30694444444444446</v>
      </c>
      <c r="H117" s="66">
        <v>0.30694444444444446</v>
      </c>
      <c r="I117" s="11">
        <v>164.0</v>
      </c>
      <c r="J117" s="12">
        <v>0.41875</v>
      </c>
      <c r="K117" s="13">
        <v>0.43472222222222223</v>
      </c>
      <c r="L117" s="11"/>
      <c r="M117" s="12"/>
      <c r="N117" s="13"/>
      <c r="O117" s="38"/>
      <c r="P117" s="12"/>
      <c r="Q117" s="13"/>
      <c r="R117" s="11"/>
      <c r="S117" s="18"/>
      <c r="T117" s="38"/>
      <c r="U117" s="11"/>
      <c r="V117" s="18"/>
      <c r="W117" s="38"/>
      <c r="X117" s="11"/>
      <c r="Y117" s="12"/>
      <c r="Z117" s="13"/>
      <c r="AA117" s="11">
        <v>59.0</v>
      </c>
      <c r="AB117" s="12">
        <v>0.8173611111111111</v>
      </c>
      <c r="AC117" s="13">
        <v>0.8215277777777777</v>
      </c>
      <c r="AD117" s="11"/>
      <c r="AE117" s="18"/>
      <c r="AF117" s="38"/>
      <c r="AG117" s="11"/>
      <c r="AH117" s="18"/>
      <c r="AI117" s="38"/>
      <c r="AJ117" s="11"/>
      <c r="AK117" s="12"/>
      <c r="AL117" s="13"/>
      <c r="AM117" s="11"/>
      <c r="AN117" s="12"/>
      <c r="AO117" s="13"/>
      <c r="AP117" s="11"/>
      <c r="AQ117" s="12"/>
      <c r="AR117" s="13"/>
      <c r="AS117" s="11"/>
      <c r="AT117" s="12"/>
      <c r="AU117" s="13"/>
      <c r="AV117" s="11"/>
      <c r="AW117" s="12"/>
      <c r="AX117" s="13"/>
      <c r="AY117" s="11"/>
      <c r="AZ117" s="18"/>
    </row>
    <row r="118" ht="15.75" customHeight="1">
      <c r="A118" s="7"/>
      <c r="B118" s="47">
        <v>631.0</v>
      </c>
      <c r="C118" s="11">
        <v>33.0</v>
      </c>
      <c r="D118" s="12">
        <v>0.25972222222222224</v>
      </c>
      <c r="E118" s="13">
        <v>0.2604166666666667</v>
      </c>
      <c r="F118" s="64">
        <v>155.0</v>
      </c>
      <c r="G118" s="65">
        <v>0.33819444444444446</v>
      </c>
      <c r="H118" s="66">
        <v>0.33819444444444446</v>
      </c>
      <c r="I118" s="11">
        <v>32.0</v>
      </c>
      <c r="J118" s="12">
        <v>0.36875</v>
      </c>
      <c r="K118" s="13">
        <v>0.37083333333333335</v>
      </c>
      <c r="L118" s="11"/>
      <c r="M118" s="12"/>
      <c r="N118" s="13"/>
      <c r="O118" s="38"/>
      <c r="P118" s="12"/>
      <c r="Q118" s="13"/>
      <c r="R118" s="11"/>
      <c r="S118" s="18"/>
      <c r="T118" s="38"/>
      <c r="U118" s="11"/>
      <c r="V118" s="18"/>
      <c r="W118" s="38"/>
      <c r="X118" s="11"/>
      <c r="Y118" s="12"/>
      <c r="Z118" s="13"/>
      <c r="AA118" s="11">
        <v>138.0</v>
      </c>
      <c r="AB118" s="12">
        <v>0.9381944444444444</v>
      </c>
      <c r="AC118" s="13">
        <v>0.9375</v>
      </c>
      <c r="AD118" s="11"/>
      <c r="AE118" s="18"/>
      <c r="AF118" s="38"/>
      <c r="AG118" s="11">
        <v>63.0</v>
      </c>
      <c r="AH118" s="30">
        <v>0.019444444444444445</v>
      </c>
      <c r="AI118" s="13">
        <v>0.029166666666666667</v>
      </c>
      <c r="AJ118" s="11"/>
      <c r="AK118" s="12"/>
      <c r="AL118" s="13"/>
      <c r="AM118" s="11"/>
      <c r="AN118" s="12"/>
      <c r="AO118" s="13"/>
      <c r="AP118" s="11"/>
      <c r="AQ118" s="12"/>
      <c r="AR118" s="13"/>
      <c r="AS118" s="11"/>
      <c r="AT118" s="12"/>
      <c r="AU118" s="13"/>
      <c r="AV118" s="11"/>
      <c r="AW118" s="12"/>
      <c r="AX118" s="13"/>
      <c r="AY118" s="11"/>
      <c r="AZ118" s="18"/>
    </row>
    <row r="119" ht="15.75" customHeight="1">
      <c r="A119" s="7"/>
      <c r="B119" s="47">
        <v>632.0</v>
      </c>
      <c r="C119" s="11">
        <v>179.0</v>
      </c>
      <c r="D119" s="12">
        <v>0.2763888888888889</v>
      </c>
      <c r="E119" s="13">
        <v>0.27708333333333335</v>
      </c>
      <c r="F119" s="64">
        <v>32.0</v>
      </c>
      <c r="G119" s="65">
        <v>0.3090277777777778</v>
      </c>
      <c r="H119" s="66">
        <v>0.3090277777777778</v>
      </c>
      <c r="I119" s="11">
        <v>172.0</v>
      </c>
      <c r="J119" s="12">
        <v>0.4236111111111111</v>
      </c>
      <c r="K119" s="13">
        <v>0.4284722222222222</v>
      </c>
      <c r="L119" s="11"/>
      <c r="M119" s="12"/>
      <c r="N119" s="13"/>
      <c r="O119" s="38"/>
      <c r="P119" s="12"/>
      <c r="Q119" s="13"/>
      <c r="R119" s="11"/>
      <c r="S119" s="18"/>
      <c r="T119" s="38"/>
      <c r="U119" s="11"/>
      <c r="V119" s="12"/>
      <c r="W119" s="38"/>
      <c r="X119" s="11"/>
      <c r="Y119" s="12"/>
      <c r="Z119" s="38"/>
      <c r="AA119" s="11">
        <v>155.0</v>
      </c>
      <c r="AB119" s="12">
        <v>0.9604166666666667</v>
      </c>
      <c r="AC119" s="13">
        <v>0.9722222222222222</v>
      </c>
      <c r="AD119" s="11"/>
      <c r="AE119" s="12"/>
      <c r="AF119" s="38"/>
      <c r="AG119" s="11">
        <v>125.0</v>
      </c>
      <c r="AH119" s="12">
        <v>0.14722222222222223</v>
      </c>
      <c r="AI119" s="13">
        <v>0.15138888888888888</v>
      </c>
      <c r="AJ119" s="11"/>
      <c r="AK119" s="12"/>
      <c r="AL119" s="38"/>
      <c r="AM119" s="11"/>
      <c r="AN119" s="12"/>
      <c r="AO119" s="38"/>
      <c r="AP119" s="11"/>
      <c r="AQ119" s="12"/>
      <c r="AR119" s="38"/>
      <c r="AS119" s="11"/>
      <c r="AT119" s="12"/>
      <c r="AU119" s="38"/>
      <c r="AV119" s="11"/>
      <c r="AW119" s="12"/>
      <c r="AX119" s="38"/>
      <c r="AY119" s="11"/>
      <c r="AZ119" s="18"/>
    </row>
    <row r="120" ht="15.75" customHeight="1">
      <c r="A120" s="7"/>
      <c r="B120" s="47">
        <v>633.0</v>
      </c>
      <c r="C120" s="11">
        <v>183.0</v>
      </c>
      <c r="D120" s="12">
        <v>0.2777777777777778</v>
      </c>
      <c r="E120" s="13">
        <v>0.27847222222222223</v>
      </c>
      <c r="F120" s="64">
        <v>178.0</v>
      </c>
      <c r="G120" s="65">
        <v>0.34375</v>
      </c>
      <c r="H120" s="66">
        <v>0.34375</v>
      </c>
      <c r="I120" s="11">
        <v>186.0</v>
      </c>
      <c r="J120" s="12">
        <v>0.4284722222222222</v>
      </c>
      <c r="K120" s="13">
        <v>0.4326388888888889</v>
      </c>
      <c r="L120" s="11"/>
      <c r="M120" s="12"/>
      <c r="N120" s="13"/>
      <c r="O120" s="38"/>
      <c r="P120" s="12"/>
      <c r="Q120" s="13"/>
      <c r="R120" s="11"/>
      <c r="S120" s="18"/>
      <c r="T120" s="38"/>
      <c r="U120" s="11"/>
      <c r="V120" s="18"/>
      <c r="W120" s="38"/>
      <c r="X120" s="11"/>
      <c r="Y120" s="12"/>
      <c r="Z120" s="13"/>
      <c r="AA120" s="11">
        <v>65.0</v>
      </c>
      <c r="AB120" s="12">
        <v>0.8326388888888889</v>
      </c>
      <c r="AC120" s="13">
        <v>0.8402777777777778</v>
      </c>
      <c r="AD120" s="11"/>
      <c r="AE120" s="18"/>
      <c r="AF120" s="38"/>
      <c r="AG120" s="11"/>
      <c r="AH120" s="18"/>
      <c r="AI120" s="38"/>
      <c r="AJ120" s="11"/>
      <c r="AK120" s="12"/>
      <c r="AL120" s="13"/>
      <c r="AM120" s="11"/>
      <c r="AN120" s="12"/>
      <c r="AO120" s="13"/>
      <c r="AP120" s="11"/>
      <c r="AQ120" s="12"/>
      <c r="AR120" s="13"/>
      <c r="AS120" s="11"/>
      <c r="AT120" s="12"/>
      <c r="AU120" s="13"/>
      <c r="AV120" s="11"/>
      <c r="AW120" s="12"/>
      <c r="AX120" s="13"/>
      <c r="AY120" s="11"/>
      <c r="AZ120" s="12"/>
    </row>
    <row r="121" ht="15.75" customHeight="1">
      <c r="A121" s="7"/>
      <c r="B121" s="47">
        <v>637.0</v>
      </c>
      <c r="C121" s="11">
        <v>73.0</v>
      </c>
      <c r="D121" s="12">
        <v>0.26458333333333334</v>
      </c>
      <c r="E121" s="13">
        <v>0.2652777777777778</v>
      </c>
      <c r="F121" s="64">
        <v>187.0</v>
      </c>
      <c r="G121" s="65">
        <v>0.3486111111111111</v>
      </c>
      <c r="H121" s="66">
        <v>0.3486111111111111</v>
      </c>
      <c r="I121" s="11">
        <v>76.0</v>
      </c>
      <c r="J121" s="12">
        <v>0.38819444444444445</v>
      </c>
      <c r="K121" s="13">
        <v>0.3909722222222222</v>
      </c>
      <c r="L121" s="11"/>
      <c r="M121" s="12"/>
      <c r="N121" s="13"/>
      <c r="O121" s="38"/>
      <c r="P121" s="12"/>
      <c r="Q121" s="13"/>
      <c r="R121" s="11"/>
      <c r="S121" s="18"/>
      <c r="T121" s="38"/>
      <c r="U121" s="11"/>
      <c r="V121" s="18"/>
      <c r="W121" s="38"/>
      <c r="X121" s="11"/>
      <c r="Y121" s="12"/>
      <c r="Z121" s="13"/>
      <c r="AA121" s="11">
        <v>87.0</v>
      </c>
      <c r="AB121" s="12">
        <v>0.8569444444444444</v>
      </c>
      <c r="AC121" s="13">
        <v>0.8604166666666667</v>
      </c>
      <c r="AD121" s="11"/>
      <c r="AE121" s="12"/>
      <c r="AF121" s="38"/>
      <c r="AG121" s="11">
        <v>58.0</v>
      </c>
      <c r="AH121" s="12">
        <v>0.013194444444444444</v>
      </c>
      <c r="AI121" s="13">
        <v>0.015277777777777777</v>
      </c>
      <c r="AJ121" s="11"/>
      <c r="AK121" s="12"/>
      <c r="AL121" s="38"/>
      <c r="AM121" s="11"/>
      <c r="AN121" s="12"/>
      <c r="AO121" s="38"/>
      <c r="AP121" s="11"/>
      <c r="AQ121" s="12"/>
      <c r="AR121" s="38"/>
      <c r="AS121" s="11"/>
      <c r="AT121" s="12"/>
      <c r="AU121" s="38"/>
      <c r="AV121" s="11"/>
      <c r="AW121" s="12"/>
      <c r="AX121" s="38"/>
      <c r="AY121" s="11"/>
      <c r="AZ121" s="18"/>
    </row>
    <row r="122" ht="15.75" customHeight="1">
      <c r="A122" s="7"/>
      <c r="B122" s="47">
        <v>638.0</v>
      </c>
      <c r="C122" s="11">
        <v>161.0</v>
      </c>
      <c r="D122" s="12">
        <v>0.2743055555555556</v>
      </c>
      <c r="E122" s="13">
        <v>0.275</v>
      </c>
      <c r="F122" s="64">
        <v>69.0</v>
      </c>
      <c r="G122" s="65">
        <v>0.32083333333333336</v>
      </c>
      <c r="H122" s="66">
        <v>0.32083333333333336</v>
      </c>
      <c r="I122" s="11">
        <v>140.0</v>
      </c>
      <c r="J122" s="12">
        <v>0.4097222222222222</v>
      </c>
      <c r="K122" s="13">
        <v>0.4131944444444444</v>
      </c>
      <c r="L122" s="11"/>
      <c r="M122" s="12"/>
      <c r="N122" s="13"/>
      <c r="O122" s="38"/>
      <c r="P122" s="12"/>
      <c r="Q122" s="13"/>
      <c r="R122" s="11"/>
      <c r="S122" s="18"/>
      <c r="T122" s="13"/>
      <c r="U122" s="11"/>
      <c r="V122" s="12"/>
      <c r="W122" s="13"/>
      <c r="X122" s="11"/>
      <c r="Y122" s="12"/>
      <c r="Z122" s="13"/>
      <c r="AA122" s="11">
        <v>139.0</v>
      </c>
      <c r="AB122" s="12">
        <v>0.9423611111111111</v>
      </c>
      <c r="AC122" s="13">
        <v>0.9451388888888889</v>
      </c>
      <c r="AD122" s="11"/>
      <c r="AE122" s="18"/>
      <c r="AF122" s="13"/>
      <c r="AG122" s="11">
        <v>81.0</v>
      </c>
      <c r="AH122" s="12">
        <v>0.04513888888888889</v>
      </c>
      <c r="AI122" s="13">
        <v>0.04722222222222222</v>
      </c>
      <c r="AJ122" s="11"/>
      <c r="AK122" s="12"/>
      <c r="AL122" s="13"/>
      <c r="AM122" s="11"/>
      <c r="AN122" s="12"/>
      <c r="AO122" s="38"/>
      <c r="AP122" s="11"/>
      <c r="AQ122" s="18"/>
      <c r="AR122" s="13"/>
      <c r="AS122" s="11"/>
      <c r="AT122" s="18"/>
      <c r="AU122" s="13"/>
      <c r="AV122" s="11"/>
      <c r="AW122" s="18"/>
      <c r="AX122" s="13"/>
      <c r="AY122" s="11"/>
      <c r="AZ122" s="12"/>
    </row>
    <row r="123" ht="15.75" customHeight="1">
      <c r="A123" s="7"/>
      <c r="B123" s="47">
        <v>639.0</v>
      </c>
      <c r="C123" s="11">
        <v>83.0</v>
      </c>
      <c r="D123" s="12">
        <v>0.2659722222222222</v>
      </c>
      <c r="E123" s="13">
        <v>0.26666666666666666</v>
      </c>
      <c r="F123" s="64">
        <v>167.0</v>
      </c>
      <c r="G123" s="65">
        <v>0.3388888888888889</v>
      </c>
      <c r="H123" s="66">
        <v>0.3388888888888889</v>
      </c>
      <c r="I123" s="11">
        <v>105.0</v>
      </c>
      <c r="J123" s="12">
        <v>0.3972222222222222</v>
      </c>
      <c r="K123" s="13">
        <v>0.4041666666666667</v>
      </c>
      <c r="L123" s="11"/>
      <c r="M123" s="12"/>
      <c r="N123" s="13"/>
      <c r="O123" s="38"/>
      <c r="P123" s="12"/>
      <c r="Q123" s="13"/>
      <c r="R123" s="11"/>
      <c r="S123" s="18"/>
      <c r="T123" s="38"/>
      <c r="U123" s="11"/>
      <c r="V123" s="18"/>
      <c r="W123" s="38"/>
      <c r="X123" s="11"/>
      <c r="Y123" s="12"/>
      <c r="Z123" s="13"/>
      <c r="AA123" s="11"/>
      <c r="AB123" s="12"/>
      <c r="AC123" s="38"/>
      <c r="AD123" s="11"/>
      <c r="AE123" s="18"/>
      <c r="AF123" s="38"/>
      <c r="AG123" s="11"/>
      <c r="AH123" s="18"/>
      <c r="AI123" s="38"/>
      <c r="AJ123" s="11"/>
      <c r="AK123" s="12"/>
      <c r="AL123" s="13"/>
      <c r="AM123" s="11"/>
      <c r="AN123" s="12"/>
      <c r="AO123" s="13"/>
      <c r="AP123" s="11"/>
      <c r="AQ123" s="12"/>
      <c r="AR123" s="13"/>
      <c r="AS123" s="11"/>
      <c r="AT123" s="12"/>
      <c r="AU123" s="13"/>
      <c r="AV123" s="11"/>
      <c r="AW123" s="12"/>
      <c r="AX123" s="13"/>
      <c r="AY123" s="11"/>
      <c r="AZ123" s="12"/>
    </row>
    <row r="124" ht="15.75" customHeight="1">
      <c r="A124" s="7"/>
      <c r="B124" s="47">
        <v>640.0</v>
      </c>
      <c r="C124" s="11">
        <v>25.0</v>
      </c>
      <c r="D124" s="12">
        <v>0.2590277777777778</v>
      </c>
      <c r="E124" s="13">
        <v>0.25972222222222224</v>
      </c>
      <c r="F124" s="64">
        <v>89.0</v>
      </c>
      <c r="G124" s="65">
        <v>0.32430555555555557</v>
      </c>
      <c r="H124" s="66">
        <v>0.32430555555555557</v>
      </c>
      <c r="I124" s="11">
        <v>25.0</v>
      </c>
      <c r="J124" s="12">
        <v>0.3638888888888889</v>
      </c>
      <c r="K124" s="13">
        <v>0.3680555555555556</v>
      </c>
      <c r="L124" s="11"/>
      <c r="M124" s="12"/>
      <c r="N124" s="13"/>
      <c r="O124" s="38"/>
      <c r="P124" s="12"/>
      <c r="Q124" s="13"/>
      <c r="R124" s="11"/>
      <c r="S124" s="18"/>
      <c r="T124" s="38"/>
      <c r="U124" s="11"/>
      <c r="V124" s="18"/>
      <c r="W124" s="38"/>
      <c r="X124" s="11"/>
      <c r="Y124" s="12"/>
      <c r="Z124" s="13"/>
      <c r="AA124" s="11"/>
      <c r="AB124" s="18"/>
      <c r="AC124" s="13"/>
      <c r="AD124" s="11"/>
      <c r="AE124" s="18"/>
      <c r="AF124" s="38"/>
      <c r="AG124" s="11"/>
      <c r="AH124" s="18"/>
      <c r="AI124" s="38"/>
      <c r="AJ124" s="11"/>
      <c r="AK124" s="12"/>
      <c r="AL124" s="13"/>
      <c r="AM124" s="11"/>
      <c r="AN124" s="12"/>
      <c r="AO124" s="13"/>
      <c r="AP124" s="11"/>
      <c r="AQ124" s="12"/>
      <c r="AR124" s="13"/>
      <c r="AS124" s="11"/>
      <c r="AT124" s="12"/>
      <c r="AU124" s="13"/>
      <c r="AV124" s="11"/>
      <c r="AW124" s="12"/>
      <c r="AX124" s="13"/>
      <c r="AY124" s="11"/>
      <c r="AZ124" s="12"/>
    </row>
    <row r="125" ht="15.75" customHeight="1">
      <c r="A125" s="7"/>
      <c r="B125" s="47">
        <v>641.0</v>
      </c>
      <c r="C125" s="11">
        <v>171.0</v>
      </c>
      <c r="D125" s="12">
        <v>0.2743055555555556</v>
      </c>
      <c r="E125" s="13">
        <v>0.275</v>
      </c>
      <c r="F125" s="64">
        <v>31.0</v>
      </c>
      <c r="G125" s="65">
        <v>0.3076388888888889</v>
      </c>
      <c r="H125" s="66">
        <v>0.3076388888888889</v>
      </c>
      <c r="I125" s="11">
        <v>150.0</v>
      </c>
      <c r="J125" s="12">
        <v>0.4125</v>
      </c>
      <c r="K125" s="13">
        <v>0.4305555555555556</v>
      </c>
      <c r="L125" s="11"/>
      <c r="M125" s="12"/>
      <c r="N125" s="13"/>
      <c r="O125" s="38"/>
      <c r="P125" s="12"/>
      <c r="Q125" s="13"/>
      <c r="R125" s="11"/>
      <c r="S125" s="18"/>
      <c r="T125" s="38"/>
      <c r="U125" s="11"/>
      <c r="V125" s="18"/>
      <c r="W125" s="38"/>
      <c r="X125" s="11"/>
      <c r="Y125" s="12"/>
      <c r="Z125" s="13"/>
      <c r="AA125" s="11">
        <v>58.0</v>
      </c>
      <c r="AB125" s="12">
        <v>0.8152777777777778</v>
      </c>
      <c r="AC125" s="13">
        <v>0.8215277777777777</v>
      </c>
      <c r="AD125" s="11"/>
      <c r="AE125" s="18"/>
      <c r="AF125" s="38"/>
      <c r="AG125" s="11">
        <v>91.0</v>
      </c>
      <c r="AH125" s="12">
        <v>0.07847222222222222</v>
      </c>
      <c r="AI125" s="13">
        <v>0.08333333333333333</v>
      </c>
      <c r="AJ125" s="11"/>
      <c r="AK125" s="18"/>
      <c r="AL125" s="38"/>
      <c r="AM125" s="11"/>
      <c r="AN125" s="18"/>
      <c r="AO125" s="38"/>
      <c r="AP125" s="11"/>
      <c r="AQ125" s="18"/>
      <c r="AR125" s="38"/>
      <c r="AS125" s="11"/>
      <c r="AT125" s="18"/>
      <c r="AU125" s="38"/>
      <c r="AV125" s="11"/>
      <c r="AW125" s="18"/>
      <c r="AX125" s="38"/>
      <c r="AY125" s="11"/>
      <c r="AZ125" s="12"/>
    </row>
    <row r="126" ht="15.75" customHeight="1">
      <c r="A126" s="7"/>
      <c r="B126" s="47">
        <v>642.0</v>
      </c>
      <c r="C126" s="11">
        <v>39.0</v>
      </c>
      <c r="D126" s="12">
        <v>0.2604166666666667</v>
      </c>
      <c r="E126" s="13">
        <v>0.26180555555555557</v>
      </c>
      <c r="F126" s="64">
        <v>159.0</v>
      </c>
      <c r="G126" s="65">
        <v>0.3388888888888889</v>
      </c>
      <c r="H126" s="66">
        <v>0.3388888888888889</v>
      </c>
      <c r="I126" s="11">
        <v>45.0</v>
      </c>
      <c r="J126" s="12">
        <v>0.37430555555555556</v>
      </c>
      <c r="K126" s="13">
        <v>0.3763888888888889</v>
      </c>
      <c r="L126" s="11"/>
      <c r="M126" s="12"/>
      <c r="N126" s="13"/>
      <c r="O126" s="38"/>
      <c r="P126" s="12"/>
      <c r="Q126" s="13"/>
      <c r="R126" s="11"/>
      <c r="S126" s="18"/>
      <c r="T126" s="13"/>
      <c r="U126" s="11"/>
      <c r="V126" s="12"/>
      <c r="W126" s="13"/>
      <c r="X126" s="11"/>
      <c r="Y126" s="12"/>
      <c r="Z126" s="13"/>
      <c r="AA126" s="11">
        <v>126.0</v>
      </c>
      <c r="AB126" s="12">
        <v>0.9180555555555555</v>
      </c>
      <c r="AC126" s="13">
        <v>0.9215277777777777</v>
      </c>
      <c r="AD126" s="11"/>
      <c r="AE126" s="12"/>
      <c r="AF126" s="13"/>
      <c r="AG126" s="11">
        <v>53.0</v>
      </c>
      <c r="AH126" s="12">
        <v>1.0</v>
      </c>
      <c r="AI126" s="13">
        <v>0.007638888888888889</v>
      </c>
      <c r="AJ126" s="11"/>
      <c r="AK126" s="12"/>
      <c r="AL126" s="13"/>
      <c r="AM126" s="11"/>
      <c r="AN126" s="12"/>
      <c r="AO126" s="13"/>
      <c r="AP126" s="11"/>
      <c r="AQ126" s="12"/>
      <c r="AR126" s="13"/>
      <c r="AS126" s="11"/>
      <c r="AT126" s="12"/>
      <c r="AU126" s="13"/>
      <c r="AV126" s="11"/>
      <c r="AW126" s="12"/>
      <c r="AX126" s="13"/>
      <c r="AY126" s="11"/>
      <c r="AZ126" s="12"/>
    </row>
    <row r="127" ht="15.75" customHeight="1">
      <c r="A127" s="7"/>
      <c r="B127" s="47">
        <v>643.0</v>
      </c>
      <c r="C127" s="11">
        <v>66.0</v>
      </c>
      <c r="D127" s="12">
        <v>0.26319444444444445</v>
      </c>
      <c r="E127" s="13">
        <v>0.2638888888888889</v>
      </c>
      <c r="F127" s="64">
        <v>38.0</v>
      </c>
      <c r="G127" s="65">
        <v>0.31319444444444444</v>
      </c>
      <c r="H127" s="66">
        <v>0.31319444444444444</v>
      </c>
      <c r="I127" s="11">
        <v>106.0</v>
      </c>
      <c r="J127" s="12">
        <v>0.3972222222222222</v>
      </c>
      <c r="K127" s="13">
        <v>0.40347222222222223</v>
      </c>
      <c r="L127" s="11"/>
      <c r="M127" s="12"/>
      <c r="N127" s="13"/>
      <c r="O127" s="38"/>
      <c r="P127" s="12"/>
      <c r="Q127" s="13"/>
      <c r="R127" s="11"/>
      <c r="S127" s="18"/>
      <c r="T127" s="38"/>
      <c r="U127" s="11"/>
      <c r="V127" s="18"/>
      <c r="W127" s="38"/>
      <c r="X127" s="11"/>
      <c r="Y127" s="12"/>
      <c r="Z127" s="13"/>
      <c r="AA127" s="11">
        <v>26.0</v>
      </c>
      <c r="AB127" s="12">
        <v>0.7520833333333333</v>
      </c>
      <c r="AC127" s="13">
        <v>0.7541666666666667</v>
      </c>
      <c r="AD127" s="11"/>
      <c r="AE127" s="12"/>
      <c r="AF127" s="38"/>
      <c r="AG127" s="11"/>
      <c r="AH127" s="12"/>
      <c r="AI127" s="38"/>
      <c r="AJ127" s="11"/>
      <c r="AK127" s="12"/>
      <c r="AL127" s="38"/>
      <c r="AM127" s="11"/>
      <c r="AN127" s="12"/>
      <c r="AO127" s="38"/>
      <c r="AP127" s="11"/>
      <c r="AQ127" s="12"/>
      <c r="AR127" s="38"/>
      <c r="AS127" s="11"/>
      <c r="AT127" s="12"/>
      <c r="AU127" s="38"/>
      <c r="AV127" s="11"/>
      <c r="AW127" s="12"/>
      <c r="AX127" s="38"/>
      <c r="AY127" s="11"/>
      <c r="AZ127" s="12"/>
    </row>
    <row r="128" ht="15.75" customHeight="1">
      <c r="A128" s="7"/>
      <c r="B128" s="47">
        <v>644.0</v>
      </c>
      <c r="C128" s="11">
        <v>13.0</v>
      </c>
      <c r="D128" s="12">
        <v>0.25416666666666665</v>
      </c>
      <c r="E128" s="13">
        <v>0.2548611111111111</v>
      </c>
      <c r="F128" s="64">
        <v>85.0</v>
      </c>
      <c r="G128" s="65">
        <v>0.3229166666666667</v>
      </c>
      <c r="H128" s="66">
        <v>0.3229166666666667</v>
      </c>
      <c r="I128" s="11">
        <v>16.0</v>
      </c>
      <c r="J128" s="12">
        <v>0.3590277777777778</v>
      </c>
      <c r="K128" s="13">
        <v>0.3625</v>
      </c>
      <c r="L128" s="11"/>
      <c r="M128" s="12"/>
      <c r="N128" s="13"/>
      <c r="O128" s="38"/>
      <c r="P128" s="12"/>
      <c r="Q128" s="13"/>
      <c r="R128" s="11"/>
      <c r="S128" s="18"/>
      <c r="T128" s="13"/>
      <c r="U128" s="11"/>
      <c r="V128" s="12"/>
      <c r="W128" s="13"/>
      <c r="X128" s="11"/>
      <c r="Y128" s="12"/>
      <c r="Z128" s="13"/>
      <c r="AA128" s="11">
        <v>44.0</v>
      </c>
      <c r="AB128" s="12">
        <v>0.7902777777777777</v>
      </c>
      <c r="AC128" s="13">
        <v>0.79375</v>
      </c>
      <c r="AD128" s="11"/>
      <c r="AE128" s="12"/>
      <c r="AF128" s="13"/>
      <c r="AG128" s="11">
        <v>24.0</v>
      </c>
      <c r="AH128" s="12">
        <v>0.9076388888888889</v>
      </c>
      <c r="AI128" s="13">
        <v>0.9125</v>
      </c>
      <c r="AJ128" s="11"/>
      <c r="AK128" s="12"/>
      <c r="AL128" s="13"/>
      <c r="AM128" s="11"/>
      <c r="AN128" s="12"/>
      <c r="AO128" s="13"/>
      <c r="AP128" s="11"/>
      <c r="AQ128" s="12"/>
      <c r="AR128" s="13"/>
      <c r="AS128" s="11"/>
      <c r="AT128" s="12"/>
      <c r="AU128" s="13"/>
      <c r="AV128" s="11"/>
      <c r="AW128" s="12"/>
      <c r="AX128" s="13"/>
      <c r="AY128" s="11"/>
      <c r="AZ128" s="12"/>
    </row>
    <row r="129" ht="15.75" customHeight="1">
      <c r="A129" s="7"/>
      <c r="B129" s="47">
        <v>645.0</v>
      </c>
      <c r="C129" s="11">
        <v>56.0</v>
      </c>
      <c r="D129" s="12">
        <v>0.26319444444444445</v>
      </c>
      <c r="E129" s="13">
        <v>0.2638888888888889</v>
      </c>
      <c r="F129" s="64">
        <v>13.0</v>
      </c>
      <c r="G129" s="65">
        <v>0.3013888888888889</v>
      </c>
      <c r="H129" s="66">
        <v>0.3013888888888889</v>
      </c>
      <c r="I129" s="11">
        <v>72.0</v>
      </c>
      <c r="J129" s="12">
        <v>0.38680555555555557</v>
      </c>
      <c r="K129" s="13">
        <v>0.38958333333333334</v>
      </c>
      <c r="L129" s="11"/>
      <c r="M129" s="12"/>
      <c r="N129" s="13"/>
      <c r="O129" s="38"/>
      <c r="P129" s="12"/>
      <c r="Q129" s="13"/>
      <c r="R129" s="11"/>
      <c r="S129" s="18"/>
      <c r="T129" s="38"/>
      <c r="U129" s="11"/>
      <c r="V129" s="18"/>
      <c r="W129" s="38"/>
      <c r="X129" s="11"/>
      <c r="Y129" s="12"/>
      <c r="Z129" s="13"/>
      <c r="AA129" s="11">
        <v>90.0</v>
      </c>
      <c r="AB129" s="12">
        <v>0.8597222222222223</v>
      </c>
      <c r="AC129" s="13">
        <v>0.8645833333333334</v>
      </c>
      <c r="AD129" s="11"/>
      <c r="AE129" s="12"/>
      <c r="AF129" s="38"/>
      <c r="AG129" s="11">
        <v>38.0</v>
      </c>
      <c r="AH129" s="12">
        <v>0.9493055555555555</v>
      </c>
      <c r="AI129" s="13">
        <v>0.9569444444444445</v>
      </c>
      <c r="AJ129" s="11"/>
      <c r="AK129" s="12"/>
      <c r="AL129" s="38"/>
      <c r="AM129" s="11"/>
      <c r="AN129" s="12"/>
      <c r="AO129" s="38"/>
      <c r="AP129" s="11"/>
      <c r="AQ129" s="12"/>
      <c r="AR129" s="38"/>
      <c r="AS129" s="11"/>
      <c r="AT129" s="12"/>
      <c r="AU129" s="38"/>
      <c r="AV129" s="11"/>
      <c r="AW129" s="12"/>
      <c r="AX129" s="38"/>
      <c r="AY129" s="11"/>
      <c r="AZ129" s="18"/>
    </row>
    <row r="130" ht="15.75" customHeight="1">
      <c r="A130" s="7"/>
      <c r="B130" s="47">
        <v>647.0</v>
      </c>
      <c r="C130" s="11">
        <v>112.0</v>
      </c>
      <c r="D130" s="12">
        <v>0.26944444444444443</v>
      </c>
      <c r="E130" s="13">
        <v>0.2701388888888889</v>
      </c>
      <c r="F130" s="64">
        <v>73.0</v>
      </c>
      <c r="G130" s="65">
        <v>0.32083333333333336</v>
      </c>
      <c r="H130" s="66">
        <v>0.32083333333333336</v>
      </c>
      <c r="I130" s="11">
        <v>93.0</v>
      </c>
      <c r="J130" s="12">
        <v>0.39375</v>
      </c>
      <c r="K130" s="13">
        <v>0.39861111111111114</v>
      </c>
      <c r="L130" s="11"/>
      <c r="M130" s="12"/>
      <c r="N130" s="13"/>
      <c r="O130" s="38"/>
      <c r="P130" s="12"/>
      <c r="Q130" s="13"/>
      <c r="R130" s="11"/>
      <c r="S130" s="18"/>
      <c r="T130" s="38"/>
      <c r="U130" s="11"/>
      <c r="V130" s="18"/>
      <c r="W130" s="38"/>
      <c r="X130" s="11"/>
      <c r="Y130" s="12"/>
      <c r="Z130" s="13"/>
      <c r="AA130" s="11">
        <v>141.0</v>
      </c>
      <c r="AB130" s="12">
        <v>0.94375</v>
      </c>
      <c r="AC130" s="13">
        <v>0.9541666666666667</v>
      </c>
      <c r="AD130" s="11"/>
      <c r="AE130" s="18"/>
      <c r="AF130" s="38"/>
      <c r="AG130" s="11"/>
      <c r="AH130" s="12"/>
      <c r="AI130" s="38"/>
      <c r="AJ130" s="11"/>
      <c r="AK130" s="18"/>
      <c r="AL130" s="38"/>
      <c r="AM130" s="11"/>
      <c r="AN130" s="18"/>
      <c r="AO130" s="38"/>
      <c r="AP130" s="11"/>
      <c r="AQ130" s="18"/>
      <c r="AR130" s="38"/>
      <c r="AS130" s="11"/>
      <c r="AT130" s="18"/>
      <c r="AU130" s="38"/>
      <c r="AV130" s="11"/>
      <c r="AW130" s="18"/>
      <c r="AX130" s="38"/>
      <c r="AY130" s="11"/>
      <c r="AZ130" s="18"/>
    </row>
    <row r="131" ht="15.75" customHeight="1">
      <c r="A131" s="7"/>
      <c r="B131" s="47">
        <v>648.0</v>
      </c>
      <c r="C131" s="11">
        <v>99.0</v>
      </c>
      <c r="D131" s="12">
        <v>0.26805555555555555</v>
      </c>
      <c r="E131" s="13">
        <v>0.26875</v>
      </c>
      <c r="F131" s="64">
        <v>108.0</v>
      </c>
      <c r="G131" s="65">
        <v>0.32569444444444445</v>
      </c>
      <c r="H131" s="66">
        <v>0.32569444444444445</v>
      </c>
      <c r="I131" s="11">
        <v>103.0</v>
      </c>
      <c r="J131" s="12">
        <v>0.39652777777777776</v>
      </c>
      <c r="K131" s="13">
        <v>0.4048611111111111</v>
      </c>
      <c r="L131" s="11"/>
      <c r="M131" s="12"/>
      <c r="N131" s="13"/>
      <c r="O131" s="38"/>
      <c r="P131" s="12"/>
      <c r="Q131" s="13"/>
      <c r="R131" s="11"/>
      <c r="S131" s="18"/>
      <c r="T131" s="13"/>
      <c r="U131" s="11"/>
      <c r="V131" s="12"/>
      <c r="W131" s="13"/>
      <c r="X131" s="11"/>
      <c r="Y131" s="12"/>
      <c r="Z131" s="13"/>
      <c r="AA131" s="11">
        <v>132.0</v>
      </c>
      <c r="AB131" s="12">
        <v>0.9270833333333334</v>
      </c>
      <c r="AC131" s="13">
        <v>0.9298611111111111</v>
      </c>
      <c r="AD131" s="11"/>
      <c r="AE131" s="12"/>
      <c r="AF131" s="13"/>
      <c r="AG131" s="11">
        <v>128.0</v>
      </c>
      <c r="AH131" s="12">
        <v>0.15625</v>
      </c>
      <c r="AI131" s="13">
        <v>0.15833333333333333</v>
      </c>
      <c r="AJ131" s="11"/>
      <c r="AK131" s="12"/>
      <c r="AL131" s="13"/>
      <c r="AM131" s="11"/>
      <c r="AN131" s="12"/>
      <c r="AO131" s="13"/>
      <c r="AP131" s="11"/>
      <c r="AQ131" s="12"/>
      <c r="AR131" s="13"/>
      <c r="AS131" s="11"/>
      <c r="AT131" s="12"/>
      <c r="AU131" s="13"/>
      <c r="AV131" s="11"/>
      <c r="AW131" s="12"/>
      <c r="AX131" s="13"/>
      <c r="AY131" s="11"/>
      <c r="AZ131" s="12"/>
    </row>
    <row r="132" ht="15.75" customHeight="1">
      <c r="A132" s="7"/>
      <c r="B132" s="47">
        <v>649.0</v>
      </c>
      <c r="C132" s="11">
        <v>119.0</v>
      </c>
      <c r="D132" s="12">
        <v>0.26944444444444443</v>
      </c>
      <c r="E132" s="13">
        <v>0.2701388888888889</v>
      </c>
      <c r="F132" s="64">
        <v>111.0</v>
      </c>
      <c r="G132" s="65">
        <v>0.32569444444444445</v>
      </c>
      <c r="H132" s="66">
        <v>0.32569444444444445</v>
      </c>
      <c r="I132" s="11">
        <v>115.0</v>
      </c>
      <c r="J132" s="12">
        <v>0.40069444444444446</v>
      </c>
      <c r="K132" s="13">
        <v>0.41180555555555554</v>
      </c>
      <c r="L132" s="11"/>
      <c r="M132" s="12"/>
      <c r="N132" s="13"/>
      <c r="O132" s="38"/>
      <c r="P132" s="12"/>
      <c r="Q132" s="13"/>
      <c r="R132" s="11"/>
      <c r="S132" s="18"/>
      <c r="T132" s="38"/>
      <c r="U132" s="11"/>
      <c r="V132" s="12"/>
      <c r="W132" s="38"/>
      <c r="X132" s="11"/>
      <c r="Y132" s="12"/>
      <c r="Z132" s="13"/>
      <c r="AA132" s="11">
        <v>17.0</v>
      </c>
      <c r="AB132" s="12">
        <v>0.7430555555555556</v>
      </c>
      <c r="AC132" s="13">
        <v>0.7458333333333333</v>
      </c>
      <c r="AD132" s="11"/>
      <c r="AE132" s="12"/>
      <c r="AF132" s="38"/>
      <c r="AG132" s="11">
        <v>118.0</v>
      </c>
      <c r="AH132" s="12">
        <v>0.12777777777777777</v>
      </c>
      <c r="AI132" s="13">
        <v>0.13333333333333333</v>
      </c>
      <c r="AJ132" s="11"/>
      <c r="AK132" s="12"/>
      <c r="AL132" s="38"/>
      <c r="AM132" s="11"/>
      <c r="AN132" s="12"/>
      <c r="AO132" s="38"/>
      <c r="AP132" s="11"/>
      <c r="AQ132" s="12"/>
      <c r="AR132" s="38"/>
      <c r="AS132" s="11"/>
      <c r="AT132" s="12"/>
      <c r="AU132" s="38"/>
      <c r="AV132" s="11"/>
      <c r="AW132" s="12"/>
      <c r="AX132" s="38"/>
      <c r="AY132" s="11"/>
      <c r="AZ132" s="12"/>
    </row>
    <row r="133" ht="15.75" customHeight="1">
      <c r="A133" s="7"/>
      <c r="B133" s="47">
        <v>650.0</v>
      </c>
      <c r="C133" s="11">
        <v>28.0</v>
      </c>
      <c r="D133" s="12">
        <v>0.25972222222222224</v>
      </c>
      <c r="E133" s="13">
        <v>0.2604166666666667</v>
      </c>
      <c r="F133" s="64">
        <v>116.0</v>
      </c>
      <c r="G133" s="65">
        <v>0.3298611111111111</v>
      </c>
      <c r="H133" s="66">
        <v>0.3298611111111111</v>
      </c>
      <c r="I133" s="11">
        <v>31.0</v>
      </c>
      <c r="J133" s="12">
        <v>0.36875</v>
      </c>
      <c r="K133" s="13">
        <v>0.3701388888888889</v>
      </c>
      <c r="L133" s="11"/>
      <c r="M133" s="12"/>
      <c r="N133" s="13"/>
      <c r="O133" s="38"/>
      <c r="P133" s="12"/>
      <c r="Q133" s="13"/>
      <c r="R133" s="11"/>
      <c r="S133" s="18"/>
      <c r="T133" s="38"/>
      <c r="U133" s="11"/>
      <c r="V133" s="18"/>
      <c r="W133" s="38"/>
      <c r="X133" s="11"/>
      <c r="Y133" s="12"/>
      <c r="Z133" s="13"/>
      <c r="AA133" s="11">
        <v>67.0</v>
      </c>
      <c r="AB133" s="12">
        <v>0.8375</v>
      </c>
      <c r="AC133" s="13">
        <v>0.8395833333333333</v>
      </c>
      <c r="AD133" s="11"/>
      <c r="AE133" s="12"/>
      <c r="AF133" s="38"/>
      <c r="AG133" s="11">
        <v>22.0</v>
      </c>
      <c r="AH133" s="12">
        <v>0.9048611111111111</v>
      </c>
      <c r="AI133" s="13">
        <v>0.9076388888888889</v>
      </c>
      <c r="AJ133" s="11"/>
      <c r="AK133" s="12"/>
      <c r="AL133" s="38"/>
      <c r="AM133" s="11"/>
      <c r="AN133" s="12"/>
      <c r="AO133" s="38"/>
      <c r="AP133" s="11"/>
      <c r="AQ133" s="12"/>
      <c r="AR133" s="38"/>
      <c r="AS133" s="11"/>
      <c r="AT133" s="12"/>
      <c r="AU133" s="38"/>
      <c r="AV133" s="11"/>
      <c r="AW133" s="12"/>
      <c r="AX133" s="38"/>
      <c r="AY133" s="11"/>
      <c r="AZ133" s="12"/>
    </row>
    <row r="134" ht="15.75" customHeight="1">
      <c r="A134" s="7"/>
      <c r="B134" s="47">
        <v>651.0</v>
      </c>
      <c r="C134" s="11">
        <v>123.0</v>
      </c>
      <c r="D134" s="12">
        <v>0.2701388888888889</v>
      </c>
      <c r="E134" s="13">
        <v>0.2708333333333333</v>
      </c>
      <c r="F134" s="64">
        <v>37.0</v>
      </c>
      <c r="G134" s="65">
        <v>0.3125</v>
      </c>
      <c r="H134" s="66">
        <v>0.3125</v>
      </c>
      <c r="I134" s="11">
        <v>67.0</v>
      </c>
      <c r="J134" s="12">
        <v>0.3854166666666667</v>
      </c>
      <c r="K134" s="13">
        <v>0.39305555555555555</v>
      </c>
      <c r="L134" s="11"/>
      <c r="M134" s="12"/>
      <c r="N134" s="13"/>
      <c r="O134" s="38"/>
      <c r="P134" s="12"/>
      <c r="Q134" s="13"/>
      <c r="R134" s="11"/>
      <c r="S134" s="18"/>
      <c r="T134" s="13"/>
      <c r="U134" s="11"/>
      <c r="V134" s="12"/>
      <c r="W134" s="13"/>
      <c r="X134" s="11"/>
      <c r="Y134" s="12"/>
      <c r="Z134" s="13"/>
      <c r="AA134" s="11">
        <v>64.0</v>
      </c>
      <c r="AB134" s="12">
        <v>0.8277777777777777</v>
      </c>
      <c r="AC134" s="13">
        <v>0.8326388888888889</v>
      </c>
      <c r="AD134" s="11"/>
      <c r="AE134" s="12"/>
      <c r="AF134" s="13"/>
      <c r="AG134" s="11">
        <v>70.0</v>
      </c>
      <c r="AH134" s="12">
        <v>0.02847222222222222</v>
      </c>
      <c r="AI134" s="13">
        <v>0.03194444444444444</v>
      </c>
      <c r="AJ134" s="11"/>
      <c r="AK134" s="12"/>
      <c r="AL134" s="13"/>
      <c r="AM134" s="11"/>
      <c r="AN134" s="12"/>
      <c r="AO134" s="13"/>
      <c r="AP134" s="11"/>
      <c r="AQ134" s="12"/>
      <c r="AR134" s="13"/>
      <c r="AS134" s="11"/>
      <c r="AT134" s="12"/>
      <c r="AU134" s="13"/>
      <c r="AV134" s="11"/>
      <c r="AW134" s="12"/>
      <c r="AX134" s="13"/>
      <c r="AY134" s="11"/>
      <c r="AZ134" s="12"/>
    </row>
    <row r="135" ht="15.75" customHeight="1">
      <c r="A135" s="7"/>
      <c r="B135" s="47">
        <v>653.0</v>
      </c>
      <c r="C135" s="11">
        <v>41.0</v>
      </c>
      <c r="D135" s="12">
        <v>0.2604166666666667</v>
      </c>
      <c r="E135" s="13">
        <v>0.26180555555555557</v>
      </c>
      <c r="F135" s="64">
        <v>71.0</v>
      </c>
      <c r="G135" s="65">
        <v>0.32083333333333336</v>
      </c>
      <c r="H135" s="66">
        <v>0.32083333333333336</v>
      </c>
      <c r="I135" s="11">
        <v>47.0</v>
      </c>
      <c r="J135" s="12">
        <v>0.375</v>
      </c>
      <c r="K135" s="13">
        <v>0.38125</v>
      </c>
      <c r="L135" s="11"/>
      <c r="M135" s="12"/>
      <c r="N135" s="13"/>
      <c r="O135" s="38"/>
      <c r="P135" s="12"/>
      <c r="Q135" s="13"/>
      <c r="R135" s="11"/>
      <c r="S135" s="18"/>
      <c r="T135" s="38"/>
      <c r="U135" s="11"/>
      <c r="V135" s="18"/>
      <c r="W135" s="38"/>
      <c r="X135" s="11"/>
      <c r="Y135" s="12"/>
      <c r="Z135" s="13"/>
      <c r="AA135" s="11"/>
      <c r="AB135" s="12"/>
      <c r="AC135" s="38"/>
      <c r="AD135" s="11"/>
      <c r="AE135" s="18"/>
      <c r="AF135" s="38"/>
      <c r="AG135" s="11">
        <v>69.0</v>
      </c>
      <c r="AH135" s="12">
        <v>0.024305555555555556</v>
      </c>
      <c r="AI135" s="13">
        <v>0.03194444444444444</v>
      </c>
      <c r="AJ135" s="11"/>
      <c r="AK135" s="12"/>
      <c r="AL135" s="13"/>
      <c r="AM135" s="11"/>
      <c r="AN135" s="12"/>
      <c r="AO135" s="13"/>
      <c r="AP135" s="11"/>
      <c r="AQ135" s="12"/>
      <c r="AR135" s="13"/>
      <c r="AS135" s="11"/>
      <c r="AT135" s="12"/>
      <c r="AU135" s="13"/>
      <c r="AV135" s="11"/>
      <c r="AW135" s="12"/>
      <c r="AX135" s="13"/>
      <c r="AY135" s="11"/>
      <c r="AZ135" s="12"/>
    </row>
    <row r="136" ht="15.75" customHeight="1">
      <c r="A136" s="7"/>
      <c r="B136" s="47">
        <v>654.0</v>
      </c>
      <c r="C136" s="11">
        <v>192.0</v>
      </c>
      <c r="D136" s="12">
        <v>0.28125</v>
      </c>
      <c r="E136" s="13">
        <v>0.28194444444444444</v>
      </c>
      <c r="F136" s="64">
        <v>46.0</v>
      </c>
      <c r="G136" s="65">
        <v>0.3138888888888889</v>
      </c>
      <c r="H136" s="66">
        <v>0.3138888888888889</v>
      </c>
      <c r="I136" s="11">
        <v>198.0</v>
      </c>
      <c r="J136" s="12">
        <v>0.44722222222222224</v>
      </c>
      <c r="K136" s="13">
        <v>0.45416666666666666</v>
      </c>
      <c r="L136" s="11"/>
      <c r="M136" s="12"/>
      <c r="N136" s="13"/>
      <c r="O136" s="38"/>
      <c r="P136" s="12"/>
      <c r="Q136" s="13"/>
      <c r="R136" s="11"/>
      <c r="S136" s="18"/>
      <c r="T136" s="13"/>
      <c r="U136" s="11"/>
      <c r="V136" s="12"/>
      <c r="W136" s="13"/>
      <c r="X136" s="11"/>
      <c r="Y136" s="12"/>
      <c r="Z136" s="13"/>
      <c r="AA136" s="11">
        <v>22.0</v>
      </c>
      <c r="AB136" s="12">
        <v>0.7486111111111111</v>
      </c>
      <c r="AC136" s="13">
        <v>0.7534722222222222</v>
      </c>
      <c r="AD136" s="11"/>
      <c r="AE136" s="12"/>
      <c r="AF136" s="13"/>
      <c r="AG136" s="11"/>
      <c r="AH136" s="12"/>
      <c r="AI136" s="13"/>
      <c r="AJ136" s="11"/>
      <c r="AK136" s="12"/>
      <c r="AL136" s="13"/>
      <c r="AM136" s="11"/>
      <c r="AN136" s="12"/>
      <c r="AO136" s="13"/>
      <c r="AP136" s="11"/>
      <c r="AQ136" s="12"/>
      <c r="AR136" s="13"/>
      <c r="AS136" s="11"/>
      <c r="AT136" s="12"/>
      <c r="AU136" s="13"/>
      <c r="AV136" s="11"/>
      <c r="AW136" s="12"/>
      <c r="AX136" s="13"/>
      <c r="AY136" s="11"/>
      <c r="AZ136" s="12"/>
    </row>
    <row r="137" ht="15.75" customHeight="1">
      <c r="A137" s="7"/>
      <c r="B137" s="47">
        <v>655.0</v>
      </c>
      <c r="C137" s="11">
        <v>54.0</v>
      </c>
      <c r="D137" s="12">
        <v>0.26319444444444445</v>
      </c>
      <c r="E137" s="13">
        <v>0.2638888888888889</v>
      </c>
      <c r="F137" s="64">
        <v>195.0</v>
      </c>
      <c r="G137" s="65">
        <v>0.3541666666666667</v>
      </c>
      <c r="H137" s="66">
        <v>0.3541666666666667</v>
      </c>
      <c r="I137" s="11">
        <v>40.0</v>
      </c>
      <c r="J137" s="12">
        <v>0.3715277777777778</v>
      </c>
      <c r="K137" s="13">
        <v>0.37569444444444444</v>
      </c>
      <c r="L137" s="11"/>
      <c r="M137" s="12"/>
      <c r="N137" s="13"/>
      <c r="O137" s="38"/>
      <c r="P137" s="12"/>
      <c r="Q137" s="13"/>
      <c r="R137" s="11"/>
      <c r="S137" s="18"/>
      <c r="T137" s="38"/>
      <c r="U137" s="11"/>
      <c r="V137" s="18"/>
      <c r="W137" s="38"/>
      <c r="X137" s="11"/>
      <c r="Y137" s="12"/>
      <c r="Z137" s="13"/>
      <c r="AA137" s="11">
        <v>165.0</v>
      </c>
      <c r="AB137" s="12">
        <v>1.0</v>
      </c>
      <c r="AC137" s="13">
        <v>0.9930555555555556</v>
      </c>
      <c r="AD137" s="11"/>
      <c r="AE137" s="12"/>
      <c r="AF137" s="38"/>
      <c r="AG137" s="11">
        <v>21.0</v>
      </c>
      <c r="AH137" s="12">
        <v>0.9020833333333333</v>
      </c>
      <c r="AI137" s="13">
        <v>0.9048611111111111</v>
      </c>
      <c r="AJ137" s="11"/>
      <c r="AK137" s="12"/>
      <c r="AL137" s="38"/>
      <c r="AM137" s="11"/>
      <c r="AN137" s="12"/>
      <c r="AO137" s="38"/>
      <c r="AP137" s="11"/>
      <c r="AQ137" s="12"/>
      <c r="AR137" s="38"/>
      <c r="AS137" s="11"/>
      <c r="AT137" s="12"/>
      <c r="AU137" s="38"/>
      <c r="AV137" s="11"/>
      <c r="AW137" s="12"/>
      <c r="AX137" s="38"/>
      <c r="AY137" s="11"/>
      <c r="AZ137" s="18"/>
    </row>
    <row r="138" ht="15.75" customHeight="1">
      <c r="A138" s="7"/>
      <c r="B138" s="47">
        <v>657.0</v>
      </c>
      <c r="C138" s="11">
        <v>198.0</v>
      </c>
      <c r="D138" s="12">
        <v>0.2833333333333333</v>
      </c>
      <c r="E138" s="13">
        <v>0.28402777777777777</v>
      </c>
      <c r="F138" s="64">
        <v>44.0</v>
      </c>
      <c r="G138" s="65">
        <v>0.3138888888888889</v>
      </c>
      <c r="H138" s="66">
        <v>0.3138888888888889</v>
      </c>
      <c r="I138" s="11">
        <v>185.0</v>
      </c>
      <c r="J138" s="12">
        <v>0.4284722222222222</v>
      </c>
      <c r="K138" s="13">
        <v>0.4361111111111111</v>
      </c>
      <c r="L138" s="11"/>
      <c r="M138" s="12"/>
      <c r="N138" s="13"/>
      <c r="O138" s="38"/>
      <c r="P138" s="12"/>
      <c r="Q138" s="13"/>
      <c r="R138" s="11"/>
      <c r="S138" s="18"/>
      <c r="T138" s="38"/>
      <c r="U138" s="11"/>
      <c r="V138" s="18"/>
      <c r="W138" s="38"/>
      <c r="X138" s="11"/>
      <c r="Y138" s="12"/>
      <c r="Z138" s="13"/>
      <c r="AA138" s="11">
        <v>30.0</v>
      </c>
      <c r="AB138" s="12">
        <v>0.7666666666666667</v>
      </c>
      <c r="AC138" s="13">
        <v>0.7694444444444445</v>
      </c>
      <c r="AD138" s="11"/>
      <c r="AE138" s="18"/>
      <c r="AF138" s="38"/>
      <c r="AG138" s="11">
        <v>139.0</v>
      </c>
      <c r="AH138" s="12">
        <v>0.18541666666666667</v>
      </c>
      <c r="AI138" s="13">
        <v>0.18888888888888888</v>
      </c>
      <c r="AJ138" s="11"/>
      <c r="AK138" s="12"/>
      <c r="AL138" s="13"/>
      <c r="AM138" s="11"/>
      <c r="AN138" s="12"/>
      <c r="AO138" s="38"/>
      <c r="AP138" s="11"/>
      <c r="AQ138" s="12"/>
      <c r="AR138" s="38"/>
      <c r="AS138" s="11"/>
      <c r="AT138" s="12"/>
      <c r="AU138" s="38"/>
      <c r="AV138" s="11"/>
      <c r="AW138" s="12"/>
      <c r="AX138" s="38"/>
      <c r="AY138" s="11"/>
      <c r="AZ138" s="18"/>
    </row>
    <row r="139" ht="15.75" customHeight="1">
      <c r="A139" s="7"/>
      <c r="B139" s="47">
        <v>662.0</v>
      </c>
      <c r="C139" s="11">
        <v>53.0</v>
      </c>
      <c r="D139" s="12">
        <v>0.26319444444444445</v>
      </c>
      <c r="E139" s="13">
        <v>0.2638888888888889</v>
      </c>
      <c r="F139" s="64">
        <v>189.0</v>
      </c>
      <c r="G139" s="65">
        <v>0.3527777777777778</v>
      </c>
      <c r="H139" s="66">
        <v>0.3527777777777778</v>
      </c>
      <c r="I139" s="11">
        <v>46.0</v>
      </c>
      <c r="J139" s="12">
        <v>0.375</v>
      </c>
      <c r="K139" s="13">
        <v>0.3784722222222222</v>
      </c>
      <c r="L139" s="11"/>
      <c r="M139" s="12"/>
      <c r="N139" s="13"/>
      <c r="O139" s="38"/>
      <c r="P139" s="12"/>
      <c r="Q139" s="13"/>
      <c r="R139" s="11"/>
      <c r="S139" s="18"/>
      <c r="T139" s="38"/>
      <c r="U139" s="11"/>
      <c r="V139" s="18"/>
      <c r="W139" s="38"/>
      <c r="X139" s="11"/>
      <c r="Y139" s="12"/>
      <c r="Z139" s="13"/>
      <c r="AA139" s="11">
        <v>66.0</v>
      </c>
      <c r="AB139" s="12">
        <v>0.8368055555555556</v>
      </c>
      <c r="AC139" s="13">
        <v>0.8388888888888889</v>
      </c>
      <c r="AD139" s="11"/>
      <c r="AE139" s="12"/>
      <c r="AF139" s="38"/>
      <c r="AG139" s="11">
        <v>28.0</v>
      </c>
      <c r="AH139" s="12">
        <v>0.9291666666666667</v>
      </c>
      <c r="AI139" s="13">
        <v>0.9319444444444445</v>
      </c>
      <c r="AJ139" s="11"/>
      <c r="AK139" s="12"/>
      <c r="AL139" s="38"/>
      <c r="AM139" s="11"/>
      <c r="AN139" s="12"/>
      <c r="AO139" s="38"/>
      <c r="AP139" s="11"/>
      <c r="AQ139" s="12"/>
      <c r="AR139" s="38"/>
      <c r="AS139" s="11"/>
      <c r="AT139" s="12"/>
      <c r="AU139" s="38"/>
      <c r="AV139" s="11"/>
      <c r="AW139" s="12"/>
      <c r="AX139" s="38"/>
      <c r="AY139" s="11"/>
      <c r="AZ139" s="18"/>
    </row>
    <row r="140" ht="15.75" customHeight="1">
      <c r="A140" s="7"/>
      <c r="B140" s="47">
        <v>663.0</v>
      </c>
      <c r="C140" s="11">
        <v>74.0</v>
      </c>
      <c r="D140" s="12">
        <v>0.26458333333333334</v>
      </c>
      <c r="E140" s="13">
        <v>0.2652777777777778</v>
      </c>
      <c r="F140" s="64">
        <v>43.0</v>
      </c>
      <c r="G140" s="65">
        <v>0.3138888888888889</v>
      </c>
      <c r="H140" s="66">
        <v>0.3138888888888889</v>
      </c>
      <c r="I140" s="11">
        <v>95.0</v>
      </c>
      <c r="J140" s="12">
        <v>0.3951388888888889</v>
      </c>
      <c r="K140" s="13">
        <v>0.3972222222222222</v>
      </c>
      <c r="L140" s="11"/>
      <c r="M140" s="12"/>
      <c r="N140" s="13"/>
      <c r="O140" s="38"/>
      <c r="P140" s="12"/>
      <c r="Q140" s="13"/>
      <c r="R140" s="11"/>
      <c r="S140" s="18"/>
      <c r="T140" s="38"/>
      <c r="U140" s="11"/>
      <c r="V140" s="18"/>
      <c r="W140" s="38"/>
      <c r="X140" s="11"/>
      <c r="Y140" s="12"/>
      <c r="Z140" s="13"/>
      <c r="AA140" s="11">
        <v>144.0</v>
      </c>
      <c r="AB140" s="12">
        <v>0.9444444444444444</v>
      </c>
      <c r="AC140" s="13">
        <v>0.95</v>
      </c>
      <c r="AD140" s="11"/>
      <c r="AE140" s="12"/>
      <c r="AF140" s="38"/>
      <c r="AG140" s="11">
        <v>55.0</v>
      </c>
      <c r="AH140" s="12">
        <v>0.009027777777777777</v>
      </c>
      <c r="AI140" s="13">
        <v>0.011805555555555555</v>
      </c>
      <c r="AJ140" s="11"/>
      <c r="AK140" s="12"/>
      <c r="AL140" s="38"/>
      <c r="AM140" s="11"/>
      <c r="AN140" s="12"/>
      <c r="AO140" s="38"/>
      <c r="AP140" s="11"/>
      <c r="AQ140" s="12"/>
      <c r="AR140" s="38"/>
      <c r="AS140" s="11"/>
      <c r="AT140" s="12"/>
      <c r="AU140" s="38"/>
      <c r="AV140" s="11"/>
      <c r="AW140" s="12"/>
      <c r="AX140" s="38"/>
      <c r="AY140" s="11"/>
      <c r="AZ140" s="18"/>
    </row>
    <row r="141" ht="15.75" customHeight="1">
      <c r="A141" s="7"/>
      <c r="B141" s="47">
        <v>664.0</v>
      </c>
      <c r="C141" s="11">
        <v>158.0</v>
      </c>
      <c r="D141" s="12">
        <v>0.2743055555555556</v>
      </c>
      <c r="E141" s="13">
        <v>0.275</v>
      </c>
      <c r="F141" s="64">
        <v>92.0</v>
      </c>
      <c r="G141" s="65">
        <v>0.32430555555555557</v>
      </c>
      <c r="H141" s="66">
        <v>0.32430555555555557</v>
      </c>
      <c r="I141" s="11">
        <v>170.0</v>
      </c>
      <c r="J141" s="12">
        <v>0.4222222222222222</v>
      </c>
      <c r="K141" s="13">
        <v>0.42986111111111114</v>
      </c>
      <c r="L141" s="11"/>
      <c r="M141" s="12"/>
      <c r="N141" s="13"/>
      <c r="O141" s="38"/>
      <c r="P141" s="12"/>
      <c r="Q141" s="13"/>
      <c r="R141" s="11"/>
      <c r="S141" s="18"/>
      <c r="T141" s="38"/>
      <c r="U141" s="11"/>
      <c r="V141" s="18"/>
      <c r="W141" s="38"/>
      <c r="X141" s="11"/>
      <c r="Y141" s="12"/>
      <c r="Z141" s="13"/>
      <c r="AA141" s="11">
        <v>145.0</v>
      </c>
      <c r="AB141" s="12">
        <v>0.9444444444444444</v>
      </c>
      <c r="AC141" s="13">
        <v>0.95</v>
      </c>
      <c r="AD141" s="11"/>
      <c r="AE141" s="12"/>
      <c r="AF141" s="38"/>
      <c r="AG141" s="11"/>
      <c r="AH141" s="12"/>
      <c r="AI141" s="38"/>
      <c r="AJ141" s="11"/>
      <c r="AK141" s="12"/>
      <c r="AL141" s="38"/>
      <c r="AM141" s="11"/>
      <c r="AN141" s="12"/>
      <c r="AO141" s="38"/>
      <c r="AP141" s="11"/>
      <c r="AQ141" s="12"/>
      <c r="AR141" s="38"/>
      <c r="AS141" s="11"/>
      <c r="AT141" s="12"/>
      <c r="AU141" s="38"/>
      <c r="AV141" s="11"/>
      <c r="AW141" s="12"/>
      <c r="AX141" s="38"/>
      <c r="AY141" s="11"/>
      <c r="AZ141" s="12"/>
    </row>
    <row r="142" ht="15.75" customHeight="1">
      <c r="A142" s="7"/>
      <c r="B142" s="47">
        <v>665.0</v>
      </c>
      <c r="C142" s="11">
        <v>159.0</v>
      </c>
      <c r="D142" s="12">
        <v>0.2743055555555556</v>
      </c>
      <c r="E142" s="13">
        <v>0.275</v>
      </c>
      <c r="F142" s="64">
        <v>149.0</v>
      </c>
      <c r="G142" s="65">
        <v>0.3368055555555556</v>
      </c>
      <c r="H142" s="66">
        <v>0.3368055555555556</v>
      </c>
      <c r="I142" s="11">
        <v>169.0</v>
      </c>
      <c r="J142" s="12">
        <v>0.4222222222222222</v>
      </c>
      <c r="K142" s="13">
        <v>0.42986111111111114</v>
      </c>
      <c r="L142" s="11"/>
      <c r="M142" s="12"/>
      <c r="N142" s="13"/>
      <c r="O142" s="38"/>
      <c r="P142" s="12"/>
      <c r="Q142" s="13"/>
      <c r="R142" s="11"/>
      <c r="S142" s="18"/>
      <c r="T142" s="38"/>
      <c r="U142" s="11"/>
      <c r="V142" s="18"/>
      <c r="W142" s="38"/>
      <c r="X142" s="11"/>
      <c r="Y142" s="12"/>
      <c r="Z142" s="13"/>
      <c r="AA142" s="11"/>
      <c r="AB142" s="18"/>
      <c r="AC142" s="13"/>
      <c r="AD142" s="11"/>
      <c r="AE142" s="18"/>
      <c r="AF142" s="38"/>
      <c r="AG142" s="11">
        <v>129.0</v>
      </c>
      <c r="AH142" s="12">
        <v>0.15833333333333333</v>
      </c>
      <c r="AI142" s="13">
        <v>0.16041666666666668</v>
      </c>
      <c r="AJ142" s="11"/>
      <c r="AK142" s="18"/>
      <c r="AL142" s="38"/>
      <c r="AM142" s="11"/>
      <c r="AN142" s="18"/>
      <c r="AO142" s="38"/>
      <c r="AP142" s="11"/>
      <c r="AQ142" s="18"/>
      <c r="AR142" s="38"/>
      <c r="AS142" s="11"/>
      <c r="AT142" s="18"/>
      <c r="AU142" s="38"/>
      <c r="AV142" s="11"/>
      <c r="AW142" s="18"/>
      <c r="AX142" s="38"/>
      <c r="AY142" s="11"/>
      <c r="AZ142" s="12"/>
    </row>
    <row r="143" ht="15.75" customHeight="1">
      <c r="A143" s="7"/>
      <c r="B143" s="47">
        <v>667.0</v>
      </c>
      <c r="C143" s="11">
        <v>188.0</v>
      </c>
      <c r="D143" s="12">
        <v>0.2798611111111111</v>
      </c>
      <c r="E143" s="13">
        <v>0.28055555555555556</v>
      </c>
      <c r="F143" s="64">
        <v>153.0</v>
      </c>
      <c r="G143" s="65">
        <v>0.3368055555555556</v>
      </c>
      <c r="H143" s="66">
        <v>0.3368055555555556</v>
      </c>
      <c r="I143" s="11">
        <v>180.0</v>
      </c>
      <c r="J143" s="12">
        <v>0.425</v>
      </c>
      <c r="K143" s="13">
        <v>0.43472222222222223</v>
      </c>
      <c r="L143" s="11"/>
      <c r="M143" s="12"/>
      <c r="N143" s="13"/>
      <c r="O143" s="38"/>
      <c r="P143" s="12"/>
      <c r="Q143" s="13"/>
      <c r="R143" s="11"/>
      <c r="S143" s="18"/>
      <c r="T143" s="38"/>
      <c r="U143" s="11"/>
      <c r="V143" s="18"/>
      <c r="W143" s="38"/>
      <c r="X143" s="11"/>
      <c r="Y143" s="12"/>
      <c r="Z143" s="13"/>
      <c r="AA143" s="11" t="s">
        <v>178</v>
      </c>
      <c r="AB143" s="18"/>
      <c r="AC143" s="13"/>
      <c r="AD143" s="11"/>
      <c r="AE143" s="18"/>
      <c r="AF143" s="38"/>
      <c r="AG143" s="11"/>
      <c r="AH143" s="18"/>
      <c r="AI143" s="38"/>
      <c r="AJ143" s="11"/>
      <c r="AK143" s="12"/>
      <c r="AL143" s="13"/>
      <c r="AM143" s="11"/>
      <c r="AN143" s="12"/>
      <c r="AO143" s="13"/>
      <c r="AP143" s="11"/>
      <c r="AQ143" s="12"/>
      <c r="AR143" s="13"/>
      <c r="AS143" s="11"/>
      <c r="AT143" s="12"/>
      <c r="AU143" s="13"/>
      <c r="AV143" s="11"/>
      <c r="AW143" s="12"/>
      <c r="AX143" s="13"/>
      <c r="AY143" s="11"/>
      <c r="AZ143" s="12"/>
    </row>
    <row r="144" ht="15.75" customHeight="1">
      <c r="A144" s="7"/>
      <c r="B144" s="47">
        <v>669.0</v>
      </c>
      <c r="C144" s="11">
        <v>194.0</v>
      </c>
      <c r="D144" s="12">
        <v>0.28125</v>
      </c>
      <c r="E144" s="13">
        <v>0.28194444444444444</v>
      </c>
      <c r="F144" s="64">
        <v>176.0</v>
      </c>
      <c r="G144" s="65">
        <v>0.3416666666666667</v>
      </c>
      <c r="H144" s="66">
        <v>0.3416666666666667</v>
      </c>
      <c r="I144" s="11">
        <v>190.0</v>
      </c>
      <c r="J144" s="12">
        <v>0.43472222222222223</v>
      </c>
      <c r="K144" s="13">
        <v>0.44305555555555554</v>
      </c>
      <c r="L144" s="11"/>
      <c r="M144" s="12"/>
      <c r="N144" s="13"/>
      <c r="O144" s="38"/>
      <c r="P144" s="12"/>
      <c r="Q144" s="13"/>
      <c r="R144" s="11"/>
      <c r="S144" s="18"/>
      <c r="T144" s="38"/>
      <c r="U144" s="11"/>
      <c r="V144" s="18"/>
      <c r="W144" s="38"/>
      <c r="X144" s="11"/>
      <c r="Y144" s="12"/>
      <c r="Z144" s="13"/>
      <c r="AA144" s="11">
        <v>68.0</v>
      </c>
      <c r="AB144" s="12">
        <v>0.8381944444444445</v>
      </c>
      <c r="AC144" s="13">
        <v>0.8423611111111111</v>
      </c>
      <c r="AD144" s="11"/>
      <c r="AE144" s="18"/>
      <c r="AF144" s="38"/>
      <c r="AG144" s="11">
        <v>130.0</v>
      </c>
      <c r="AH144" s="12">
        <v>0.15833333333333333</v>
      </c>
      <c r="AI144" s="13">
        <v>0.16319444444444445</v>
      </c>
      <c r="AJ144" s="11"/>
      <c r="AK144" s="18"/>
      <c r="AL144" s="38"/>
      <c r="AM144" s="11"/>
      <c r="AN144" s="18"/>
      <c r="AO144" s="38"/>
      <c r="AP144" s="11"/>
      <c r="AQ144" s="18"/>
      <c r="AR144" s="38"/>
      <c r="AS144" s="11"/>
      <c r="AT144" s="18"/>
      <c r="AU144" s="38"/>
      <c r="AV144" s="11"/>
      <c r="AW144" s="18"/>
      <c r="AX144" s="38"/>
      <c r="AY144" s="11"/>
      <c r="AZ144" s="18"/>
    </row>
    <row r="145" ht="15.75" customHeight="1">
      <c r="A145" s="7"/>
      <c r="B145" s="47">
        <v>670.0</v>
      </c>
      <c r="C145" s="11">
        <v>96.0</v>
      </c>
      <c r="D145" s="12">
        <v>0.26805555555555555</v>
      </c>
      <c r="E145" s="13">
        <v>0.26875</v>
      </c>
      <c r="F145" s="64">
        <v>190.0</v>
      </c>
      <c r="G145" s="65">
        <v>0.3527777777777778</v>
      </c>
      <c r="H145" s="66">
        <v>0.3527777777777778</v>
      </c>
      <c r="I145" s="11"/>
      <c r="J145" s="18"/>
      <c r="K145" s="38"/>
      <c r="L145" s="11"/>
      <c r="M145" s="12"/>
      <c r="N145" s="13"/>
      <c r="O145" s="38"/>
      <c r="P145" s="12"/>
      <c r="Q145" s="13"/>
      <c r="R145" s="11"/>
      <c r="S145" s="18"/>
      <c r="T145" s="38"/>
      <c r="U145" s="11"/>
      <c r="V145" s="12"/>
      <c r="W145" s="38"/>
      <c r="X145" s="11"/>
      <c r="Y145" s="12"/>
      <c r="Z145" s="38"/>
      <c r="AA145" s="11">
        <v>152.0</v>
      </c>
      <c r="AB145" s="12">
        <v>0.95625</v>
      </c>
      <c r="AC145" s="13">
        <v>0.9611111111111111</v>
      </c>
      <c r="AD145" s="11"/>
      <c r="AE145" s="12"/>
      <c r="AF145" s="38"/>
      <c r="AG145" s="11">
        <v>80.0</v>
      </c>
      <c r="AH145" s="12">
        <v>0.043055555555555555</v>
      </c>
      <c r="AI145" s="13">
        <v>0.04722222222222222</v>
      </c>
      <c r="AJ145" s="11"/>
      <c r="AK145" s="12"/>
      <c r="AL145" s="38"/>
      <c r="AM145" s="11"/>
      <c r="AN145" s="12"/>
      <c r="AO145" s="38"/>
      <c r="AP145" s="11"/>
      <c r="AQ145" s="12"/>
      <c r="AR145" s="38"/>
      <c r="AS145" s="11"/>
      <c r="AT145" s="12"/>
      <c r="AU145" s="38"/>
      <c r="AV145" s="11"/>
      <c r="AW145" s="12"/>
      <c r="AX145" s="38"/>
      <c r="AY145" s="11"/>
      <c r="AZ145" s="12"/>
    </row>
    <row r="146" ht="15.75" customHeight="1">
      <c r="A146" s="7"/>
      <c r="B146" s="47">
        <v>673.0</v>
      </c>
      <c r="C146" s="11">
        <v>181.0</v>
      </c>
      <c r="D146" s="12">
        <v>0.2777777777777778</v>
      </c>
      <c r="E146" s="13">
        <v>0.27847222222222223</v>
      </c>
      <c r="F146" s="64">
        <v>115.0</v>
      </c>
      <c r="G146" s="65">
        <v>0.32916666666666666</v>
      </c>
      <c r="H146" s="66">
        <v>0.32916666666666666</v>
      </c>
      <c r="I146" s="11">
        <v>173.0</v>
      </c>
      <c r="J146" s="12">
        <v>0.4236111111111111</v>
      </c>
      <c r="K146" s="13">
        <v>0.43333333333333335</v>
      </c>
      <c r="L146" s="11"/>
      <c r="M146" s="12"/>
      <c r="N146" s="13"/>
      <c r="O146" s="18"/>
      <c r="P146" s="12"/>
      <c r="Q146" s="12"/>
      <c r="R146" s="11"/>
      <c r="S146" s="18"/>
      <c r="T146" s="13"/>
      <c r="U146" s="11"/>
      <c r="V146" s="12"/>
      <c r="W146" s="13"/>
      <c r="X146" s="11"/>
      <c r="Y146" s="12"/>
      <c r="Z146" s="13"/>
      <c r="AA146" s="11"/>
      <c r="AC146" s="38"/>
      <c r="AD146" s="11"/>
      <c r="AE146" s="12"/>
      <c r="AF146" s="13"/>
      <c r="AG146" s="11">
        <v>142.0</v>
      </c>
      <c r="AH146" s="12">
        <v>0.1951388888888889</v>
      </c>
      <c r="AI146" s="13">
        <v>0.19722222222222222</v>
      </c>
      <c r="AJ146" s="11"/>
      <c r="AK146" s="12"/>
      <c r="AL146" s="13"/>
      <c r="AM146" s="11"/>
      <c r="AN146" s="12"/>
      <c r="AO146" s="13"/>
      <c r="AP146" s="11"/>
      <c r="AQ146" s="12"/>
      <c r="AR146" s="13"/>
      <c r="AS146" s="11"/>
      <c r="AT146" s="12"/>
      <c r="AU146" s="13"/>
      <c r="AV146" s="11"/>
      <c r="AW146" s="12"/>
      <c r="AX146" s="13"/>
      <c r="AY146" s="11"/>
      <c r="AZ146" s="12"/>
    </row>
    <row r="147" ht="15.75" customHeight="1">
      <c r="A147" s="7"/>
      <c r="B147" s="47">
        <v>674.0</v>
      </c>
      <c r="C147" s="11">
        <v>199.0</v>
      </c>
      <c r="D147" s="12">
        <v>0.28680555555555554</v>
      </c>
      <c r="E147" s="13">
        <v>0.2875</v>
      </c>
      <c r="F147" s="64">
        <v>182.0</v>
      </c>
      <c r="G147" s="65">
        <v>0.34444444444444444</v>
      </c>
      <c r="H147" s="66">
        <v>0.34444444444444444</v>
      </c>
      <c r="I147" s="11">
        <v>201.0</v>
      </c>
      <c r="J147" s="12">
        <v>0.4930555555555556</v>
      </c>
      <c r="K147" s="38" t="s">
        <v>178</v>
      </c>
      <c r="L147" s="11"/>
      <c r="M147" s="12"/>
      <c r="N147" s="13"/>
      <c r="O147" s="72"/>
      <c r="Q147" s="72"/>
      <c r="R147" s="11"/>
      <c r="S147" s="18"/>
      <c r="T147" s="13"/>
      <c r="U147" s="11"/>
      <c r="V147" s="12"/>
      <c r="W147" s="13"/>
      <c r="X147" s="11"/>
      <c r="Y147" s="12"/>
      <c r="Z147" s="13"/>
      <c r="AA147" s="11">
        <v>54.0</v>
      </c>
      <c r="AB147" s="12">
        <v>0.8125</v>
      </c>
      <c r="AC147" s="13">
        <v>0.81875</v>
      </c>
      <c r="AD147" s="11"/>
      <c r="AE147" s="12"/>
      <c r="AF147" s="13"/>
      <c r="AG147" s="11"/>
      <c r="AH147" s="12"/>
      <c r="AI147" s="13"/>
      <c r="AJ147" s="11"/>
      <c r="AK147" s="12"/>
      <c r="AL147" s="13"/>
      <c r="AM147" s="11"/>
      <c r="AN147" s="12"/>
      <c r="AO147" s="13"/>
      <c r="AP147" s="11"/>
      <c r="AQ147" s="12"/>
      <c r="AR147" s="13"/>
      <c r="AS147" s="11"/>
      <c r="AT147" s="12"/>
      <c r="AU147" s="13"/>
      <c r="AV147" s="11"/>
      <c r="AW147" s="12"/>
      <c r="AX147" s="13"/>
      <c r="AY147" s="11"/>
      <c r="AZ147" s="18"/>
    </row>
    <row r="148" ht="15.75" customHeight="1">
      <c r="A148" s="7"/>
      <c r="B148" s="47">
        <v>675.0</v>
      </c>
      <c r="C148" s="11">
        <v>94.0</v>
      </c>
      <c r="D148" s="12">
        <v>0.2673611111111111</v>
      </c>
      <c r="E148" s="13">
        <v>0.26805555555555555</v>
      </c>
      <c r="F148" s="64">
        <v>198.0</v>
      </c>
      <c r="G148" s="65">
        <v>0.3729166666666667</v>
      </c>
      <c r="H148" s="66">
        <v>0.3729166666666667</v>
      </c>
      <c r="I148" s="11">
        <v>88.0</v>
      </c>
      <c r="J148" s="18" t="s">
        <v>183</v>
      </c>
      <c r="K148" s="13">
        <v>0.3951388888888889</v>
      </c>
      <c r="L148" s="11"/>
      <c r="M148" s="12"/>
      <c r="N148" s="13"/>
      <c r="O148" s="38"/>
      <c r="P148" s="12"/>
      <c r="Q148" s="13"/>
      <c r="R148" s="11"/>
      <c r="S148" s="18"/>
      <c r="T148" s="38"/>
      <c r="U148" s="11"/>
      <c r="V148" s="18"/>
      <c r="W148" s="38"/>
      <c r="X148" s="11"/>
      <c r="Y148" s="12"/>
      <c r="Z148" s="13"/>
      <c r="AA148" s="11">
        <v>128.0</v>
      </c>
      <c r="AB148" s="12">
        <v>0.9194444444444444</v>
      </c>
      <c r="AC148" s="13">
        <v>0.9222222222222223</v>
      </c>
      <c r="AD148" s="11"/>
      <c r="AE148" s="18"/>
      <c r="AF148" s="38"/>
      <c r="AG148" s="11">
        <v>46.0</v>
      </c>
      <c r="AH148" s="12">
        <v>0.9909722222222223</v>
      </c>
      <c r="AI148" s="13">
        <v>0.9916666666666667</v>
      </c>
      <c r="AJ148" s="11"/>
      <c r="AK148" s="12"/>
      <c r="AL148" s="13"/>
      <c r="AM148" s="11"/>
      <c r="AN148" s="12"/>
      <c r="AO148" s="13"/>
      <c r="AP148" s="11"/>
      <c r="AQ148" s="12"/>
      <c r="AR148" s="13"/>
      <c r="AS148" s="11"/>
      <c r="AT148" s="12"/>
      <c r="AU148" s="13"/>
      <c r="AV148" s="11"/>
      <c r="AW148" s="12"/>
      <c r="AX148" s="13"/>
      <c r="AY148" s="11"/>
      <c r="AZ148" s="18"/>
    </row>
    <row r="149" ht="15.75" customHeight="1">
      <c r="A149" s="7"/>
      <c r="B149" s="47">
        <v>676.0</v>
      </c>
      <c r="C149" s="11">
        <v>130.0</v>
      </c>
      <c r="D149" s="12">
        <v>0.2708333333333333</v>
      </c>
      <c r="E149" s="13">
        <v>0.27152777777777776</v>
      </c>
      <c r="F149" s="64">
        <v>109.0</v>
      </c>
      <c r="G149" s="65">
        <v>0.32569444444444445</v>
      </c>
      <c r="H149" s="66">
        <v>0.32569444444444445</v>
      </c>
      <c r="I149" s="11">
        <v>127.0</v>
      </c>
      <c r="J149" s="12">
        <v>0.40555555555555556</v>
      </c>
      <c r="K149" s="13">
        <v>0.4076388888888889</v>
      </c>
      <c r="L149" s="11"/>
      <c r="M149" s="12"/>
      <c r="N149" s="13"/>
      <c r="O149" s="38"/>
      <c r="P149" s="12"/>
      <c r="Q149" s="13"/>
      <c r="R149" s="11"/>
      <c r="S149" s="18"/>
      <c r="T149" s="13"/>
      <c r="U149" s="11"/>
      <c r="V149" s="12"/>
      <c r="W149" s="13"/>
      <c r="X149" s="11"/>
      <c r="Y149" s="12"/>
      <c r="Z149" s="38"/>
      <c r="AA149" s="11">
        <v>154.0</v>
      </c>
      <c r="AB149" s="12">
        <v>0.9597222222222223</v>
      </c>
      <c r="AC149" s="38" t="s">
        <v>178</v>
      </c>
      <c r="AD149" s="11"/>
      <c r="AE149" s="12"/>
      <c r="AF149" s="38"/>
      <c r="AG149" s="11">
        <v>121.0</v>
      </c>
      <c r="AH149" s="12">
        <v>0.13402777777777777</v>
      </c>
      <c r="AI149" s="13">
        <v>0.1361111111111111</v>
      </c>
      <c r="AJ149" s="11"/>
      <c r="AK149" s="12"/>
      <c r="AL149" s="38"/>
      <c r="AM149" s="11"/>
      <c r="AN149" s="12"/>
      <c r="AO149" s="38"/>
      <c r="AP149" s="11"/>
      <c r="AQ149" s="12"/>
      <c r="AR149" s="38"/>
      <c r="AS149" s="11"/>
      <c r="AT149" s="12"/>
      <c r="AU149" s="38"/>
      <c r="AV149" s="11"/>
      <c r="AW149" s="12"/>
      <c r="AX149" s="38"/>
      <c r="AY149" s="11"/>
      <c r="AZ149" s="12"/>
    </row>
    <row r="150" ht="15.75" customHeight="1">
      <c r="A150" s="7"/>
      <c r="B150" s="47">
        <v>677.0</v>
      </c>
      <c r="C150" s="11">
        <v>35.0</v>
      </c>
      <c r="D150" s="12">
        <v>0.2604166666666667</v>
      </c>
      <c r="E150" s="13">
        <v>0.26180555555555557</v>
      </c>
      <c r="F150" s="64">
        <v>132.0</v>
      </c>
      <c r="G150" s="65">
        <v>0.3326388888888889</v>
      </c>
      <c r="H150" s="66">
        <v>0.3326388888888889</v>
      </c>
      <c r="I150" s="11">
        <v>78.0</v>
      </c>
      <c r="J150" s="12">
        <v>0.38819444444444445</v>
      </c>
      <c r="K150" s="13">
        <v>0.3923611111111111</v>
      </c>
      <c r="L150" s="11"/>
      <c r="M150" s="12"/>
      <c r="N150" s="13"/>
      <c r="O150" s="38"/>
      <c r="P150" s="12"/>
      <c r="Q150" s="13"/>
      <c r="R150" s="11"/>
      <c r="S150" s="18"/>
      <c r="T150" s="38"/>
      <c r="U150" s="11"/>
      <c r="V150" s="18"/>
      <c r="W150" s="38"/>
      <c r="X150" s="11"/>
      <c r="Y150" s="12"/>
      <c r="Z150" s="13"/>
      <c r="AA150" s="11"/>
      <c r="AB150" s="18"/>
      <c r="AC150" s="38"/>
      <c r="AD150" s="11"/>
      <c r="AE150" s="18"/>
      <c r="AF150" s="38"/>
      <c r="AG150" s="11"/>
      <c r="AH150" s="18"/>
      <c r="AI150" s="38"/>
      <c r="AJ150" s="11"/>
      <c r="AK150" s="12"/>
      <c r="AL150" s="13"/>
      <c r="AM150" s="11"/>
      <c r="AN150" s="12"/>
      <c r="AO150" s="13"/>
      <c r="AP150" s="11"/>
      <c r="AQ150" s="12"/>
      <c r="AR150" s="13"/>
      <c r="AS150" s="11"/>
      <c r="AT150" s="12"/>
      <c r="AU150" s="13"/>
      <c r="AV150" s="11"/>
      <c r="AW150" s="12"/>
      <c r="AX150" s="13"/>
      <c r="AY150" s="11"/>
      <c r="AZ150" s="18"/>
    </row>
    <row r="151" ht="15.75" customHeight="1">
      <c r="A151" s="7"/>
      <c r="B151" s="47">
        <v>678.0</v>
      </c>
      <c r="C151" s="11">
        <v>195.0</v>
      </c>
      <c r="D151" s="12">
        <v>0.28125</v>
      </c>
      <c r="E151" s="13">
        <v>0.28194444444444444</v>
      </c>
      <c r="F151" s="64">
        <v>54.0</v>
      </c>
      <c r="G151" s="65">
        <v>0.3145833333333333</v>
      </c>
      <c r="H151" s="66">
        <v>0.3145833333333333</v>
      </c>
      <c r="I151" s="11">
        <v>193.0</v>
      </c>
      <c r="J151" s="12">
        <v>0.4409722222222222</v>
      </c>
      <c r="K151" s="13">
        <v>0.45</v>
      </c>
      <c r="L151" s="11"/>
      <c r="M151" s="12"/>
      <c r="N151" s="13"/>
      <c r="O151" s="38"/>
      <c r="P151" s="12"/>
      <c r="Q151" s="13"/>
      <c r="R151" s="11"/>
      <c r="S151" s="18"/>
      <c r="T151" s="38"/>
      <c r="U151" s="11"/>
      <c r="V151" s="18"/>
      <c r="W151" s="38"/>
      <c r="X151" s="11"/>
      <c r="Y151" s="12"/>
      <c r="Z151" s="13"/>
      <c r="AA151" s="11">
        <v>151.0</v>
      </c>
      <c r="AB151" s="12">
        <v>0.95625</v>
      </c>
      <c r="AC151" s="13">
        <v>0.9611111111111111</v>
      </c>
      <c r="AD151" s="11"/>
      <c r="AE151" s="18"/>
      <c r="AF151" s="38"/>
      <c r="AG151" s="11"/>
      <c r="AH151" s="18"/>
      <c r="AI151" s="38"/>
      <c r="AJ151" s="11"/>
      <c r="AK151" s="18"/>
      <c r="AL151" s="38"/>
      <c r="AM151" s="11"/>
      <c r="AN151" s="18"/>
      <c r="AO151" s="38"/>
      <c r="AP151" s="11"/>
      <c r="AQ151" s="18"/>
      <c r="AR151" s="38"/>
      <c r="AS151" s="11"/>
      <c r="AT151" s="18"/>
      <c r="AU151" s="38"/>
      <c r="AV151" s="11"/>
      <c r="AW151" s="18"/>
      <c r="AX151" s="38"/>
      <c r="AY151" s="11"/>
      <c r="AZ151" s="12"/>
    </row>
    <row r="152" ht="15.75" customHeight="1">
      <c r="A152" s="7"/>
      <c r="B152" s="47">
        <v>680.0</v>
      </c>
      <c r="C152" s="11">
        <v>191.0</v>
      </c>
      <c r="D152" s="12">
        <v>0.28055555555555556</v>
      </c>
      <c r="E152" s="13">
        <v>0.28125</v>
      </c>
      <c r="F152" s="64">
        <v>194.0</v>
      </c>
      <c r="G152" s="65">
        <v>0.3541666666666667</v>
      </c>
      <c r="H152" s="66">
        <v>0.3541666666666667</v>
      </c>
      <c r="I152" s="11">
        <v>179.0</v>
      </c>
      <c r="J152" s="12">
        <v>0.425</v>
      </c>
      <c r="K152" s="13">
        <v>0.4388888888888889</v>
      </c>
      <c r="L152" s="11"/>
      <c r="M152" s="12"/>
      <c r="N152" s="13"/>
      <c r="O152" s="38"/>
      <c r="P152" s="12"/>
      <c r="Q152" s="13"/>
      <c r="R152" s="11"/>
      <c r="S152" s="18"/>
      <c r="T152" s="38"/>
      <c r="U152" s="11"/>
      <c r="V152" s="18"/>
      <c r="W152" s="38"/>
      <c r="X152" s="11"/>
      <c r="Y152" s="12"/>
      <c r="Z152" s="13"/>
      <c r="AA152" s="11">
        <v>142.0</v>
      </c>
      <c r="AB152" s="12">
        <v>0.94375</v>
      </c>
      <c r="AC152" s="13">
        <v>0.95</v>
      </c>
      <c r="AD152" s="11"/>
      <c r="AE152" s="18"/>
      <c r="AF152" s="38"/>
      <c r="AG152" s="11">
        <v>147.0</v>
      </c>
      <c r="AH152" s="12">
        <v>0.2013888888888889</v>
      </c>
      <c r="AI152" s="38" t="s">
        <v>178</v>
      </c>
      <c r="AJ152" s="11"/>
      <c r="AK152" s="18"/>
      <c r="AL152" s="38"/>
      <c r="AM152" s="11"/>
      <c r="AN152" s="18"/>
      <c r="AO152" s="38"/>
      <c r="AP152" s="11"/>
      <c r="AQ152" s="18"/>
      <c r="AR152" s="38"/>
      <c r="AS152" s="11"/>
      <c r="AT152" s="18"/>
      <c r="AU152" s="38"/>
      <c r="AV152" s="11"/>
      <c r="AW152" s="18"/>
      <c r="AX152" s="38"/>
      <c r="AY152" s="11"/>
      <c r="AZ152" s="12"/>
    </row>
    <row r="153" ht="15.75" customHeight="1">
      <c r="A153" s="7"/>
      <c r="B153" s="47">
        <v>681.0</v>
      </c>
      <c r="C153" s="11">
        <v>175.0</v>
      </c>
      <c r="D153" s="12">
        <v>0.275</v>
      </c>
      <c r="E153" s="13">
        <v>0.27569444444444446</v>
      </c>
      <c r="F153" s="64">
        <v>179.0</v>
      </c>
      <c r="G153" s="65">
        <v>0.34444444444444444</v>
      </c>
      <c r="H153" s="66">
        <v>0.34444444444444444</v>
      </c>
      <c r="I153" s="11">
        <v>143.0</v>
      </c>
      <c r="J153" s="12">
        <v>0.41180555555555554</v>
      </c>
      <c r="K153" s="13">
        <v>0.4270833333333333</v>
      </c>
      <c r="L153" s="11"/>
      <c r="M153" s="12"/>
      <c r="N153" s="13"/>
      <c r="O153" s="38"/>
      <c r="P153" s="12"/>
      <c r="Q153" s="13"/>
      <c r="R153" s="11"/>
      <c r="S153" s="18"/>
      <c r="T153" s="13"/>
      <c r="U153" s="11"/>
      <c r="V153" s="12"/>
      <c r="W153" s="13"/>
      <c r="X153" s="11"/>
      <c r="Y153" s="12"/>
      <c r="Z153" s="13"/>
      <c r="AA153" s="11">
        <v>53.0</v>
      </c>
      <c r="AB153" s="12">
        <v>0.8125</v>
      </c>
      <c r="AC153" s="13">
        <v>0.8201388888888889</v>
      </c>
      <c r="AD153" s="11"/>
      <c r="AE153" s="12"/>
      <c r="AF153" s="13"/>
      <c r="AG153" s="11">
        <v>134.0</v>
      </c>
      <c r="AH153" s="12">
        <v>0.17083333333333334</v>
      </c>
      <c r="AI153" s="13">
        <v>0.175</v>
      </c>
      <c r="AJ153" s="11"/>
      <c r="AK153" s="12"/>
      <c r="AL153" s="13"/>
      <c r="AM153" s="11"/>
      <c r="AN153" s="12"/>
      <c r="AO153" s="13"/>
      <c r="AP153" s="11"/>
      <c r="AQ153" s="12"/>
      <c r="AR153" s="13"/>
      <c r="AS153" s="11"/>
      <c r="AT153" s="12"/>
      <c r="AU153" s="38"/>
      <c r="AV153" s="11"/>
      <c r="AW153" s="12"/>
      <c r="AX153" s="13"/>
      <c r="AY153" s="11"/>
      <c r="AZ153" s="18"/>
    </row>
    <row r="154" ht="15.75" customHeight="1">
      <c r="A154" s="7"/>
      <c r="B154" s="47">
        <v>683.0</v>
      </c>
      <c r="C154" s="11">
        <v>38.0</v>
      </c>
      <c r="D154" s="12">
        <v>0.2604166666666667</v>
      </c>
      <c r="E154" s="13">
        <v>0.26180555555555557</v>
      </c>
      <c r="F154" s="64">
        <v>151.0</v>
      </c>
      <c r="G154" s="65">
        <v>0.3368055555555556</v>
      </c>
      <c r="H154" s="66">
        <v>0.3368055555555556</v>
      </c>
      <c r="I154" s="11">
        <v>26.0</v>
      </c>
      <c r="J154" s="12">
        <v>0.36527777777777776</v>
      </c>
      <c r="K154" s="13">
        <v>0.3680555555555556</v>
      </c>
      <c r="L154" s="11"/>
      <c r="M154" s="12"/>
      <c r="N154" s="13"/>
      <c r="O154" s="38"/>
      <c r="P154" s="12"/>
      <c r="Q154" s="13"/>
      <c r="R154" s="11"/>
      <c r="S154" s="18"/>
      <c r="T154" s="38"/>
      <c r="U154" s="11"/>
      <c r="V154" s="18"/>
      <c r="W154" s="38"/>
      <c r="X154" s="11"/>
      <c r="Y154" s="12"/>
      <c r="Z154" s="38"/>
      <c r="AA154" s="11">
        <v>36.0</v>
      </c>
      <c r="AB154" s="12">
        <v>0.7756944444444445</v>
      </c>
      <c r="AC154" s="13">
        <v>0.78125</v>
      </c>
      <c r="AD154" s="11"/>
      <c r="AE154" s="12"/>
      <c r="AF154" s="38"/>
      <c r="AG154" s="11">
        <v>76.0</v>
      </c>
      <c r="AH154" s="12">
        <v>0.03888888888888889</v>
      </c>
      <c r="AI154" s="13">
        <v>0.04722222222222222</v>
      </c>
      <c r="AJ154" s="11"/>
      <c r="AK154" s="12"/>
      <c r="AL154" s="38"/>
      <c r="AM154" s="11"/>
      <c r="AN154" s="12"/>
      <c r="AO154" s="38"/>
      <c r="AP154" s="11"/>
      <c r="AQ154" s="12"/>
      <c r="AR154" s="38"/>
      <c r="AS154" s="11"/>
      <c r="AT154" s="12"/>
      <c r="AU154" s="38"/>
      <c r="AV154" s="11"/>
      <c r="AW154" s="12"/>
      <c r="AX154" s="38"/>
      <c r="AY154" s="11"/>
      <c r="AZ154" s="12"/>
    </row>
    <row r="155" ht="15.75" customHeight="1">
      <c r="A155" s="7"/>
      <c r="B155" s="47">
        <v>684.0</v>
      </c>
      <c r="C155" s="11">
        <v>121.0</v>
      </c>
      <c r="D155" s="12">
        <v>0.2701388888888889</v>
      </c>
      <c r="E155" s="13">
        <v>0.2708333333333333</v>
      </c>
      <c r="F155" s="64">
        <v>26.0</v>
      </c>
      <c r="G155" s="65">
        <v>0.30694444444444446</v>
      </c>
      <c r="H155" s="66">
        <v>0.30694444444444446</v>
      </c>
      <c r="I155" s="11">
        <v>66.0</v>
      </c>
      <c r="J155" s="12">
        <v>0.3854166666666667</v>
      </c>
      <c r="K155" s="13">
        <v>0.3875</v>
      </c>
      <c r="L155" s="11"/>
      <c r="M155" s="12"/>
      <c r="N155" s="13"/>
      <c r="O155" s="38"/>
      <c r="P155" s="12"/>
      <c r="Q155" s="13"/>
      <c r="R155" s="11"/>
      <c r="S155" s="18"/>
      <c r="T155" s="13"/>
      <c r="U155" s="11"/>
      <c r="V155" s="12"/>
      <c r="W155" s="13"/>
      <c r="X155" s="11"/>
      <c r="Y155" s="12"/>
      <c r="Z155" s="13"/>
      <c r="AA155" s="11">
        <v>21.0</v>
      </c>
      <c r="AB155" s="12">
        <v>0.7486111111111111</v>
      </c>
      <c r="AC155" s="13">
        <v>0.7534722222222222</v>
      </c>
      <c r="AD155" s="11"/>
      <c r="AE155" s="12"/>
      <c r="AF155" s="13"/>
      <c r="AG155" s="11">
        <v>36.0</v>
      </c>
      <c r="AH155" s="12">
        <v>0.9451388888888889</v>
      </c>
      <c r="AI155" s="13">
        <v>0.9493055555555555</v>
      </c>
      <c r="AJ155" s="11"/>
      <c r="AK155" s="12"/>
      <c r="AL155" s="13"/>
      <c r="AM155" s="11"/>
      <c r="AN155" s="12"/>
      <c r="AO155" s="13"/>
      <c r="AP155" s="11"/>
      <c r="AQ155" s="12"/>
      <c r="AR155" s="13"/>
      <c r="AS155" s="11"/>
      <c r="AT155" s="12"/>
      <c r="AU155" s="13"/>
      <c r="AV155" s="11"/>
      <c r="AW155" s="12"/>
      <c r="AX155" s="13"/>
      <c r="AY155" s="11"/>
      <c r="AZ155" s="18"/>
    </row>
    <row r="156" ht="15.75" customHeight="1">
      <c r="A156" s="7"/>
      <c r="B156" s="47">
        <v>685.0</v>
      </c>
      <c r="C156" s="11">
        <v>31.0</v>
      </c>
      <c r="D156" s="12">
        <v>0.25972222222222224</v>
      </c>
      <c r="E156" s="13">
        <v>0.2604166666666667</v>
      </c>
      <c r="F156" s="64">
        <v>101.0</v>
      </c>
      <c r="G156" s="65">
        <v>0.32569444444444445</v>
      </c>
      <c r="H156" s="66">
        <v>0.32569444444444445</v>
      </c>
      <c r="I156" s="11">
        <v>33.0</v>
      </c>
      <c r="J156" s="12">
        <v>0.36875</v>
      </c>
      <c r="K156" s="13">
        <v>0.37083333333333335</v>
      </c>
      <c r="L156" s="11"/>
      <c r="M156" s="12"/>
      <c r="N156" s="13"/>
      <c r="O156" s="38"/>
      <c r="P156" s="12"/>
      <c r="Q156" s="13"/>
      <c r="R156" s="11"/>
      <c r="S156" s="18"/>
      <c r="T156" s="38"/>
      <c r="U156" s="11"/>
      <c r="V156" s="18"/>
      <c r="W156" s="38"/>
      <c r="X156" s="11"/>
      <c r="Y156" s="12"/>
      <c r="Z156" s="13"/>
      <c r="AA156" s="11">
        <v>42.0</v>
      </c>
      <c r="AB156" s="12">
        <v>0.7854166666666667</v>
      </c>
      <c r="AC156" s="13">
        <v>0.7875</v>
      </c>
      <c r="AD156" s="11"/>
      <c r="AE156" s="18"/>
      <c r="AF156" s="38"/>
      <c r="AG156" s="11">
        <v>17.0</v>
      </c>
      <c r="AH156" s="12">
        <v>0.8958333333333334</v>
      </c>
      <c r="AI156" s="13">
        <v>0.8993055555555556</v>
      </c>
      <c r="AJ156" s="11"/>
      <c r="AK156" s="18"/>
      <c r="AL156" s="38"/>
      <c r="AM156" s="11"/>
      <c r="AN156" s="18"/>
      <c r="AO156" s="38"/>
      <c r="AP156" s="11"/>
      <c r="AQ156" s="18"/>
      <c r="AR156" s="38"/>
      <c r="AS156" s="11"/>
      <c r="AT156" s="18"/>
      <c r="AU156" s="38"/>
      <c r="AV156" s="11"/>
      <c r="AW156" s="18"/>
      <c r="AX156" s="38"/>
      <c r="AY156" s="11"/>
      <c r="AZ156" s="18"/>
    </row>
    <row r="157" ht="15.75" customHeight="1">
      <c r="A157" s="7"/>
      <c r="B157" s="47">
        <v>686.0</v>
      </c>
      <c r="C157" s="11">
        <v>43.0</v>
      </c>
      <c r="D157" s="12">
        <v>0.2604166666666667</v>
      </c>
      <c r="E157" s="13">
        <v>0.26180555555555557</v>
      </c>
      <c r="F157" s="64">
        <v>34.0</v>
      </c>
      <c r="G157" s="65">
        <v>0.3111111111111111</v>
      </c>
      <c r="H157" s="66">
        <v>0.3111111111111111</v>
      </c>
      <c r="I157" s="11">
        <v>55.0</v>
      </c>
      <c r="J157" s="12">
        <v>0.3770833333333333</v>
      </c>
      <c r="K157" s="13">
        <v>0.3798611111111111</v>
      </c>
      <c r="L157" s="11"/>
      <c r="M157" s="12"/>
      <c r="N157" s="13"/>
      <c r="O157" s="38"/>
      <c r="P157" s="12"/>
      <c r="Q157" s="13"/>
      <c r="R157" s="11"/>
      <c r="S157" s="18"/>
      <c r="T157" s="38"/>
      <c r="U157" s="11"/>
      <c r="V157" s="12"/>
      <c r="W157" s="13"/>
      <c r="X157" s="11"/>
      <c r="Y157" s="12"/>
      <c r="Z157" s="13"/>
      <c r="AA157" s="11">
        <v>40.0</v>
      </c>
      <c r="AB157" s="12">
        <v>0.7819444444444444</v>
      </c>
      <c r="AC157" s="13">
        <v>0.7868055555555555</v>
      </c>
      <c r="AD157" s="11"/>
      <c r="AE157" s="12"/>
      <c r="AF157" s="13"/>
      <c r="AG157" s="11">
        <v>34.0</v>
      </c>
      <c r="AH157" s="12">
        <v>0.9416666666666667</v>
      </c>
      <c r="AI157" s="13">
        <v>0.9451388888888889</v>
      </c>
      <c r="AJ157" s="11"/>
      <c r="AK157" s="12"/>
      <c r="AL157" s="13"/>
      <c r="AM157" s="11"/>
      <c r="AN157" s="12"/>
      <c r="AO157" s="13"/>
      <c r="AP157" s="11"/>
      <c r="AQ157" s="12"/>
      <c r="AR157" s="13"/>
      <c r="AS157" s="11"/>
      <c r="AT157" s="12"/>
      <c r="AU157" s="13"/>
      <c r="AV157" s="11"/>
      <c r="AW157" s="12"/>
      <c r="AX157" s="13"/>
      <c r="AY157" s="11"/>
      <c r="AZ157" s="18"/>
    </row>
    <row r="158" ht="15.75" customHeight="1">
      <c r="A158" s="7"/>
      <c r="B158" s="47">
        <v>687.0</v>
      </c>
      <c r="C158" s="11">
        <v>65.0</v>
      </c>
      <c r="D158" s="12">
        <v>0.26319444444444445</v>
      </c>
      <c r="E158" s="13">
        <v>0.2638888888888889</v>
      </c>
      <c r="F158" s="64">
        <v>50.0</v>
      </c>
      <c r="G158" s="65">
        <v>0.3138888888888889</v>
      </c>
      <c r="H158" s="66">
        <v>0.3138888888888889</v>
      </c>
      <c r="I158" s="11">
        <v>43.0</v>
      </c>
      <c r="J158" s="12">
        <v>0.3729166666666667</v>
      </c>
      <c r="K158" s="13">
        <v>0.3784722222222222</v>
      </c>
      <c r="L158" s="11"/>
      <c r="M158" s="12"/>
      <c r="N158" s="13"/>
      <c r="O158" s="38"/>
      <c r="P158" s="12"/>
      <c r="Q158" s="13"/>
      <c r="R158" s="11"/>
      <c r="S158" s="18"/>
      <c r="T158" s="38"/>
      <c r="U158" s="11"/>
      <c r="V158" s="18"/>
      <c r="W158" s="38"/>
      <c r="X158" s="11"/>
      <c r="Y158" s="12"/>
      <c r="Z158" s="13"/>
      <c r="AA158" s="11">
        <v>104.0</v>
      </c>
      <c r="AB158" s="12">
        <v>0.8881944444444444</v>
      </c>
      <c r="AC158" s="13">
        <v>0.8930555555555556</v>
      </c>
      <c r="AD158" s="11"/>
      <c r="AE158" s="12"/>
      <c r="AF158" s="38"/>
      <c r="AG158" s="11">
        <v>40.0</v>
      </c>
      <c r="AH158" s="12">
        <v>0.9701388888888889</v>
      </c>
      <c r="AI158" s="13">
        <v>0.9763888888888889</v>
      </c>
      <c r="AJ158" s="11"/>
      <c r="AK158" s="12"/>
      <c r="AL158" s="38"/>
      <c r="AM158" s="11"/>
      <c r="AN158" s="12"/>
      <c r="AO158" s="38"/>
      <c r="AP158" s="11"/>
      <c r="AQ158" s="12"/>
      <c r="AR158" s="38"/>
      <c r="AS158" s="11"/>
      <c r="AT158" s="12"/>
      <c r="AU158" s="38"/>
      <c r="AV158" s="11"/>
      <c r="AW158" s="12"/>
      <c r="AX158" s="38"/>
      <c r="AY158" s="11"/>
      <c r="AZ158" s="12"/>
    </row>
    <row r="159" ht="15.75" customHeight="1">
      <c r="A159" s="7"/>
      <c r="B159" s="47">
        <v>688.0</v>
      </c>
      <c r="C159" s="11">
        <v>152.0</v>
      </c>
      <c r="D159" s="12">
        <v>0.2743055555555556</v>
      </c>
      <c r="E159" s="13">
        <v>0.275</v>
      </c>
      <c r="F159" s="64">
        <v>57.0</v>
      </c>
      <c r="G159" s="65">
        <v>0.3145833333333333</v>
      </c>
      <c r="H159" s="66">
        <v>0.3145833333333333</v>
      </c>
      <c r="I159" s="11">
        <v>148.0</v>
      </c>
      <c r="J159" s="12">
        <v>0.4125</v>
      </c>
      <c r="K159" s="13">
        <v>0.42083333333333334</v>
      </c>
      <c r="L159" s="11"/>
      <c r="M159" s="12"/>
      <c r="N159" s="13"/>
      <c r="O159" s="38"/>
      <c r="P159" s="12"/>
      <c r="Q159" s="13"/>
      <c r="R159" s="11"/>
      <c r="S159" s="18"/>
      <c r="T159" s="38"/>
      <c r="U159" s="11"/>
      <c r="V159" s="18"/>
      <c r="W159" s="38"/>
      <c r="X159" s="11"/>
      <c r="Y159" s="12"/>
      <c r="Z159" s="13"/>
      <c r="AA159" s="11">
        <v>10.0</v>
      </c>
      <c r="AB159" s="12">
        <v>0.7173611111111111</v>
      </c>
      <c r="AC159" s="13">
        <v>0.7194444444444444</v>
      </c>
      <c r="AD159" s="11"/>
      <c r="AE159" s="18"/>
      <c r="AF159" s="38"/>
      <c r="AG159" s="11">
        <v>93.0</v>
      </c>
      <c r="AH159" s="12">
        <v>0.08402777777777778</v>
      </c>
      <c r="AI159" s="13">
        <v>0.08819444444444445</v>
      </c>
      <c r="AJ159" s="11"/>
      <c r="AK159" s="12"/>
      <c r="AL159" s="13"/>
      <c r="AM159" s="11"/>
      <c r="AN159" s="12"/>
      <c r="AO159" s="13"/>
      <c r="AP159" s="11"/>
      <c r="AQ159" s="12"/>
      <c r="AR159" s="13"/>
      <c r="AS159" s="11"/>
      <c r="AT159" s="12"/>
      <c r="AU159" s="13"/>
      <c r="AV159" s="11"/>
      <c r="AW159" s="12"/>
      <c r="AX159" s="13"/>
      <c r="AY159" s="11"/>
      <c r="AZ159" s="12"/>
    </row>
    <row r="160" ht="15.75" customHeight="1">
      <c r="A160" s="7"/>
      <c r="B160" s="47">
        <v>689.0</v>
      </c>
      <c r="C160" s="11">
        <v>12.0</v>
      </c>
      <c r="D160" s="12">
        <v>0.25416666666666665</v>
      </c>
      <c r="E160" s="13">
        <v>0.25416666666666665</v>
      </c>
      <c r="F160" s="64">
        <v>141.0</v>
      </c>
      <c r="G160" s="65">
        <v>0.33611111111111114</v>
      </c>
      <c r="H160" s="66">
        <v>0.33611111111111114</v>
      </c>
      <c r="I160" s="11">
        <v>13.0</v>
      </c>
      <c r="J160" s="12">
        <v>0.35555555555555557</v>
      </c>
      <c r="K160" s="13">
        <v>0.3590277777777778</v>
      </c>
      <c r="L160" s="11"/>
      <c r="M160" s="12"/>
      <c r="N160" s="13"/>
      <c r="O160" s="18"/>
      <c r="P160" s="12"/>
      <c r="Q160" s="12"/>
      <c r="R160" s="11"/>
      <c r="S160" s="18"/>
      <c r="T160" s="38"/>
      <c r="U160" s="11"/>
      <c r="V160" s="18"/>
      <c r="W160" s="38"/>
      <c r="X160" s="11"/>
      <c r="Y160" s="12"/>
      <c r="Z160" s="13"/>
      <c r="AA160" s="73"/>
      <c r="AB160" s="12"/>
      <c r="AC160" s="72"/>
      <c r="AD160" s="11"/>
      <c r="AE160" s="18"/>
      <c r="AF160" s="38"/>
      <c r="AG160" s="11">
        <v>9.0</v>
      </c>
      <c r="AH160" s="12">
        <v>0.8541666666666666</v>
      </c>
      <c r="AI160" s="13">
        <v>0.8576388888888888</v>
      </c>
      <c r="AJ160" s="11"/>
      <c r="AK160" s="18"/>
      <c r="AL160" s="38"/>
      <c r="AM160" s="11"/>
      <c r="AN160" s="18"/>
      <c r="AO160" s="38"/>
      <c r="AP160" s="11"/>
      <c r="AQ160" s="18"/>
      <c r="AR160" s="38"/>
      <c r="AS160" s="11"/>
      <c r="AT160" s="18"/>
      <c r="AU160" s="38"/>
      <c r="AV160" s="11"/>
      <c r="AW160" s="18"/>
      <c r="AX160" s="38"/>
      <c r="AY160" s="11"/>
      <c r="AZ160" s="18"/>
    </row>
    <row r="161" ht="15.75" customHeight="1">
      <c r="A161" s="7"/>
      <c r="B161" s="47">
        <v>689.0</v>
      </c>
      <c r="C161" s="11">
        <v>14.0</v>
      </c>
      <c r="D161" s="12">
        <v>0.2548611111111111</v>
      </c>
      <c r="E161" s="13">
        <v>0.25555555555555554</v>
      </c>
      <c r="F161" s="64">
        <v>14.0</v>
      </c>
      <c r="G161" s="65">
        <v>0.3013888888888889</v>
      </c>
      <c r="H161" s="66">
        <v>0.3013888888888889</v>
      </c>
      <c r="I161" s="11"/>
      <c r="J161" s="18"/>
      <c r="K161" s="38"/>
      <c r="L161" s="11"/>
      <c r="M161" s="12"/>
      <c r="N161" s="13"/>
      <c r="O161" s="72"/>
      <c r="Q161" s="72"/>
      <c r="R161" s="11"/>
      <c r="S161" s="18"/>
      <c r="T161" s="38"/>
      <c r="U161" s="11"/>
      <c r="V161" s="18"/>
      <c r="W161" s="38"/>
      <c r="X161" s="11"/>
      <c r="Y161" s="12"/>
      <c r="Z161" s="13"/>
      <c r="AA161" s="11">
        <v>162.0</v>
      </c>
      <c r="AB161" s="12">
        <v>0.9729166666666667</v>
      </c>
      <c r="AC161" s="38" t="s">
        <v>178</v>
      </c>
      <c r="AD161" s="11"/>
      <c r="AE161" s="12"/>
      <c r="AF161" s="13"/>
      <c r="AG161" s="11"/>
      <c r="AH161" s="12"/>
      <c r="AI161" s="13"/>
      <c r="AJ161" s="11"/>
      <c r="AK161" s="12"/>
      <c r="AL161" s="13"/>
      <c r="AM161" s="11"/>
      <c r="AN161" s="12"/>
      <c r="AO161" s="13"/>
      <c r="AP161" s="11"/>
      <c r="AQ161" s="12"/>
      <c r="AR161" s="13"/>
      <c r="AS161" s="11"/>
      <c r="AT161" s="12"/>
      <c r="AU161" s="13"/>
      <c r="AV161" s="11"/>
      <c r="AW161" s="12"/>
      <c r="AX161" s="13"/>
      <c r="AY161" s="11"/>
      <c r="AZ161" s="18"/>
    </row>
    <row r="162" ht="15.75" customHeight="1">
      <c r="A162" s="7"/>
      <c r="B162" s="47">
        <v>690.0</v>
      </c>
      <c r="C162" s="11">
        <v>97.0</v>
      </c>
      <c r="D162" s="12">
        <v>0.26805555555555555</v>
      </c>
      <c r="E162" s="13">
        <v>0.26875</v>
      </c>
      <c r="F162" s="64">
        <v>96.0</v>
      </c>
      <c r="G162" s="65">
        <v>0.32430555555555557</v>
      </c>
      <c r="H162" s="66">
        <v>0.32430555555555557</v>
      </c>
      <c r="I162" s="11">
        <v>89.0</v>
      </c>
      <c r="J162" s="12">
        <v>0.3902777777777778</v>
      </c>
      <c r="K162" s="13">
        <v>0.39305555555555555</v>
      </c>
      <c r="L162" s="11"/>
      <c r="M162" s="12"/>
      <c r="N162" s="13"/>
      <c r="O162" s="38"/>
      <c r="P162" s="12"/>
      <c r="Q162" s="13"/>
      <c r="R162" s="11"/>
      <c r="S162" s="18"/>
      <c r="T162" s="38"/>
      <c r="U162" s="11"/>
      <c r="V162" s="18"/>
      <c r="W162" s="38"/>
      <c r="X162" s="11"/>
      <c r="Y162" s="18"/>
      <c r="Z162" s="38"/>
      <c r="AA162" s="11">
        <v>166.0</v>
      </c>
      <c r="AB162" s="12">
        <v>0.5</v>
      </c>
      <c r="AC162" s="13">
        <v>1.0097222222222222</v>
      </c>
      <c r="AD162" s="11"/>
      <c r="AE162" s="18"/>
      <c r="AF162" s="38"/>
      <c r="AG162" s="11"/>
      <c r="AH162" s="18"/>
      <c r="AI162" s="38"/>
      <c r="AJ162" s="11"/>
      <c r="AK162" s="18"/>
      <c r="AL162" s="38"/>
      <c r="AM162" s="11"/>
      <c r="AN162" s="18"/>
      <c r="AO162" s="38"/>
      <c r="AP162" s="11"/>
      <c r="AQ162" s="18"/>
      <c r="AR162" s="38"/>
      <c r="AS162" s="11"/>
      <c r="AT162" s="18"/>
      <c r="AU162" s="38"/>
      <c r="AV162" s="11"/>
      <c r="AW162" s="18"/>
      <c r="AX162" s="38"/>
      <c r="AY162" s="11"/>
      <c r="AZ162" s="18"/>
    </row>
    <row r="163" ht="15.75" customHeight="1">
      <c r="A163" s="7"/>
      <c r="B163" s="47">
        <v>691.0</v>
      </c>
      <c r="C163" s="11">
        <v>128.0</v>
      </c>
      <c r="D163" s="12">
        <v>0.2708333333333333</v>
      </c>
      <c r="E163" s="13">
        <v>0.27152777777777776</v>
      </c>
      <c r="F163" s="64">
        <v>150.0</v>
      </c>
      <c r="G163" s="65">
        <v>0.3368055555555556</v>
      </c>
      <c r="H163" s="66">
        <v>0.3368055555555556</v>
      </c>
      <c r="I163" s="11">
        <v>167.0</v>
      </c>
      <c r="J163" s="12">
        <v>0.42083333333333334</v>
      </c>
      <c r="K163" s="13">
        <v>0.4340277777777778</v>
      </c>
      <c r="L163" s="11"/>
      <c r="M163" s="12"/>
      <c r="N163" s="13"/>
      <c r="O163" s="38"/>
      <c r="P163" s="12"/>
      <c r="Q163" s="13"/>
      <c r="R163" s="11"/>
      <c r="S163" s="18"/>
      <c r="T163" s="38"/>
      <c r="U163" s="11"/>
      <c r="V163" s="18"/>
      <c r="W163" s="38"/>
      <c r="X163" s="11"/>
      <c r="Y163" s="12"/>
      <c r="Z163" s="13"/>
      <c r="AA163" s="11">
        <v>57.0</v>
      </c>
      <c r="AB163" s="12">
        <v>0.8125</v>
      </c>
      <c r="AC163" s="13">
        <v>0.8152777777777778</v>
      </c>
      <c r="AD163" s="11"/>
      <c r="AE163" s="18"/>
      <c r="AF163" s="38"/>
      <c r="AG163" s="11"/>
      <c r="AH163" s="18"/>
      <c r="AI163" s="38"/>
      <c r="AJ163" s="11"/>
      <c r="AK163" s="18"/>
      <c r="AL163" s="38"/>
      <c r="AM163" s="11"/>
      <c r="AN163" s="18"/>
      <c r="AO163" s="38"/>
      <c r="AP163" s="11"/>
      <c r="AQ163" s="18"/>
      <c r="AR163" s="38"/>
      <c r="AS163" s="11"/>
      <c r="AT163" s="18"/>
      <c r="AU163" s="38"/>
      <c r="AV163" s="11"/>
      <c r="AW163" s="18"/>
      <c r="AX163" s="38"/>
      <c r="AY163" s="11"/>
      <c r="AZ163" s="12"/>
    </row>
    <row r="164" ht="15.75" customHeight="1">
      <c r="A164" s="7"/>
      <c r="B164" s="47">
        <v>692.0</v>
      </c>
      <c r="C164" s="11">
        <v>45.0</v>
      </c>
      <c r="D164" s="12">
        <v>0.2611111111111111</v>
      </c>
      <c r="E164" s="13">
        <v>0.26180555555555557</v>
      </c>
      <c r="F164" s="64">
        <v>49.0</v>
      </c>
      <c r="G164" s="65">
        <v>0.3138888888888889</v>
      </c>
      <c r="H164" s="66">
        <v>0.3138888888888889</v>
      </c>
      <c r="I164" s="11">
        <v>53.0</v>
      </c>
      <c r="J164" s="12">
        <v>0.3763888888888889</v>
      </c>
      <c r="K164" s="13">
        <v>0.38055555555555554</v>
      </c>
      <c r="L164" s="11"/>
      <c r="M164" s="12"/>
      <c r="N164" s="13"/>
      <c r="O164" s="38"/>
      <c r="P164" s="12"/>
      <c r="Q164" s="13"/>
      <c r="R164" s="11"/>
      <c r="S164" s="18"/>
      <c r="T164" s="38"/>
      <c r="U164" s="11"/>
      <c r="V164" s="18"/>
      <c r="W164" s="38"/>
      <c r="X164" s="11"/>
      <c r="Y164" s="12"/>
      <c r="Z164" s="13"/>
      <c r="AA164" s="11">
        <v>101.0</v>
      </c>
      <c r="AB164" s="12">
        <v>0.8861111111111111</v>
      </c>
      <c r="AC164" s="13">
        <v>0.8888888888888888</v>
      </c>
      <c r="AD164" s="11"/>
      <c r="AE164" s="12"/>
      <c r="AF164" s="38"/>
      <c r="AG164" s="11">
        <v>42.0</v>
      </c>
      <c r="AH164" s="30">
        <v>0.9715277777777778</v>
      </c>
      <c r="AI164" s="13">
        <v>0.9777777777777777</v>
      </c>
      <c r="AJ164" s="11"/>
      <c r="AK164" s="12"/>
      <c r="AL164" s="38"/>
      <c r="AM164" s="11"/>
      <c r="AN164" s="12"/>
      <c r="AO164" s="38"/>
      <c r="AP164" s="11"/>
      <c r="AQ164" s="12"/>
      <c r="AR164" s="38"/>
      <c r="AS164" s="11"/>
      <c r="AT164" s="12"/>
      <c r="AU164" s="38"/>
      <c r="AV164" s="11"/>
      <c r="AW164" s="12"/>
      <c r="AX164" s="38"/>
      <c r="AY164" s="11"/>
      <c r="AZ164" s="12"/>
    </row>
    <row r="165" ht="15.75" customHeight="1">
      <c r="A165" s="7"/>
      <c r="B165" s="47">
        <v>693.0</v>
      </c>
      <c r="C165" s="11">
        <v>129.0</v>
      </c>
      <c r="D165" s="12">
        <v>0.2708333333333333</v>
      </c>
      <c r="E165" s="13">
        <v>0.27152777777777776</v>
      </c>
      <c r="F165" s="64">
        <v>123.0</v>
      </c>
      <c r="G165" s="65">
        <v>0.33055555555555555</v>
      </c>
      <c r="H165" s="66">
        <v>0.33055555555555555</v>
      </c>
      <c r="I165" s="11">
        <v>111.0</v>
      </c>
      <c r="J165" s="12">
        <v>0.40208333333333335</v>
      </c>
      <c r="K165" s="38"/>
      <c r="L165" s="11"/>
      <c r="M165" s="12"/>
      <c r="N165" s="13"/>
      <c r="O165" s="38"/>
      <c r="P165" s="12"/>
      <c r="Q165" s="13"/>
      <c r="R165" s="11"/>
      <c r="S165" s="18"/>
      <c r="T165" s="38"/>
      <c r="U165" s="11"/>
      <c r="V165" s="18"/>
      <c r="W165" s="38"/>
      <c r="X165" s="11"/>
      <c r="Y165" s="12"/>
      <c r="Z165" s="13"/>
      <c r="AA165" s="11">
        <v>140.0</v>
      </c>
      <c r="AB165" s="12">
        <v>0.9423611111111111</v>
      </c>
      <c r="AC165" s="13">
        <v>0.9479166666666666</v>
      </c>
      <c r="AD165" s="11"/>
      <c r="AE165" s="18"/>
      <c r="AF165" s="38"/>
      <c r="AG165" s="11">
        <v>99.0</v>
      </c>
      <c r="AH165" s="12">
        <v>0.09027777777777778</v>
      </c>
      <c r="AI165" s="13">
        <v>0.09236111111111112</v>
      </c>
      <c r="AJ165" s="11"/>
      <c r="AK165" s="12"/>
      <c r="AL165" s="13"/>
      <c r="AM165" s="11"/>
      <c r="AN165" s="12"/>
      <c r="AO165" s="13"/>
      <c r="AP165" s="11"/>
      <c r="AQ165" s="18"/>
      <c r="AR165" s="38"/>
      <c r="AS165" s="11"/>
      <c r="AT165" s="18"/>
      <c r="AU165" s="38"/>
      <c r="AV165" s="11"/>
      <c r="AW165" s="18"/>
      <c r="AX165" s="38"/>
      <c r="AY165" s="11"/>
      <c r="AZ165" s="12"/>
    </row>
    <row r="166" ht="15.75" customHeight="1">
      <c r="A166" s="7"/>
      <c r="B166" s="47">
        <v>694.0</v>
      </c>
      <c r="C166" s="11">
        <v>173.0</v>
      </c>
      <c r="D166" s="12">
        <v>0.2743055555555556</v>
      </c>
      <c r="E166" s="13">
        <v>0.275</v>
      </c>
      <c r="F166" s="64">
        <v>172.0</v>
      </c>
      <c r="G166" s="65">
        <v>0.3388888888888889</v>
      </c>
      <c r="H166" s="66">
        <v>0.3388888888888889</v>
      </c>
      <c r="I166" s="11">
        <v>145.0</v>
      </c>
      <c r="J166" s="12">
        <v>0.41180555555555554</v>
      </c>
      <c r="K166" s="13">
        <v>0.4173611111111111</v>
      </c>
      <c r="L166" s="11"/>
      <c r="M166" s="12"/>
      <c r="N166" s="13"/>
      <c r="O166" s="38"/>
      <c r="P166" s="12"/>
      <c r="Q166" s="13"/>
      <c r="R166" s="11"/>
      <c r="S166" s="18"/>
      <c r="T166" s="38"/>
      <c r="U166" s="11"/>
      <c r="V166" s="18"/>
      <c r="W166" s="38"/>
      <c r="X166" s="11"/>
      <c r="Y166" s="12"/>
      <c r="Z166" s="13"/>
      <c r="AA166" s="11">
        <v>92.0</v>
      </c>
      <c r="AB166" s="12">
        <v>0.8652777777777778</v>
      </c>
      <c r="AC166" s="13">
        <v>0.8652777777777778</v>
      </c>
      <c r="AD166" s="11"/>
      <c r="AE166" s="12"/>
      <c r="AF166" s="38"/>
      <c r="AG166" s="11">
        <v>137.0</v>
      </c>
      <c r="AH166" s="12">
        <v>0.1840277777777778</v>
      </c>
      <c r="AI166" s="38" t="s">
        <v>178</v>
      </c>
      <c r="AJ166" s="11"/>
      <c r="AK166" s="12"/>
      <c r="AL166" s="38"/>
      <c r="AM166" s="11"/>
      <c r="AN166" s="12"/>
      <c r="AO166" s="38"/>
      <c r="AP166" s="11"/>
      <c r="AQ166" s="12"/>
      <c r="AR166" s="38"/>
      <c r="AS166" s="11"/>
      <c r="AT166" s="12"/>
      <c r="AU166" s="38"/>
      <c r="AV166" s="11"/>
      <c r="AW166" s="12"/>
      <c r="AX166" s="38"/>
      <c r="AY166" s="11"/>
      <c r="AZ166" s="12"/>
    </row>
    <row r="167" ht="15.75" customHeight="1">
      <c r="A167" s="7"/>
      <c r="B167" s="47">
        <v>695.0</v>
      </c>
      <c r="C167" s="11">
        <v>68.0</v>
      </c>
      <c r="D167" s="12">
        <v>0.2638888888888889</v>
      </c>
      <c r="E167" s="13">
        <v>0.26458333333333334</v>
      </c>
      <c r="F167" s="64">
        <v>65.0</v>
      </c>
      <c r="G167" s="65">
        <v>0.31875</v>
      </c>
      <c r="H167" s="66">
        <v>0.31875</v>
      </c>
      <c r="I167" s="11">
        <v>64.0</v>
      </c>
      <c r="J167" s="12">
        <v>0.3840277777777778</v>
      </c>
      <c r="K167" s="13">
        <v>0.3875</v>
      </c>
      <c r="L167" s="11"/>
      <c r="M167" s="12"/>
      <c r="N167" s="13"/>
      <c r="O167" s="38"/>
      <c r="P167" s="12"/>
      <c r="Q167" s="13"/>
      <c r="R167" s="11"/>
      <c r="S167" s="18"/>
      <c r="T167" s="38"/>
      <c r="U167" s="11"/>
      <c r="V167" s="18"/>
      <c r="W167" s="38"/>
      <c r="X167" s="11"/>
      <c r="Y167" s="12"/>
      <c r="Z167" s="13"/>
      <c r="AA167" s="11">
        <v>91.0</v>
      </c>
      <c r="AB167" s="12">
        <v>0.8597222222222223</v>
      </c>
      <c r="AC167" s="13">
        <v>0.8645833333333334</v>
      </c>
      <c r="AD167" s="11"/>
      <c r="AE167" s="12"/>
      <c r="AF167" s="38"/>
      <c r="AG167" s="11">
        <v>84.0</v>
      </c>
      <c r="AH167" s="12">
        <v>0.06388888888888888</v>
      </c>
      <c r="AI167" s="13">
        <v>0.06875</v>
      </c>
      <c r="AJ167" s="11"/>
      <c r="AK167" s="12"/>
      <c r="AL167" s="38"/>
      <c r="AM167" s="11"/>
      <c r="AN167" s="12"/>
      <c r="AO167" s="38"/>
      <c r="AP167" s="11"/>
      <c r="AQ167" s="12"/>
      <c r="AR167" s="38"/>
      <c r="AS167" s="11"/>
      <c r="AT167" s="12"/>
      <c r="AU167" s="38"/>
      <c r="AV167" s="11"/>
      <c r="AW167" s="12"/>
      <c r="AX167" s="38"/>
      <c r="AY167" s="11"/>
      <c r="AZ167" s="18"/>
    </row>
    <row r="168" ht="15.75" customHeight="1">
      <c r="A168" s="7"/>
      <c r="B168" s="47">
        <v>696.0</v>
      </c>
      <c r="C168" s="11">
        <v>113.0</v>
      </c>
      <c r="D168" s="12">
        <v>0.26944444444444443</v>
      </c>
      <c r="E168" s="13">
        <v>0.2701388888888889</v>
      </c>
      <c r="F168" s="64">
        <v>110.0</v>
      </c>
      <c r="G168" s="65">
        <v>0.32569444444444445</v>
      </c>
      <c r="H168" s="66">
        <v>0.32569444444444445</v>
      </c>
      <c r="I168" s="11">
        <v>91.0</v>
      </c>
      <c r="J168" s="12">
        <v>0.39305555555555555</v>
      </c>
      <c r="K168" s="13">
        <v>0.39861111111111114</v>
      </c>
      <c r="L168" s="11"/>
      <c r="M168" s="12"/>
      <c r="N168" s="13"/>
      <c r="O168" s="38"/>
      <c r="P168" s="12"/>
      <c r="Q168" s="13"/>
      <c r="R168" s="11"/>
      <c r="S168" s="18"/>
      <c r="T168" s="38"/>
      <c r="U168" s="11"/>
      <c r="V168" s="18"/>
      <c r="W168" s="38"/>
      <c r="X168" s="11"/>
      <c r="Y168" s="12"/>
      <c r="Z168" s="13"/>
      <c r="AA168" s="11">
        <v>16.0</v>
      </c>
      <c r="AB168" s="12">
        <v>0.7430555555555556</v>
      </c>
      <c r="AC168" s="13">
        <v>0.7458333333333333</v>
      </c>
      <c r="AD168" s="11"/>
      <c r="AE168" s="18"/>
      <c r="AF168" s="38"/>
      <c r="AG168" s="11">
        <v>90.0</v>
      </c>
      <c r="AH168" s="12">
        <v>0.07222222222222222</v>
      </c>
      <c r="AI168" s="13">
        <v>0.07916666666666666</v>
      </c>
      <c r="AJ168" s="11"/>
      <c r="AK168" s="12"/>
      <c r="AL168" s="13"/>
      <c r="AM168" s="11"/>
      <c r="AN168" s="12"/>
      <c r="AO168" s="13"/>
      <c r="AP168" s="11"/>
      <c r="AQ168" s="12"/>
      <c r="AR168" s="38"/>
      <c r="AS168" s="11"/>
      <c r="AT168" s="12"/>
      <c r="AU168" s="38"/>
      <c r="AV168" s="11"/>
      <c r="AW168" s="12"/>
      <c r="AX168" s="38"/>
      <c r="AY168" s="11"/>
      <c r="AZ168" s="12"/>
    </row>
    <row r="169" ht="15.75" customHeight="1">
      <c r="A169" s="7"/>
      <c r="B169" s="47">
        <v>697.0</v>
      </c>
      <c r="C169" s="11">
        <v>34.0</v>
      </c>
      <c r="D169" s="12">
        <v>0.25972222222222224</v>
      </c>
      <c r="E169" s="13">
        <v>0.2604166666666667</v>
      </c>
      <c r="F169" s="64">
        <v>29.0</v>
      </c>
      <c r="G169" s="65">
        <v>0.30694444444444446</v>
      </c>
      <c r="H169" s="66">
        <v>0.30694444444444446</v>
      </c>
      <c r="I169" s="11">
        <v>21.0</v>
      </c>
      <c r="J169" s="12">
        <v>0.36319444444444443</v>
      </c>
      <c r="K169" s="13">
        <v>0.3638888888888889</v>
      </c>
      <c r="L169" s="11"/>
      <c r="M169" s="12"/>
      <c r="N169" s="13"/>
      <c r="O169" s="38"/>
      <c r="P169" s="12"/>
      <c r="Q169" s="13"/>
      <c r="R169" s="11"/>
      <c r="S169" s="18"/>
      <c r="T169" s="38"/>
      <c r="U169" s="11"/>
      <c r="V169" s="18"/>
      <c r="W169" s="38"/>
      <c r="X169" s="11"/>
      <c r="Y169" s="18"/>
      <c r="Z169" s="38"/>
      <c r="AA169" s="11">
        <v>109.0</v>
      </c>
      <c r="AB169" s="12">
        <v>0.8986111111111111</v>
      </c>
      <c r="AC169" s="13">
        <v>0.8944444444444445</v>
      </c>
      <c r="AD169" s="11"/>
      <c r="AE169" s="18"/>
      <c r="AF169" s="38"/>
      <c r="AG169" s="11">
        <v>23.0</v>
      </c>
      <c r="AH169" s="12">
        <v>0.9055555555555556</v>
      </c>
      <c r="AI169" s="13">
        <v>0.9090277777777778</v>
      </c>
      <c r="AJ169" s="11"/>
      <c r="AK169" s="18"/>
      <c r="AL169" s="38"/>
      <c r="AM169" s="11"/>
      <c r="AN169" s="18"/>
      <c r="AO169" s="38"/>
      <c r="AP169" s="11"/>
      <c r="AQ169" s="18"/>
      <c r="AR169" s="38"/>
      <c r="AS169" s="11"/>
      <c r="AT169" s="18"/>
      <c r="AU169" s="38"/>
      <c r="AV169" s="11"/>
      <c r="AW169" s="18"/>
      <c r="AX169" s="38"/>
      <c r="AY169" s="11"/>
      <c r="AZ169" s="12"/>
    </row>
    <row r="170" ht="15.75" customHeight="1">
      <c r="A170" s="7"/>
      <c r="B170" s="47">
        <v>699.0</v>
      </c>
      <c r="C170" s="11">
        <v>125.0</v>
      </c>
      <c r="D170" s="12">
        <v>0.2708333333333333</v>
      </c>
      <c r="E170" s="13">
        <v>0.27152777777777776</v>
      </c>
      <c r="F170" s="64">
        <v>134.0</v>
      </c>
      <c r="G170" s="65">
        <v>0.33402777777777776</v>
      </c>
      <c r="H170" s="66">
        <v>0.33402777777777776</v>
      </c>
      <c r="I170" s="11">
        <v>126.0</v>
      </c>
      <c r="J170" s="12">
        <v>0.4048611111111111</v>
      </c>
      <c r="K170" s="13">
        <v>0.41458333333333336</v>
      </c>
      <c r="L170" s="11"/>
      <c r="M170" s="12"/>
      <c r="N170" s="13"/>
      <c r="O170" s="38"/>
      <c r="P170" s="12"/>
      <c r="Q170" s="13"/>
      <c r="R170" s="11"/>
      <c r="S170" s="18"/>
      <c r="T170" s="38"/>
      <c r="U170" s="11"/>
      <c r="V170" s="18"/>
      <c r="W170" s="38"/>
      <c r="X170" s="11"/>
      <c r="Y170" s="12"/>
      <c r="Z170" s="13"/>
      <c r="AA170" s="11">
        <v>157.0</v>
      </c>
      <c r="AB170" s="12">
        <v>0.9618055555555556</v>
      </c>
      <c r="AC170" s="13">
        <v>0.9666666666666667</v>
      </c>
      <c r="AD170" s="11"/>
      <c r="AE170" s="18"/>
      <c r="AF170" s="38"/>
      <c r="AG170" s="11">
        <v>106.0</v>
      </c>
      <c r="AH170" s="12">
        <v>0.10069444444444445</v>
      </c>
      <c r="AI170" s="13">
        <v>0.10208333333333333</v>
      </c>
      <c r="AJ170" s="11"/>
      <c r="AK170" s="12"/>
      <c r="AL170" s="13"/>
      <c r="AM170" s="11"/>
      <c r="AN170" s="12"/>
      <c r="AO170" s="38"/>
      <c r="AP170" s="11"/>
      <c r="AQ170" s="12"/>
      <c r="AR170" s="38"/>
      <c r="AS170" s="11"/>
      <c r="AT170" s="12"/>
      <c r="AU170" s="38"/>
      <c r="AV170" s="11"/>
      <c r="AW170" s="12"/>
      <c r="AX170" s="38"/>
      <c r="AY170" s="11"/>
      <c r="AZ170" s="18"/>
    </row>
    <row r="171" ht="15.75" customHeight="1">
      <c r="A171" s="7"/>
      <c r="B171" s="47">
        <v>700.0</v>
      </c>
      <c r="C171" s="11">
        <v>108.0</v>
      </c>
      <c r="D171" s="12">
        <v>0.26944444444444443</v>
      </c>
      <c r="E171" s="13">
        <v>0.2701388888888889</v>
      </c>
      <c r="F171" s="64">
        <v>106.0</v>
      </c>
      <c r="G171" s="65">
        <v>0.32569444444444445</v>
      </c>
      <c r="H171" s="66">
        <v>0.32569444444444445</v>
      </c>
      <c r="I171" s="11">
        <v>117.0</v>
      </c>
      <c r="J171" s="12">
        <v>0.4013888888888889</v>
      </c>
      <c r="K171" s="13">
        <v>0.4152777777777778</v>
      </c>
      <c r="L171" s="11"/>
      <c r="M171" s="12"/>
      <c r="N171" s="13"/>
      <c r="O171" s="38"/>
      <c r="P171" s="12"/>
      <c r="Q171" s="13"/>
      <c r="R171" s="11"/>
      <c r="S171" s="18"/>
      <c r="T171" s="13"/>
      <c r="U171" s="11"/>
      <c r="V171" s="12"/>
      <c r="W171" s="13"/>
      <c r="X171" s="11"/>
      <c r="Y171" s="12"/>
      <c r="Z171" s="13"/>
      <c r="AA171" s="11"/>
      <c r="AB171" s="12"/>
      <c r="AC171" s="38"/>
      <c r="AD171" s="11"/>
      <c r="AE171" s="12"/>
      <c r="AF171" s="13"/>
      <c r="AG171" s="11"/>
      <c r="AH171" s="12"/>
      <c r="AI171" s="13"/>
      <c r="AJ171" s="11"/>
      <c r="AK171" s="12"/>
      <c r="AL171" s="13"/>
      <c r="AM171" s="11"/>
      <c r="AN171" s="12"/>
      <c r="AO171" s="13"/>
      <c r="AP171" s="11"/>
      <c r="AQ171" s="12"/>
      <c r="AR171" s="13"/>
      <c r="AS171" s="11"/>
      <c r="AT171" s="12"/>
      <c r="AU171" s="13"/>
      <c r="AV171" s="11"/>
      <c r="AW171" s="12"/>
      <c r="AX171" s="13"/>
      <c r="AY171" s="11"/>
      <c r="AZ171" s="18"/>
    </row>
    <row r="172" ht="15.75" customHeight="1">
      <c r="A172" s="7"/>
      <c r="B172" s="47">
        <v>701.0</v>
      </c>
      <c r="C172" s="11">
        <v>165.0</v>
      </c>
      <c r="D172" s="12">
        <v>0.2743055555555556</v>
      </c>
      <c r="E172" s="13">
        <v>0.275</v>
      </c>
      <c r="F172" s="64">
        <v>163.0</v>
      </c>
      <c r="G172" s="65">
        <v>0.3388888888888889</v>
      </c>
      <c r="H172" s="66">
        <v>0.3388888888888889</v>
      </c>
      <c r="I172" s="11">
        <v>165.0</v>
      </c>
      <c r="J172" s="12">
        <v>0.41944444444444445</v>
      </c>
      <c r="K172" s="13">
        <v>0.4222222222222222</v>
      </c>
      <c r="L172" s="11"/>
      <c r="M172" s="12"/>
      <c r="N172" s="13"/>
      <c r="O172" s="38"/>
      <c r="P172" s="12"/>
      <c r="Q172" s="13"/>
      <c r="R172" s="11"/>
      <c r="S172" s="18"/>
      <c r="T172" s="38"/>
      <c r="U172" s="11"/>
      <c r="V172" s="18"/>
      <c r="W172" s="38"/>
      <c r="X172" s="11"/>
      <c r="Y172" s="12"/>
      <c r="Z172" s="13"/>
      <c r="AA172" s="11">
        <v>143.0</v>
      </c>
      <c r="AB172" s="12">
        <v>0.9444444444444444</v>
      </c>
      <c r="AC172" s="13">
        <v>0.95</v>
      </c>
      <c r="AD172" s="11"/>
      <c r="AE172" s="18"/>
      <c r="AF172" s="38"/>
      <c r="AG172" s="11">
        <v>133.0</v>
      </c>
      <c r="AH172" s="12">
        <v>0.17083333333333334</v>
      </c>
      <c r="AI172" s="13">
        <v>0.17430555555555555</v>
      </c>
      <c r="AJ172" s="11"/>
      <c r="AK172" s="18"/>
      <c r="AL172" s="38"/>
      <c r="AM172" s="11"/>
      <c r="AN172" s="18"/>
      <c r="AO172" s="38"/>
      <c r="AP172" s="11"/>
      <c r="AQ172" s="18"/>
      <c r="AR172" s="38"/>
      <c r="AS172" s="11"/>
      <c r="AT172" s="18"/>
      <c r="AU172" s="38"/>
      <c r="AV172" s="11"/>
      <c r="AW172" s="18"/>
      <c r="AX172" s="38"/>
      <c r="AY172" s="11"/>
      <c r="AZ172" s="12"/>
    </row>
    <row r="173" ht="15.75" customHeight="1">
      <c r="A173" s="7"/>
      <c r="B173" s="47">
        <v>702.0</v>
      </c>
      <c r="C173" s="11">
        <v>27.0</v>
      </c>
      <c r="D173" s="12">
        <v>0.25972222222222224</v>
      </c>
      <c r="E173" s="13">
        <v>0.2604166666666667</v>
      </c>
      <c r="F173" s="64">
        <v>24.0</v>
      </c>
      <c r="G173" s="65">
        <v>0.30694444444444446</v>
      </c>
      <c r="H173" s="66">
        <v>0.30694444444444446</v>
      </c>
      <c r="I173" s="11">
        <v>23.0</v>
      </c>
      <c r="J173" s="12">
        <v>0.3638888888888889</v>
      </c>
      <c r="K173" s="13">
        <v>0.36736111111111114</v>
      </c>
      <c r="L173" s="11"/>
      <c r="M173" s="12"/>
      <c r="N173" s="13"/>
      <c r="O173" s="38"/>
      <c r="P173" s="12"/>
      <c r="Q173" s="13"/>
      <c r="R173" s="11"/>
      <c r="S173" s="18"/>
      <c r="T173" s="38"/>
      <c r="U173" s="11"/>
      <c r="V173" s="18"/>
      <c r="W173" s="38"/>
      <c r="X173" s="11"/>
      <c r="Y173" s="12"/>
      <c r="Z173" s="13"/>
      <c r="AA173" s="11">
        <v>15.0</v>
      </c>
      <c r="AB173" s="12">
        <v>0.7402777777777778</v>
      </c>
      <c r="AC173" s="13">
        <v>0.7430555555555556</v>
      </c>
      <c r="AD173" s="11"/>
      <c r="AE173" s="18"/>
      <c r="AF173" s="38"/>
      <c r="AG173" s="11">
        <v>11.0</v>
      </c>
      <c r="AH173" s="12">
        <v>0.875</v>
      </c>
      <c r="AI173" s="13">
        <v>0.875</v>
      </c>
      <c r="AJ173" s="11"/>
      <c r="AK173" s="12"/>
      <c r="AL173" s="13"/>
      <c r="AM173" s="11"/>
      <c r="AN173" s="12"/>
      <c r="AO173" s="13"/>
      <c r="AP173" s="11"/>
      <c r="AQ173" s="12"/>
      <c r="AR173" s="13"/>
      <c r="AS173" s="11"/>
      <c r="AT173" s="12"/>
      <c r="AU173" s="13"/>
      <c r="AV173" s="11"/>
      <c r="AW173" s="12"/>
      <c r="AX173" s="13"/>
      <c r="AY173" s="11"/>
      <c r="AZ173" s="12"/>
    </row>
    <row r="174" ht="15.75" customHeight="1">
      <c r="A174" s="7"/>
      <c r="B174" s="47">
        <v>703.0</v>
      </c>
      <c r="C174" s="11">
        <v>18.0</v>
      </c>
      <c r="D174" s="12">
        <v>0.25763888888888886</v>
      </c>
      <c r="E174" s="13">
        <v>0.25833333333333336</v>
      </c>
      <c r="F174" s="64">
        <v>27.0</v>
      </c>
      <c r="G174" s="65">
        <v>0.30694444444444446</v>
      </c>
      <c r="H174" s="66">
        <v>0.30694444444444446</v>
      </c>
      <c r="I174" s="11">
        <v>29.0</v>
      </c>
      <c r="J174" s="12">
        <v>0.36666666666666664</v>
      </c>
      <c r="K174" s="13">
        <v>0.3729166666666667</v>
      </c>
      <c r="L174" s="11"/>
      <c r="M174" s="12"/>
      <c r="N174" s="13"/>
      <c r="O174" s="38"/>
      <c r="P174" s="12"/>
      <c r="Q174" s="13"/>
      <c r="R174" s="11"/>
      <c r="S174" s="18"/>
      <c r="T174" s="13"/>
      <c r="U174" s="11"/>
      <c r="V174" s="12"/>
      <c r="W174" s="13"/>
      <c r="X174" s="11"/>
      <c r="Y174" s="12"/>
      <c r="Z174" s="13"/>
      <c r="AA174" s="11">
        <v>39.0</v>
      </c>
      <c r="AB174" s="12">
        <v>0.7819444444444444</v>
      </c>
      <c r="AC174" s="13">
        <v>0.7868055555555555</v>
      </c>
      <c r="AD174" s="11"/>
      <c r="AE174" s="12"/>
      <c r="AF174" s="13"/>
      <c r="AG174" s="11">
        <v>64.0</v>
      </c>
      <c r="AH174" s="12">
        <v>0.021527777777777778</v>
      </c>
      <c r="AI174" s="13">
        <v>0.02638888888888889</v>
      </c>
      <c r="AJ174" s="11"/>
      <c r="AK174" s="12"/>
      <c r="AL174" s="13"/>
      <c r="AM174" s="11"/>
      <c r="AN174" s="12"/>
      <c r="AO174" s="13"/>
      <c r="AP174" s="11"/>
      <c r="AQ174" s="12"/>
      <c r="AR174" s="13"/>
      <c r="AS174" s="11"/>
      <c r="AT174" s="12"/>
      <c r="AU174" s="13"/>
      <c r="AV174" s="11"/>
      <c r="AW174" s="12"/>
      <c r="AX174" s="13"/>
      <c r="AY174" s="11"/>
      <c r="AZ174" s="12"/>
    </row>
    <row r="175" ht="15.75" customHeight="1">
      <c r="A175" s="7"/>
      <c r="B175" s="47">
        <v>704.0</v>
      </c>
      <c r="C175" s="11">
        <v>131.0</v>
      </c>
      <c r="D175" s="12">
        <v>0.2708333333333333</v>
      </c>
      <c r="E175" s="13">
        <v>0.27152777777777776</v>
      </c>
      <c r="F175" s="64">
        <v>133.0</v>
      </c>
      <c r="G175" s="65">
        <v>0.3326388888888889</v>
      </c>
      <c r="H175" s="66">
        <v>0.3326388888888889</v>
      </c>
      <c r="I175" s="11">
        <v>122.0</v>
      </c>
      <c r="J175" s="12">
        <v>0.40347222222222223</v>
      </c>
      <c r="K175" s="13">
        <v>0.4048611111111111</v>
      </c>
      <c r="L175" s="11"/>
      <c r="M175" s="12"/>
      <c r="N175" s="13"/>
      <c r="O175" s="38"/>
      <c r="P175" s="12"/>
      <c r="Q175" s="13"/>
      <c r="R175" s="11"/>
      <c r="S175" s="18"/>
      <c r="T175" s="38"/>
      <c r="U175" s="11"/>
      <c r="V175" s="18"/>
      <c r="W175" s="38"/>
      <c r="X175" s="11"/>
      <c r="Y175" s="12"/>
      <c r="Z175" s="13"/>
      <c r="AA175" s="11">
        <v>102.0</v>
      </c>
      <c r="AB175" s="12">
        <v>0.8861111111111111</v>
      </c>
      <c r="AC175" s="13">
        <v>0.8881944444444444</v>
      </c>
      <c r="AD175" s="11"/>
      <c r="AE175" s="18"/>
      <c r="AF175" s="38"/>
      <c r="AG175" s="11"/>
      <c r="AH175" s="18"/>
      <c r="AI175" s="38"/>
      <c r="AJ175" s="11"/>
      <c r="AK175" s="18"/>
      <c r="AL175" s="38"/>
      <c r="AM175" s="11"/>
      <c r="AN175" s="18"/>
      <c r="AO175" s="38"/>
      <c r="AP175" s="11"/>
      <c r="AQ175" s="18"/>
      <c r="AR175" s="38"/>
      <c r="AS175" s="11"/>
      <c r="AT175" s="18"/>
      <c r="AU175" s="38"/>
      <c r="AV175" s="11"/>
      <c r="AW175" s="18"/>
      <c r="AX175" s="38"/>
      <c r="AY175" s="11"/>
      <c r="AZ175" s="12"/>
    </row>
    <row r="176" ht="15.75" customHeight="1">
      <c r="A176" s="7"/>
      <c r="B176" s="47">
        <v>705.0</v>
      </c>
      <c r="C176" s="11">
        <v>95.0</v>
      </c>
      <c r="D176" s="12">
        <v>0.26805555555555555</v>
      </c>
      <c r="E176" s="13">
        <v>0.26875</v>
      </c>
      <c r="F176" s="64">
        <v>100.0</v>
      </c>
      <c r="G176" s="65">
        <v>0.32569444444444445</v>
      </c>
      <c r="H176" s="66">
        <v>0.32569444444444445</v>
      </c>
      <c r="I176" s="11">
        <v>108.0</v>
      </c>
      <c r="J176" s="12">
        <v>0.3993055555555556</v>
      </c>
      <c r="K176" s="13">
        <v>0.40347222222222223</v>
      </c>
      <c r="L176" s="11"/>
      <c r="M176" s="12"/>
      <c r="N176" s="13"/>
      <c r="O176" s="38"/>
      <c r="P176" s="12"/>
      <c r="Q176" s="13"/>
      <c r="R176" s="11"/>
      <c r="S176" s="18"/>
      <c r="T176" s="13"/>
      <c r="U176" s="11"/>
      <c r="V176" s="12"/>
      <c r="W176" s="13"/>
      <c r="X176" s="11"/>
      <c r="Y176" s="12"/>
      <c r="Z176" s="13"/>
      <c r="AA176" s="11">
        <v>125.0</v>
      </c>
      <c r="AB176" s="12">
        <v>0.9166666666666666</v>
      </c>
      <c r="AC176" s="13">
        <v>0.91875</v>
      </c>
      <c r="AD176" s="11"/>
      <c r="AE176" s="12"/>
      <c r="AF176" s="13"/>
      <c r="AG176" s="11">
        <v>112.0</v>
      </c>
      <c r="AH176" s="12">
        <v>0.11666666666666667</v>
      </c>
      <c r="AI176" s="13">
        <v>0.13333333333333333</v>
      </c>
      <c r="AJ176" s="11"/>
      <c r="AK176" s="12"/>
      <c r="AL176" s="13"/>
      <c r="AM176" s="11"/>
      <c r="AN176" s="12"/>
      <c r="AO176" s="13"/>
      <c r="AP176" s="11"/>
      <c r="AQ176" s="12"/>
      <c r="AR176" s="13"/>
      <c r="AS176" s="11"/>
      <c r="AT176" s="12"/>
      <c r="AU176" s="13"/>
      <c r="AV176" s="11"/>
      <c r="AW176" s="12"/>
      <c r="AX176" s="13"/>
      <c r="AY176" s="11"/>
      <c r="AZ176" s="12"/>
    </row>
    <row r="177" ht="15.75" customHeight="1">
      <c r="A177" s="7"/>
      <c r="B177" s="47">
        <v>706.0</v>
      </c>
      <c r="C177" s="11">
        <v>79.0</v>
      </c>
      <c r="D177" s="12">
        <v>0.2659722222222222</v>
      </c>
      <c r="E177" s="13">
        <v>0.26666666666666666</v>
      </c>
      <c r="F177" s="64">
        <v>64.0</v>
      </c>
      <c r="G177" s="65">
        <v>0.31875</v>
      </c>
      <c r="H177" s="66">
        <v>0.31875</v>
      </c>
      <c r="I177" s="11">
        <v>62.0</v>
      </c>
      <c r="J177" s="12">
        <v>0.38333333333333336</v>
      </c>
      <c r="K177" s="13">
        <v>0.38958333333333334</v>
      </c>
      <c r="L177" s="11"/>
      <c r="M177" s="12"/>
      <c r="N177" s="13"/>
      <c r="O177" s="38"/>
      <c r="P177" s="12"/>
      <c r="Q177" s="13"/>
      <c r="R177" s="11"/>
      <c r="S177" s="18"/>
      <c r="T177" s="38"/>
      <c r="U177" s="11"/>
      <c r="V177" s="18"/>
      <c r="W177" s="38"/>
      <c r="X177" s="11"/>
      <c r="Y177" s="12"/>
      <c r="Z177" s="13"/>
      <c r="AA177" s="11">
        <v>86.0</v>
      </c>
      <c r="AB177" s="12">
        <v>0.8569444444444444</v>
      </c>
      <c r="AC177" s="13">
        <v>0.8645833333333334</v>
      </c>
      <c r="AD177" s="11"/>
      <c r="AE177" s="12"/>
      <c r="AF177" s="38"/>
      <c r="AG177" s="11">
        <v>83.0</v>
      </c>
      <c r="AH177" s="12">
        <v>0.06180555555555556</v>
      </c>
      <c r="AI177" s="13">
        <v>0.07222222222222222</v>
      </c>
      <c r="AJ177" s="11"/>
      <c r="AK177" s="12"/>
      <c r="AL177" s="38"/>
      <c r="AM177" s="11"/>
      <c r="AN177" s="12"/>
      <c r="AO177" s="38"/>
      <c r="AP177" s="11"/>
      <c r="AQ177" s="12"/>
      <c r="AR177" s="38"/>
      <c r="AS177" s="11"/>
      <c r="AT177" s="12"/>
      <c r="AU177" s="38"/>
      <c r="AV177" s="11"/>
      <c r="AW177" s="12"/>
      <c r="AX177" s="38"/>
      <c r="AY177" s="11"/>
      <c r="AZ177" s="18"/>
    </row>
    <row r="178" ht="15.75" customHeight="1">
      <c r="A178" s="7"/>
      <c r="B178" s="47">
        <v>707.0</v>
      </c>
      <c r="C178" s="11">
        <v>151.0</v>
      </c>
      <c r="D178" s="12">
        <v>0.2743055555555556</v>
      </c>
      <c r="E178" s="13">
        <v>0.275</v>
      </c>
      <c r="F178" s="64">
        <v>154.0</v>
      </c>
      <c r="G178" s="65">
        <v>0.3368055555555556</v>
      </c>
      <c r="H178" s="66">
        <v>0.3368055555555556</v>
      </c>
      <c r="I178" s="11">
        <v>149.0</v>
      </c>
      <c r="J178" s="12">
        <v>0.4125</v>
      </c>
      <c r="K178" s="13">
        <v>0.4215277777777778</v>
      </c>
      <c r="L178" s="11"/>
      <c r="M178" s="12"/>
      <c r="N178" s="13"/>
      <c r="O178" s="38"/>
      <c r="P178" s="12"/>
      <c r="Q178" s="13"/>
      <c r="R178" s="11"/>
      <c r="S178" s="18"/>
      <c r="T178" s="38"/>
      <c r="U178" s="11"/>
      <c r="V178" s="18"/>
      <c r="W178" s="38"/>
      <c r="X178" s="11"/>
      <c r="Y178" s="12"/>
      <c r="Z178" s="13"/>
      <c r="AA178" s="11"/>
      <c r="AB178" s="18"/>
      <c r="AC178" s="13"/>
      <c r="AD178" s="11"/>
      <c r="AE178" s="18"/>
      <c r="AF178" s="38"/>
      <c r="AG178" s="11"/>
      <c r="AH178" s="18"/>
      <c r="AI178" s="38"/>
      <c r="AJ178" s="11"/>
      <c r="AK178" s="12"/>
      <c r="AL178" s="13"/>
      <c r="AM178" s="11"/>
      <c r="AN178" s="12"/>
      <c r="AO178" s="13"/>
      <c r="AP178" s="11"/>
      <c r="AQ178" s="12"/>
      <c r="AR178" s="13"/>
      <c r="AS178" s="11"/>
      <c r="AT178" s="12"/>
      <c r="AU178" s="38"/>
      <c r="AV178" s="11"/>
      <c r="AW178" s="12"/>
      <c r="AX178" s="38"/>
      <c r="AY178" s="11"/>
      <c r="AZ178" s="12"/>
    </row>
    <row r="179" ht="15.75" customHeight="1">
      <c r="A179" s="7"/>
      <c r="B179" s="47">
        <v>708.0</v>
      </c>
      <c r="C179" s="11">
        <v>62.0</v>
      </c>
      <c r="D179" s="12">
        <v>0.26319444444444445</v>
      </c>
      <c r="E179" s="13">
        <v>0.2638888888888889</v>
      </c>
      <c r="F179" s="64">
        <v>52.0</v>
      </c>
      <c r="G179" s="65">
        <v>0.3145833333333333</v>
      </c>
      <c r="H179" s="66">
        <v>0.3145833333333333</v>
      </c>
      <c r="I179" s="11">
        <v>35.0</v>
      </c>
      <c r="J179" s="12">
        <v>0.37083333333333335</v>
      </c>
      <c r="K179" s="13">
        <v>0.38055555555555554</v>
      </c>
      <c r="L179" s="11"/>
      <c r="M179" s="12"/>
      <c r="N179" s="13"/>
      <c r="O179" s="38"/>
      <c r="P179" s="12"/>
      <c r="Q179" s="13"/>
      <c r="R179" s="11"/>
      <c r="S179" s="18"/>
      <c r="T179" s="38"/>
      <c r="U179" s="11"/>
      <c r="V179" s="18"/>
      <c r="W179" s="38"/>
      <c r="X179" s="11"/>
      <c r="Y179" s="12"/>
      <c r="Z179" s="13"/>
      <c r="AA179" s="11">
        <v>28.0</v>
      </c>
      <c r="AB179" s="12">
        <v>0.7569444444444444</v>
      </c>
      <c r="AC179" s="13">
        <v>0.7611111111111111</v>
      </c>
      <c r="AD179" s="11"/>
      <c r="AE179" s="12"/>
      <c r="AF179" s="38"/>
      <c r="AG179" s="11">
        <v>29.0</v>
      </c>
      <c r="AH179" s="12">
        <v>0.9347222222222222</v>
      </c>
      <c r="AI179" s="38" t="s">
        <v>178</v>
      </c>
      <c r="AJ179" s="11"/>
      <c r="AK179" s="12"/>
      <c r="AL179" s="38"/>
      <c r="AM179" s="11"/>
      <c r="AN179" s="12"/>
      <c r="AO179" s="38"/>
      <c r="AP179" s="11"/>
      <c r="AQ179" s="12"/>
      <c r="AR179" s="38"/>
      <c r="AS179" s="11"/>
      <c r="AT179" s="12"/>
      <c r="AU179" s="38"/>
      <c r="AV179" s="11"/>
      <c r="AW179" s="12"/>
      <c r="AX179" s="38"/>
      <c r="AY179" s="11"/>
      <c r="AZ179" s="12"/>
    </row>
    <row r="180" ht="15.75" customHeight="1">
      <c r="A180" s="7"/>
      <c r="B180" s="47">
        <v>709.0</v>
      </c>
      <c r="C180" s="11">
        <v>78.0</v>
      </c>
      <c r="D180" s="12">
        <v>0.2659722222222222</v>
      </c>
      <c r="E180" s="13">
        <v>0.26666666666666666</v>
      </c>
      <c r="F180" s="64">
        <v>81.0</v>
      </c>
      <c r="G180" s="65">
        <v>0.3215277777777778</v>
      </c>
      <c r="H180" s="66">
        <v>0.3215277777777778</v>
      </c>
      <c r="I180" s="11">
        <v>80.0</v>
      </c>
      <c r="J180" s="12">
        <v>0.38819444444444445</v>
      </c>
      <c r="K180" s="13">
        <v>0.3909722222222222</v>
      </c>
      <c r="L180" s="11"/>
      <c r="M180" s="12"/>
      <c r="N180" s="13"/>
      <c r="O180" s="38"/>
      <c r="P180" s="12"/>
      <c r="Q180" s="13"/>
      <c r="R180" s="11"/>
      <c r="S180" s="18"/>
      <c r="T180" s="38"/>
      <c r="U180" s="11"/>
      <c r="V180" s="18"/>
      <c r="W180" s="38"/>
      <c r="X180" s="11"/>
      <c r="Y180" s="12"/>
      <c r="Z180" s="13"/>
      <c r="AA180" s="11">
        <v>69.0</v>
      </c>
      <c r="AB180" s="12">
        <v>0.8388888888888889</v>
      </c>
      <c r="AC180" s="13">
        <v>0.8430555555555556</v>
      </c>
      <c r="AD180" s="11"/>
      <c r="AE180" s="12"/>
      <c r="AF180" s="38"/>
      <c r="AG180" s="11">
        <v>57.0</v>
      </c>
      <c r="AH180" s="12">
        <v>0.011805555555555555</v>
      </c>
      <c r="AI180" s="13">
        <v>0.01875</v>
      </c>
      <c r="AJ180" s="11"/>
      <c r="AK180" s="12"/>
      <c r="AL180" s="38"/>
      <c r="AM180" s="11"/>
      <c r="AN180" s="12"/>
      <c r="AO180" s="38"/>
      <c r="AP180" s="11"/>
      <c r="AQ180" s="12"/>
      <c r="AR180" s="38"/>
      <c r="AS180" s="11"/>
      <c r="AT180" s="12"/>
      <c r="AU180" s="38"/>
      <c r="AV180" s="11"/>
      <c r="AW180" s="12"/>
      <c r="AX180" s="38"/>
      <c r="AY180" s="11"/>
      <c r="AZ180" s="12"/>
    </row>
    <row r="181" ht="15.75" customHeight="1">
      <c r="A181" s="7"/>
      <c r="B181" s="47">
        <v>711.0</v>
      </c>
      <c r="C181" s="11">
        <v>102.0</v>
      </c>
      <c r="D181" s="12">
        <v>0.26875</v>
      </c>
      <c r="E181" s="13">
        <v>0.26944444444444443</v>
      </c>
      <c r="F181" s="64">
        <v>77.0</v>
      </c>
      <c r="G181" s="65">
        <v>0.32083333333333336</v>
      </c>
      <c r="H181" s="66">
        <v>0.32083333333333336</v>
      </c>
      <c r="I181" s="11">
        <v>59.0</v>
      </c>
      <c r="J181" s="12">
        <v>0.3798611111111111</v>
      </c>
      <c r="K181" s="13">
        <v>0.3840277777777778</v>
      </c>
      <c r="L181" s="11"/>
      <c r="M181" s="12"/>
      <c r="N181" s="13"/>
      <c r="O181" s="38"/>
      <c r="P181" s="12"/>
      <c r="Q181" s="13"/>
      <c r="R181" s="11"/>
      <c r="S181" s="18"/>
      <c r="T181" s="13"/>
      <c r="U181" s="11"/>
      <c r="V181" s="12"/>
      <c r="W181" s="13"/>
      <c r="X181" s="11"/>
      <c r="Y181" s="12"/>
      <c r="Z181" s="13"/>
      <c r="AA181" s="11">
        <v>37.0</v>
      </c>
      <c r="AB181" s="12">
        <v>0.7756944444444445</v>
      </c>
      <c r="AC181" s="13">
        <v>0.7791666666666667</v>
      </c>
      <c r="AD181" s="11"/>
      <c r="AE181" s="12"/>
      <c r="AF181" s="13"/>
      <c r="AG181" s="11">
        <v>27.0</v>
      </c>
      <c r="AH181" s="12">
        <v>0.9173611111111111</v>
      </c>
      <c r="AI181" s="13">
        <v>0.9229166666666667</v>
      </c>
      <c r="AJ181" s="11"/>
      <c r="AK181" s="12"/>
      <c r="AL181" s="13"/>
      <c r="AM181" s="11"/>
      <c r="AN181" s="12"/>
      <c r="AO181" s="13"/>
      <c r="AP181" s="11"/>
      <c r="AQ181" s="12"/>
      <c r="AR181" s="13"/>
      <c r="AS181" s="11"/>
      <c r="AT181" s="12"/>
      <c r="AU181" s="13"/>
      <c r="AV181" s="11"/>
      <c r="AW181" s="12"/>
      <c r="AX181" s="13"/>
      <c r="AY181" s="11"/>
      <c r="AZ181" s="12"/>
    </row>
    <row r="182" ht="15.75" customHeight="1">
      <c r="A182" s="7"/>
      <c r="B182" s="47">
        <v>712.0</v>
      </c>
      <c r="C182" s="11">
        <v>47.0</v>
      </c>
      <c r="D182" s="12">
        <v>0.2611111111111111</v>
      </c>
      <c r="E182" s="13">
        <v>0.26180555555555557</v>
      </c>
      <c r="F182" s="64">
        <v>61.0</v>
      </c>
      <c r="G182" s="65">
        <v>0.3173611111111111</v>
      </c>
      <c r="H182" s="66">
        <v>0.3173611111111111</v>
      </c>
      <c r="I182" s="11">
        <v>68.0</v>
      </c>
      <c r="J182" s="12">
        <v>0.3861111111111111</v>
      </c>
      <c r="K182" s="13">
        <v>0.3875</v>
      </c>
      <c r="L182" s="11"/>
      <c r="M182" s="12"/>
      <c r="N182" s="13"/>
      <c r="O182" s="38"/>
      <c r="P182" s="12"/>
      <c r="Q182" s="13"/>
      <c r="R182" s="11"/>
      <c r="S182" s="18"/>
      <c r="T182" s="38"/>
      <c r="U182" s="11"/>
      <c r="V182" s="18"/>
      <c r="W182" s="38"/>
      <c r="X182" s="11"/>
      <c r="Y182" s="12"/>
      <c r="Z182" s="13"/>
      <c r="AA182" s="11">
        <v>114.0</v>
      </c>
      <c r="AB182" s="12">
        <v>0.9055555555555556</v>
      </c>
      <c r="AC182" s="13">
        <v>0.9152777777777777</v>
      </c>
      <c r="AD182" s="11"/>
      <c r="AE182" s="12"/>
      <c r="AF182" s="38"/>
      <c r="AG182" s="11">
        <v>120.0</v>
      </c>
      <c r="AH182" s="12">
        <v>0.13402777777777777</v>
      </c>
      <c r="AI182" s="38" t="s">
        <v>178</v>
      </c>
      <c r="AJ182" s="11"/>
      <c r="AK182" s="12"/>
      <c r="AL182" s="38"/>
      <c r="AM182" s="11"/>
      <c r="AN182" s="12"/>
      <c r="AO182" s="38"/>
      <c r="AP182" s="11"/>
      <c r="AQ182" s="12"/>
      <c r="AR182" s="38"/>
      <c r="AS182" s="11"/>
      <c r="AT182" s="12"/>
      <c r="AU182" s="38"/>
      <c r="AV182" s="11"/>
      <c r="AW182" s="12"/>
      <c r="AX182" s="38"/>
      <c r="AY182" s="11"/>
      <c r="AZ182" s="12"/>
    </row>
    <row r="183" ht="15.75" customHeight="1">
      <c r="A183" s="7"/>
      <c r="B183" s="47">
        <v>713.0</v>
      </c>
      <c r="C183" s="11">
        <v>17.0</v>
      </c>
      <c r="D183" s="12">
        <v>0.25763888888888886</v>
      </c>
      <c r="E183" s="13">
        <v>0.25833333333333336</v>
      </c>
      <c r="F183" s="64">
        <v>20.0</v>
      </c>
      <c r="G183" s="65">
        <v>0.30625</v>
      </c>
      <c r="H183" s="66">
        <v>0.30625</v>
      </c>
      <c r="I183" s="11">
        <v>20.0</v>
      </c>
      <c r="J183" s="12">
        <v>0.36319444444444443</v>
      </c>
      <c r="K183" s="13">
        <v>0.36527777777777776</v>
      </c>
      <c r="L183" s="11"/>
      <c r="M183" s="12"/>
      <c r="N183" s="13"/>
      <c r="O183" s="38"/>
      <c r="P183" s="12"/>
      <c r="Q183" s="13"/>
      <c r="R183" s="11"/>
      <c r="S183" s="18"/>
      <c r="T183" s="38"/>
      <c r="U183" s="11"/>
      <c r="V183" s="18"/>
      <c r="W183" s="38"/>
      <c r="X183" s="11"/>
      <c r="Y183" s="12"/>
      <c r="Z183" s="13"/>
      <c r="AA183" s="11">
        <v>51.0</v>
      </c>
      <c r="AB183" s="12">
        <v>0.80625</v>
      </c>
      <c r="AC183" s="13">
        <v>0.8104166666666667</v>
      </c>
      <c r="AD183" s="11"/>
      <c r="AE183" s="18"/>
      <c r="AF183" s="38"/>
      <c r="AG183" s="11">
        <v>44.0</v>
      </c>
      <c r="AH183" s="12">
        <v>0.9833333333333333</v>
      </c>
      <c r="AI183" s="13">
        <v>0.9875</v>
      </c>
      <c r="AJ183" s="11"/>
      <c r="AK183" s="12"/>
      <c r="AL183" s="13"/>
      <c r="AM183" s="11"/>
      <c r="AN183" s="12"/>
      <c r="AO183" s="13"/>
      <c r="AP183" s="11"/>
      <c r="AQ183" s="12"/>
      <c r="AR183" s="38"/>
      <c r="AS183" s="11"/>
      <c r="AT183" s="12"/>
      <c r="AU183" s="38"/>
      <c r="AV183" s="11"/>
      <c r="AW183" s="12"/>
      <c r="AX183" s="38"/>
      <c r="AY183" s="11"/>
      <c r="AZ183" s="18"/>
    </row>
    <row r="184" ht="15.75" customHeight="1">
      <c r="A184" s="7"/>
      <c r="B184" s="47">
        <v>714.0</v>
      </c>
      <c r="C184" s="11">
        <v>124.0</v>
      </c>
      <c r="D184" s="12">
        <v>0.2701388888888889</v>
      </c>
      <c r="E184" s="13">
        <v>0.2708333333333333</v>
      </c>
      <c r="F184" s="64">
        <v>138.0</v>
      </c>
      <c r="G184" s="65">
        <v>0.33402777777777776</v>
      </c>
      <c r="H184" s="66">
        <v>0.33402777777777776</v>
      </c>
      <c r="I184" s="11">
        <v>156.0</v>
      </c>
      <c r="J184" s="12">
        <v>0.41388888888888886</v>
      </c>
      <c r="K184" s="13">
        <v>0.4215277777777778</v>
      </c>
      <c r="L184" s="11"/>
      <c r="M184" s="12"/>
      <c r="N184" s="13"/>
      <c r="O184" s="38"/>
      <c r="P184" s="12"/>
      <c r="Q184" s="13"/>
      <c r="R184" s="11"/>
      <c r="S184" s="18"/>
      <c r="T184" s="38"/>
      <c r="U184" s="11"/>
      <c r="V184" s="18"/>
      <c r="W184" s="38"/>
      <c r="X184" s="11"/>
      <c r="Y184" s="12"/>
      <c r="Z184" s="13"/>
      <c r="AA184" s="11">
        <v>115.0</v>
      </c>
      <c r="AB184" s="12">
        <v>0.9083333333333333</v>
      </c>
      <c r="AC184" s="13">
        <v>0.9111111111111111</v>
      </c>
      <c r="AD184" s="11"/>
      <c r="AE184" s="18"/>
      <c r="AF184" s="38"/>
      <c r="AG184" s="11">
        <v>109.0</v>
      </c>
      <c r="AH184" s="12">
        <v>0.1111111111111111</v>
      </c>
      <c r="AI184" s="13">
        <v>0.12013888888888889</v>
      </c>
      <c r="AJ184" s="11"/>
      <c r="AK184" s="18"/>
      <c r="AL184" s="38"/>
      <c r="AM184" s="11"/>
      <c r="AN184" s="18"/>
      <c r="AO184" s="38"/>
      <c r="AP184" s="11"/>
      <c r="AQ184" s="18"/>
      <c r="AR184" s="38"/>
      <c r="AS184" s="11"/>
      <c r="AT184" s="18"/>
      <c r="AU184" s="38"/>
      <c r="AV184" s="11"/>
      <c r="AW184" s="18"/>
      <c r="AX184" s="38"/>
      <c r="AY184" s="11"/>
      <c r="AZ184" s="12"/>
    </row>
    <row r="185" ht="15.75" customHeight="1">
      <c r="A185" s="7"/>
      <c r="B185" s="47">
        <v>715.0</v>
      </c>
      <c r="C185" s="11"/>
      <c r="D185" s="12"/>
      <c r="E185" s="13"/>
      <c r="F185" s="64"/>
      <c r="G185" s="65"/>
      <c r="H185" s="66"/>
      <c r="I185" s="11">
        <v>48.0</v>
      </c>
      <c r="J185" s="12">
        <v>0.375</v>
      </c>
      <c r="K185" s="13">
        <v>0.37916666666666665</v>
      </c>
      <c r="L185" s="11"/>
      <c r="M185" s="12"/>
      <c r="N185" s="13"/>
      <c r="O185" s="38"/>
      <c r="P185" s="12"/>
      <c r="Q185" s="13"/>
      <c r="R185" s="11"/>
      <c r="S185" s="18"/>
      <c r="T185" s="38"/>
      <c r="U185" s="11"/>
      <c r="V185" s="18"/>
      <c r="W185" s="38"/>
      <c r="X185" s="11"/>
      <c r="Y185" s="12"/>
      <c r="Z185" s="13"/>
      <c r="AA185" s="11">
        <v>33.0</v>
      </c>
      <c r="AB185" s="12">
        <v>0.7701388888888889</v>
      </c>
      <c r="AC185" s="13">
        <v>0.7729166666666667</v>
      </c>
      <c r="AD185" s="11"/>
      <c r="AE185" s="12"/>
      <c r="AF185" s="38"/>
      <c r="AG185" s="11">
        <v>32.0</v>
      </c>
      <c r="AH185" s="12">
        <v>0.9395833333333333</v>
      </c>
      <c r="AI185" s="13">
        <v>0.9423611111111111</v>
      </c>
      <c r="AJ185" s="11"/>
      <c r="AK185" s="12"/>
      <c r="AL185" s="38"/>
      <c r="AM185" s="11"/>
      <c r="AN185" s="12"/>
      <c r="AO185" s="38"/>
      <c r="AP185" s="11"/>
      <c r="AQ185" s="12"/>
      <c r="AR185" s="38"/>
      <c r="AS185" s="11"/>
      <c r="AT185" s="12"/>
      <c r="AU185" s="38"/>
      <c r="AV185" s="11"/>
      <c r="AW185" s="12"/>
      <c r="AX185" s="38"/>
      <c r="AY185" s="11"/>
      <c r="AZ185" s="18"/>
    </row>
    <row r="186" ht="15.75" customHeight="1">
      <c r="A186" s="7"/>
      <c r="B186" s="47">
        <v>716.0</v>
      </c>
      <c r="C186" s="11">
        <v>72.0</v>
      </c>
      <c r="D186" s="12">
        <v>0.26458333333333334</v>
      </c>
      <c r="E186" s="13">
        <v>0.2652777777777778</v>
      </c>
      <c r="F186" s="64">
        <v>84.0</v>
      </c>
      <c r="G186" s="65">
        <v>0.3229166666666667</v>
      </c>
      <c r="H186" s="66">
        <v>0.3229166666666667</v>
      </c>
      <c r="I186" s="11">
        <v>90.0</v>
      </c>
      <c r="J186" s="12">
        <v>0.3923611111111111</v>
      </c>
      <c r="K186" s="13">
        <v>0.3958333333333333</v>
      </c>
      <c r="L186" s="11"/>
      <c r="M186" s="12"/>
      <c r="N186" s="13"/>
      <c r="O186" s="38"/>
      <c r="P186" s="12"/>
      <c r="Q186" s="13"/>
      <c r="R186" s="11"/>
      <c r="S186" s="18"/>
      <c r="T186" s="38"/>
      <c r="U186" s="11"/>
      <c r="V186" s="18"/>
      <c r="W186" s="38"/>
      <c r="X186" s="11"/>
      <c r="Y186" s="12"/>
      <c r="Z186" s="13"/>
      <c r="AA186" s="11">
        <v>93.0</v>
      </c>
      <c r="AB186" s="12">
        <v>0.8673611111111111</v>
      </c>
      <c r="AC186" s="13">
        <v>0.8708333333333333</v>
      </c>
      <c r="AD186" s="11"/>
      <c r="AE186" s="12"/>
      <c r="AF186" s="38"/>
      <c r="AG186" s="11">
        <v>95.0</v>
      </c>
      <c r="AH186" s="12">
        <v>0.08541666666666667</v>
      </c>
      <c r="AI186" s="13">
        <v>0.09305555555555556</v>
      </c>
      <c r="AJ186" s="11"/>
      <c r="AK186" s="12"/>
      <c r="AL186" s="38"/>
      <c r="AM186" s="11"/>
      <c r="AN186" s="12"/>
      <c r="AO186" s="38"/>
      <c r="AP186" s="11"/>
      <c r="AQ186" s="12"/>
      <c r="AR186" s="38"/>
      <c r="AS186" s="11"/>
      <c r="AT186" s="12"/>
      <c r="AU186" s="38"/>
      <c r="AV186" s="11"/>
      <c r="AW186" s="12"/>
      <c r="AX186" s="38"/>
      <c r="AY186" s="11"/>
      <c r="AZ186" s="18"/>
    </row>
    <row r="187" ht="15.75" customHeight="1">
      <c r="A187" s="7"/>
      <c r="B187" s="47">
        <v>717.0</v>
      </c>
      <c r="C187" s="11">
        <v>116.0</v>
      </c>
      <c r="D187" s="12">
        <v>0.26944444444444443</v>
      </c>
      <c r="E187" s="13">
        <v>0.2701388888888889</v>
      </c>
      <c r="F187" s="64">
        <v>124.0</v>
      </c>
      <c r="G187" s="65">
        <v>0.33125</v>
      </c>
      <c r="H187" s="66">
        <v>0.33125</v>
      </c>
      <c r="I187" s="11">
        <v>113.0</v>
      </c>
      <c r="J187" s="12">
        <v>0.40069444444444446</v>
      </c>
      <c r="K187" s="13">
        <v>0.4083333333333333</v>
      </c>
      <c r="L187" s="11"/>
      <c r="M187" s="12"/>
      <c r="N187" s="13"/>
      <c r="O187" s="38"/>
      <c r="P187" s="12"/>
      <c r="Q187" s="13"/>
      <c r="R187" s="11"/>
      <c r="S187" s="18"/>
      <c r="T187" s="38"/>
      <c r="U187" s="11"/>
      <c r="V187" s="18"/>
      <c r="W187" s="38"/>
      <c r="X187" s="11"/>
      <c r="Y187" s="12"/>
      <c r="Z187" s="13"/>
      <c r="AA187" s="11">
        <v>131.0</v>
      </c>
      <c r="AB187" s="12">
        <v>0.9256944444444445</v>
      </c>
      <c r="AC187" s="13">
        <v>0.9354166666666667</v>
      </c>
      <c r="AD187" s="11"/>
      <c r="AE187" s="18"/>
      <c r="AF187" s="38"/>
      <c r="AG187" s="11"/>
      <c r="AH187" s="18"/>
      <c r="AI187" s="38"/>
      <c r="AJ187" s="11"/>
      <c r="AK187" s="12"/>
      <c r="AL187" s="13"/>
      <c r="AM187" s="11"/>
      <c r="AN187" s="12"/>
      <c r="AO187" s="13"/>
      <c r="AP187" s="11"/>
      <c r="AQ187" s="12"/>
      <c r="AR187" s="13"/>
      <c r="AS187" s="11"/>
      <c r="AT187" s="12"/>
      <c r="AU187" s="13"/>
      <c r="AV187" s="11"/>
      <c r="AW187" s="12"/>
      <c r="AX187" s="13"/>
      <c r="AY187" s="11"/>
      <c r="AZ187" s="12"/>
    </row>
    <row r="188" ht="15.75" customHeight="1">
      <c r="A188" s="7"/>
      <c r="B188" s="47">
        <v>718.0</v>
      </c>
      <c r="C188" s="11">
        <v>90.0</v>
      </c>
      <c r="D188" s="12">
        <v>0.2673611111111111</v>
      </c>
      <c r="E188" s="13">
        <v>0.26805555555555555</v>
      </c>
      <c r="F188" s="64">
        <v>45.0</v>
      </c>
      <c r="G188" s="65">
        <v>0.3138888888888889</v>
      </c>
      <c r="H188" s="66">
        <v>0.3138888888888889</v>
      </c>
      <c r="I188" s="11">
        <v>85.0</v>
      </c>
      <c r="J188" s="12">
        <v>0.3888888888888889</v>
      </c>
      <c r="K188" s="13">
        <v>0.39375</v>
      </c>
      <c r="L188" s="11"/>
      <c r="M188" s="12"/>
      <c r="N188" s="13"/>
      <c r="O188" s="38"/>
      <c r="P188" s="12"/>
      <c r="Q188" s="13"/>
      <c r="R188" s="11"/>
      <c r="S188" s="18"/>
      <c r="T188" s="13"/>
      <c r="U188" s="11"/>
      <c r="V188" s="12"/>
      <c r="W188" s="13"/>
      <c r="X188" s="11"/>
      <c r="Y188" s="12"/>
      <c r="Z188" s="13"/>
      <c r="AA188" s="11">
        <v>89.0</v>
      </c>
      <c r="AB188" s="12">
        <v>0.8590277777777777</v>
      </c>
      <c r="AC188" s="13">
        <v>0.8645833333333334</v>
      </c>
      <c r="AD188" s="11"/>
      <c r="AE188" s="12"/>
      <c r="AF188" s="13"/>
      <c r="AG188" s="11">
        <v>86.0</v>
      </c>
      <c r="AH188" s="12">
        <v>0.06666666666666667</v>
      </c>
      <c r="AI188" s="13">
        <v>0.07222222222222222</v>
      </c>
      <c r="AJ188" s="11"/>
      <c r="AK188" s="12"/>
      <c r="AL188" s="13"/>
      <c r="AM188" s="11"/>
      <c r="AN188" s="12"/>
      <c r="AO188" s="13"/>
      <c r="AP188" s="11"/>
      <c r="AQ188" s="12"/>
      <c r="AR188" s="13"/>
      <c r="AS188" s="11"/>
      <c r="AT188" s="12"/>
      <c r="AU188" s="13"/>
      <c r="AV188" s="11"/>
      <c r="AW188" s="12"/>
      <c r="AX188" s="13"/>
      <c r="AY188" s="11"/>
      <c r="AZ188" s="12"/>
    </row>
    <row r="189" ht="15.75" customHeight="1">
      <c r="A189" s="7"/>
      <c r="B189" s="47">
        <v>719.0</v>
      </c>
      <c r="C189" s="11">
        <v>86.0</v>
      </c>
      <c r="D189" s="12">
        <v>0.26666666666666666</v>
      </c>
      <c r="E189" s="13">
        <v>0.2673611111111111</v>
      </c>
      <c r="F189" s="64">
        <v>105.0</v>
      </c>
      <c r="G189" s="65">
        <v>0.32569444444444445</v>
      </c>
      <c r="H189" s="66">
        <v>0.32569444444444445</v>
      </c>
      <c r="I189" s="11">
        <v>99.0</v>
      </c>
      <c r="J189" s="12">
        <v>0.39652777777777776</v>
      </c>
      <c r="K189" s="13">
        <v>0.4013888888888889</v>
      </c>
      <c r="L189" s="11"/>
      <c r="M189" s="12"/>
      <c r="N189" s="13"/>
      <c r="O189" s="38"/>
      <c r="P189" s="12"/>
      <c r="Q189" s="13"/>
      <c r="R189" s="11"/>
      <c r="S189" s="18"/>
      <c r="T189" s="13"/>
      <c r="U189" s="11"/>
      <c r="V189" s="12"/>
      <c r="W189" s="38"/>
      <c r="X189" s="11"/>
      <c r="Y189" s="12"/>
      <c r="Z189" s="38"/>
      <c r="AA189" s="11">
        <v>78.0</v>
      </c>
      <c r="AB189" s="12">
        <v>0.8520833333333333</v>
      </c>
      <c r="AC189" s="13">
        <v>0.8534722222222222</v>
      </c>
      <c r="AD189" s="11"/>
      <c r="AE189" s="12"/>
      <c r="AF189" s="38"/>
      <c r="AG189" s="11">
        <v>77.0</v>
      </c>
      <c r="AH189" s="12">
        <v>0.03958333333333333</v>
      </c>
      <c r="AI189" s="13">
        <v>0.043055555555555555</v>
      </c>
      <c r="AJ189" s="11"/>
      <c r="AK189" s="12"/>
      <c r="AL189" s="38"/>
      <c r="AM189" s="11"/>
      <c r="AN189" s="12"/>
      <c r="AO189" s="38"/>
      <c r="AP189" s="11"/>
      <c r="AQ189" s="12"/>
      <c r="AR189" s="38"/>
      <c r="AS189" s="11"/>
      <c r="AT189" s="12"/>
      <c r="AU189" s="38"/>
      <c r="AV189" s="11"/>
      <c r="AW189" s="12"/>
      <c r="AX189" s="38"/>
      <c r="AY189" s="11"/>
      <c r="AZ189" s="18"/>
    </row>
    <row r="190" ht="15.75" customHeight="1">
      <c r="A190" s="7"/>
      <c r="B190" s="47">
        <v>721.0</v>
      </c>
      <c r="C190" s="11">
        <v>57.0</v>
      </c>
      <c r="D190" s="12">
        <v>0.26319444444444445</v>
      </c>
      <c r="E190" s="13">
        <v>0.2638888888888889</v>
      </c>
      <c r="F190" s="64">
        <v>48.0</v>
      </c>
      <c r="G190" s="65">
        <v>0.3138888888888889</v>
      </c>
      <c r="H190" s="66">
        <v>0.3138888888888889</v>
      </c>
      <c r="I190" s="11">
        <v>39.0</v>
      </c>
      <c r="J190" s="12">
        <v>0.3715277777777778</v>
      </c>
      <c r="K190" s="13">
        <v>0.3736111111111111</v>
      </c>
      <c r="L190" s="11"/>
      <c r="M190" s="12"/>
      <c r="N190" s="13"/>
      <c r="O190" s="38"/>
      <c r="P190" s="12"/>
      <c r="Q190" s="13"/>
      <c r="R190" s="11"/>
      <c r="S190" s="18"/>
      <c r="T190" s="38"/>
      <c r="U190" s="11"/>
      <c r="V190" s="18"/>
      <c r="W190" s="38"/>
      <c r="X190" s="11"/>
      <c r="Y190" s="12"/>
      <c r="Z190" s="13"/>
      <c r="AA190" s="11">
        <v>47.0</v>
      </c>
      <c r="AB190" s="12">
        <v>0.7944444444444444</v>
      </c>
      <c r="AC190" s="13">
        <v>0.7979166666666667</v>
      </c>
      <c r="AD190" s="11"/>
      <c r="AE190" s="12"/>
      <c r="AF190" s="38"/>
      <c r="AG190" s="11">
        <v>61.0</v>
      </c>
      <c r="AH190" s="12">
        <v>0.019444444444444445</v>
      </c>
      <c r="AI190" s="13">
        <v>0.027777777777777776</v>
      </c>
      <c r="AJ190" s="11"/>
      <c r="AK190" s="12"/>
      <c r="AL190" s="38"/>
      <c r="AM190" s="11"/>
      <c r="AN190" s="12"/>
      <c r="AO190" s="38"/>
      <c r="AP190" s="11"/>
      <c r="AQ190" s="12"/>
      <c r="AR190" s="38"/>
      <c r="AS190" s="11"/>
      <c r="AT190" s="12"/>
      <c r="AU190" s="38"/>
      <c r="AV190" s="11"/>
      <c r="AW190" s="12"/>
      <c r="AX190" s="38"/>
      <c r="AY190" s="11"/>
      <c r="AZ190" s="18"/>
    </row>
    <row r="191" ht="15.75" customHeight="1">
      <c r="A191" s="7"/>
      <c r="B191" s="47">
        <v>722.0</v>
      </c>
      <c r="C191" s="11">
        <v>64.0</v>
      </c>
      <c r="D191" s="12">
        <v>0.26319444444444445</v>
      </c>
      <c r="E191" s="13">
        <v>0.2638888888888889</v>
      </c>
      <c r="F191" s="64">
        <v>60.0</v>
      </c>
      <c r="G191" s="65">
        <v>0.3159722222222222</v>
      </c>
      <c r="H191" s="66">
        <v>0.3159722222222222</v>
      </c>
      <c r="I191" s="11">
        <v>71.0</v>
      </c>
      <c r="J191" s="12">
        <v>0.3861111111111111</v>
      </c>
      <c r="K191" s="13">
        <v>0.3923611111111111</v>
      </c>
      <c r="L191" s="11"/>
      <c r="M191" s="12"/>
      <c r="N191" s="13"/>
      <c r="O191" s="38"/>
      <c r="P191" s="12"/>
      <c r="Q191" s="13"/>
      <c r="R191" s="11"/>
      <c r="S191" s="18"/>
      <c r="T191" s="38"/>
      <c r="U191" s="11"/>
      <c r="V191" s="18"/>
      <c r="W191" s="38"/>
      <c r="X191" s="11"/>
      <c r="Y191" s="12"/>
      <c r="Z191" s="13"/>
      <c r="AA191" s="11">
        <v>71.0</v>
      </c>
      <c r="AB191" s="12">
        <v>0.8388888888888889</v>
      </c>
      <c r="AC191" s="13">
        <v>0.84375</v>
      </c>
      <c r="AD191" s="11"/>
      <c r="AE191" s="12"/>
      <c r="AF191" s="38"/>
      <c r="AG191" s="11">
        <v>60.0</v>
      </c>
      <c r="AH191" s="12">
        <v>0.014583333333333334</v>
      </c>
      <c r="AI191" s="13">
        <v>0.020833333333333332</v>
      </c>
      <c r="AJ191" s="11"/>
      <c r="AK191" s="12"/>
      <c r="AL191" s="38"/>
      <c r="AM191" s="11"/>
      <c r="AN191" s="12"/>
      <c r="AO191" s="38"/>
      <c r="AP191" s="11"/>
      <c r="AQ191" s="12"/>
      <c r="AR191" s="38"/>
      <c r="AS191" s="11"/>
      <c r="AT191" s="12"/>
      <c r="AU191" s="38"/>
      <c r="AV191" s="11"/>
      <c r="AW191" s="12"/>
      <c r="AX191" s="38"/>
      <c r="AY191" s="11"/>
      <c r="AZ191" s="18"/>
    </row>
    <row r="192" ht="15.75" customHeight="1">
      <c r="A192" s="7"/>
      <c r="B192" s="47">
        <v>723.0</v>
      </c>
      <c r="C192" s="11">
        <v>162.0</v>
      </c>
      <c r="D192" s="12">
        <v>0.2743055555555556</v>
      </c>
      <c r="E192" s="13">
        <v>0.275</v>
      </c>
      <c r="F192" s="64">
        <v>146.0</v>
      </c>
      <c r="G192" s="65">
        <v>0.3368055555555556</v>
      </c>
      <c r="H192" s="66">
        <v>0.3368055555555556</v>
      </c>
      <c r="I192" s="11">
        <v>137.0</v>
      </c>
      <c r="J192" s="12">
        <v>0.4083333333333333</v>
      </c>
      <c r="K192" s="13">
        <v>0.4215277777777778</v>
      </c>
      <c r="L192" s="11"/>
      <c r="M192" s="12"/>
      <c r="N192" s="13"/>
      <c r="O192" s="38"/>
      <c r="P192" s="12"/>
      <c r="Q192" s="13"/>
      <c r="R192" s="11"/>
      <c r="S192" s="18"/>
      <c r="T192" s="13"/>
      <c r="U192" s="11"/>
      <c r="V192" s="12"/>
      <c r="W192" s="13"/>
      <c r="X192" s="11"/>
      <c r="Y192" s="12"/>
      <c r="Z192" s="13"/>
      <c r="AA192" s="11">
        <v>136.0</v>
      </c>
      <c r="AB192" s="12">
        <v>0.9298611111111111</v>
      </c>
      <c r="AC192" s="13">
        <v>0.9333333333333333</v>
      </c>
      <c r="AD192" s="11"/>
      <c r="AE192" s="12"/>
      <c r="AF192" s="13"/>
      <c r="AG192" s="11"/>
      <c r="AH192" s="12"/>
      <c r="AI192" s="13"/>
      <c r="AJ192" s="11"/>
      <c r="AK192" s="12"/>
      <c r="AL192" s="13"/>
      <c r="AM192" s="11"/>
      <c r="AN192" s="12"/>
      <c r="AO192" s="13"/>
      <c r="AP192" s="11"/>
      <c r="AQ192" s="12"/>
      <c r="AR192" s="13"/>
      <c r="AS192" s="11"/>
      <c r="AT192" s="12"/>
      <c r="AU192" s="13"/>
      <c r="AV192" s="11"/>
      <c r="AW192" s="12"/>
      <c r="AX192" s="13"/>
      <c r="AY192" s="11"/>
      <c r="AZ192" s="18"/>
    </row>
    <row r="193" ht="15.75" customHeight="1">
      <c r="A193" s="7"/>
      <c r="B193" s="47">
        <v>726.0</v>
      </c>
      <c r="C193" s="11">
        <v>168.0</v>
      </c>
      <c r="D193" s="12">
        <v>0.2743055555555556</v>
      </c>
      <c r="E193" s="13">
        <v>0.275</v>
      </c>
      <c r="F193" s="64">
        <v>162.0</v>
      </c>
      <c r="G193" s="65">
        <v>0.3388888888888889</v>
      </c>
      <c r="H193" s="66">
        <v>0.3388888888888889</v>
      </c>
      <c r="I193" s="11">
        <v>158.0</v>
      </c>
      <c r="J193" s="12">
        <v>0.41458333333333336</v>
      </c>
      <c r="K193" s="13">
        <v>0.4236111111111111</v>
      </c>
      <c r="L193" s="11"/>
      <c r="M193" s="12"/>
      <c r="N193" s="13"/>
      <c r="O193" s="38"/>
      <c r="P193" s="12"/>
      <c r="Q193" s="13"/>
      <c r="R193" s="11"/>
      <c r="S193" s="18"/>
      <c r="T193" s="13"/>
      <c r="U193" s="11"/>
      <c r="V193" s="12"/>
      <c r="W193" s="13"/>
      <c r="X193" s="11"/>
      <c r="Y193" s="12"/>
      <c r="Z193" s="13"/>
      <c r="AA193" s="11"/>
      <c r="AB193" s="18"/>
      <c r="AC193" s="38"/>
      <c r="AD193" s="11"/>
      <c r="AE193" s="12"/>
      <c r="AF193" s="13"/>
      <c r="AG193" s="11"/>
      <c r="AH193" s="12"/>
      <c r="AI193" s="13"/>
      <c r="AJ193" s="11"/>
      <c r="AK193" s="12"/>
      <c r="AL193" s="13"/>
      <c r="AM193" s="11"/>
      <c r="AN193" s="12"/>
      <c r="AO193" s="13"/>
      <c r="AP193" s="11"/>
      <c r="AQ193" s="12"/>
      <c r="AR193" s="13"/>
      <c r="AS193" s="11"/>
      <c r="AT193" s="12"/>
      <c r="AU193" s="13"/>
      <c r="AV193" s="11"/>
      <c r="AW193" s="12"/>
      <c r="AX193" s="13"/>
      <c r="AY193" s="11"/>
      <c r="AZ193" s="12"/>
    </row>
    <row r="194" ht="15.75" customHeight="1">
      <c r="A194" s="7"/>
      <c r="B194" s="47">
        <v>727.0</v>
      </c>
      <c r="C194" s="11">
        <v>77.0</v>
      </c>
      <c r="D194" s="12">
        <v>0.2659722222222222</v>
      </c>
      <c r="E194" s="13">
        <v>0.26666666666666666</v>
      </c>
      <c r="F194" s="64">
        <v>78.0</v>
      </c>
      <c r="G194" s="65">
        <v>0.32083333333333336</v>
      </c>
      <c r="H194" s="66">
        <v>0.32083333333333336</v>
      </c>
      <c r="I194" s="11">
        <v>83.0</v>
      </c>
      <c r="J194" s="12">
        <v>0.38819444444444445</v>
      </c>
      <c r="K194" s="13">
        <v>0.39652777777777776</v>
      </c>
      <c r="L194" s="11"/>
      <c r="M194" s="12"/>
      <c r="N194" s="13"/>
      <c r="O194" s="38"/>
      <c r="P194" s="12"/>
      <c r="Q194" s="13"/>
      <c r="R194" s="11"/>
      <c r="S194" s="18"/>
      <c r="T194" s="38"/>
      <c r="U194" s="11"/>
      <c r="V194" s="18"/>
      <c r="W194" s="38"/>
      <c r="X194" s="11"/>
      <c r="Y194" s="12"/>
      <c r="Z194" s="13"/>
      <c r="AA194" s="11">
        <v>74.0</v>
      </c>
      <c r="AB194" s="12">
        <v>0.8402777777777778</v>
      </c>
      <c r="AC194" s="13">
        <v>0.8430555555555556</v>
      </c>
      <c r="AD194" s="11"/>
      <c r="AE194" s="12"/>
      <c r="AF194" s="38"/>
      <c r="AG194" s="11">
        <v>73.0</v>
      </c>
      <c r="AH194" s="12">
        <v>0.030555555555555555</v>
      </c>
      <c r="AI194" s="13">
        <v>0.0375</v>
      </c>
      <c r="AJ194" s="11"/>
      <c r="AK194" s="12"/>
      <c r="AL194" s="38"/>
      <c r="AM194" s="11"/>
      <c r="AN194" s="12"/>
      <c r="AO194" s="38"/>
      <c r="AP194" s="11"/>
      <c r="AQ194" s="12"/>
      <c r="AR194" s="38"/>
      <c r="AS194" s="11"/>
      <c r="AT194" s="12"/>
      <c r="AU194" s="38"/>
      <c r="AV194" s="11"/>
      <c r="AW194" s="12"/>
      <c r="AX194" s="38"/>
      <c r="AY194" s="11"/>
      <c r="AZ194" s="18"/>
    </row>
    <row r="195" ht="15.75" customHeight="1">
      <c r="A195" s="7"/>
      <c r="B195" s="47">
        <v>728.0</v>
      </c>
      <c r="C195" s="11">
        <v>60.0</v>
      </c>
      <c r="D195" s="12">
        <v>0.26319444444444445</v>
      </c>
      <c r="E195" s="13">
        <v>0.2638888888888889</v>
      </c>
      <c r="F195" s="64">
        <v>79.0</v>
      </c>
      <c r="G195" s="65">
        <v>0.32083333333333336</v>
      </c>
      <c r="H195" s="66">
        <v>0.32083333333333336</v>
      </c>
      <c r="I195" s="11">
        <v>34.0</v>
      </c>
      <c r="J195" s="12">
        <v>0.37083333333333335</v>
      </c>
      <c r="K195" s="13">
        <v>0.3736111111111111</v>
      </c>
      <c r="L195" s="11"/>
      <c r="M195" s="12"/>
      <c r="N195" s="13"/>
      <c r="O195" s="38"/>
      <c r="P195" s="12"/>
      <c r="Q195" s="13"/>
      <c r="R195" s="11"/>
      <c r="S195" s="18"/>
      <c r="T195" s="38"/>
      <c r="U195" s="11"/>
      <c r="V195" s="18"/>
      <c r="W195" s="38"/>
      <c r="X195" s="11"/>
      <c r="Y195" s="12"/>
      <c r="Z195" s="13"/>
      <c r="AA195" s="11">
        <v>27.0</v>
      </c>
      <c r="AB195" s="12">
        <v>0.7569444444444444</v>
      </c>
      <c r="AC195" s="13">
        <v>0.7611111111111111</v>
      </c>
      <c r="AD195" s="11"/>
      <c r="AE195" s="12"/>
      <c r="AF195" s="38"/>
      <c r="AG195" s="11">
        <v>25.0</v>
      </c>
      <c r="AH195" s="12">
        <v>0.9090277777777778</v>
      </c>
      <c r="AI195" s="13">
        <v>0.9125</v>
      </c>
      <c r="AJ195" s="11"/>
      <c r="AK195" s="12"/>
      <c r="AL195" s="38"/>
      <c r="AM195" s="11"/>
      <c r="AN195" s="12"/>
      <c r="AO195" s="38"/>
      <c r="AP195" s="11"/>
      <c r="AQ195" s="12"/>
      <c r="AR195" s="38"/>
      <c r="AS195" s="11"/>
      <c r="AT195" s="12"/>
      <c r="AU195" s="38"/>
      <c r="AV195" s="11"/>
      <c r="AW195" s="12"/>
      <c r="AX195" s="38"/>
      <c r="AY195" s="11"/>
      <c r="AZ195" s="18"/>
    </row>
    <row r="196" ht="15.75" customHeight="1">
      <c r="A196" s="7"/>
      <c r="B196" s="47">
        <v>729.0</v>
      </c>
      <c r="C196" s="11">
        <v>67.0</v>
      </c>
      <c r="D196" s="12">
        <v>0.2638888888888889</v>
      </c>
      <c r="E196" s="13">
        <v>0.26458333333333334</v>
      </c>
      <c r="F196" s="64">
        <v>72.0</v>
      </c>
      <c r="G196" s="65">
        <v>0.32083333333333336</v>
      </c>
      <c r="H196" s="66">
        <v>0.32083333333333336</v>
      </c>
      <c r="I196" s="11">
        <v>63.0</v>
      </c>
      <c r="J196" s="12">
        <v>0.3840277777777778</v>
      </c>
      <c r="K196" s="13">
        <v>0.3861111111111111</v>
      </c>
      <c r="L196" s="11"/>
      <c r="M196" s="12"/>
      <c r="N196" s="13"/>
      <c r="O196" s="38"/>
      <c r="P196" s="12"/>
      <c r="Q196" s="13"/>
      <c r="R196" s="11"/>
      <c r="S196" s="18"/>
      <c r="T196" s="38"/>
      <c r="U196" s="11"/>
      <c r="V196" s="18"/>
      <c r="W196" s="38"/>
      <c r="X196" s="11"/>
      <c r="Y196" s="12"/>
      <c r="Z196" s="13"/>
      <c r="AA196" s="11">
        <v>45.0</v>
      </c>
      <c r="AB196" s="12">
        <v>0.7902777777777777</v>
      </c>
      <c r="AC196" s="13">
        <v>0.7923611111111111</v>
      </c>
      <c r="AD196" s="11"/>
      <c r="AE196" s="12"/>
      <c r="AF196" s="38"/>
      <c r="AG196" s="11">
        <v>39.0</v>
      </c>
      <c r="AH196" s="12">
        <v>0.9576388888888889</v>
      </c>
      <c r="AI196" s="13">
        <v>0.9618055555555556</v>
      </c>
      <c r="AJ196" s="11"/>
      <c r="AK196" s="12"/>
      <c r="AL196" s="38"/>
      <c r="AM196" s="11"/>
      <c r="AN196" s="12"/>
      <c r="AO196" s="38"/>
      <c r="AP196" s="11"/>
      <c r="AQ196" s="12"/>
      <c r="AR196" s="38"/>
      <c r="AS196" s="11"/>
      <c r="AT196" s="12"/>
      <c r="AU196" s="38"/>
      <c r="AV196" s="11"/>
      <c r="AW196" s="12"/>
      <c r="AX196" s="38"/>
      <c r="AY196" s="11"/>
      <c r="AZ196" s="18"/>
    </row>
    <row r="197" ht="15.75" customHeight="1">
      <c r="A197" s="7"/>
      <c r="B197" s="47">
        <v>730.0</v>
      </c>
      <c r="C197" s="11">
        <v>59.0</v>
      </c>
      <c r="D197" s="12">
        <v>0.26319444444444445</v>
      </c>
      <c r="E197" s="13">
        <v>0.2638888888888889</v>
      </c>
      <c r="F197" s="64">
        <v>67.0</v>
      </c>
      <c r="G197" s="65">
        <v>0.31875</v>
      </c>
      <c r="H197" s="66">
        <v>0.31875</v>
      </c>
      <c r="I197" s="11">
        <v>70.0</v>
      </c>
      <c r="J197" s="12">
        <v>0.3861111111111111</v>
      </c>
      <c r="K197" s="13">
        <v>0.3902777777777778</v>
      </c>
      <c r="L197" s="11"/>
      <c r="M197" s="12"/>
      <c r="N197" s="13"/>
      <c r="O197" s="38"/>
      <c r="P197" s="12"/>
      <c r="Q197" s="13"/>
      <c r="R197" s="11"/>
      <c r="S197" s="18"/>
      <c r="T197" s="38"/>
      <c r="U197" s="11"/>
      <c r="V197" s="18"/>
      <c r="W197" s="38"/>
      <c r="X197" s="11"/>
      <c r="Y197" s="12"/>
      <c r="Z197" s="13"/>
      <c r="AA197" s="11">
        <v>98.0</v>
      </c>
      <c r="AB197" s="12">
        <v>0.8819444444444444</v>
      </c>
      <c r="AC197" s="13">
        <v>0.8826388888888889</v>
      </c>
      <c r="AD197" s="11"/>
      <c r="AE197" s="12"/>
      <c r="AF197" s="38"/>
      <c r="AG197" s="11">
        <v>85.0</v>
      </c>
      <c r="AH197" s="12">
        <v>0.06458333333333334</v>
      </c>
      <c r="AI197" s="13">
        <v>0.06944444444444445</v>
      </c>
      <c r="AJ197" s="11"/>
      <c r="AK197" s="12"/>
      <c r="AL197" s="38"/>
      <c r="AM197" s="11"/>
      <c r="AN197" s="12"/>
      <c r="AO197" s="38"/>
      <c r="AP197" s="11"/>
      <c r="AQ197" s="12"/>
      <c r="AR197" s="38"/>
      <c r="AS197" s="11"/>
      <c r="AT197" s="12"/>
      <c r="AU197" s="38"/>
      <c r="AV197" s="11"/>
      <c r="AW197" s="12"/>
      <c r="AX197" s="38"/>
      <c r="AY197" s="11"/>
      <c r="AZ197" s="18"/>
    </row>
    <row r="198" ht="15.75" customHeight="1">
      <c r="A198" s="7"/>
      <c r="B198" s="47">
        <v>731.0</v>
      </c>
      <c r="C198" s="11">
        <v>24.0</v>
      </c>
      <c r="D198" s="12">
        <v>0.2590277777777778</v>
      </c>
      <c r="E198" s="13">
        <v>0.25972222222222224</v>
      </c>
      <c r="F198" s="64">
        <v>30.0</v>
      </c>
      <c r="G198" s="65">
        <v>0.30694444444444446</v>
      </c>
      <c r="H198" s="66">
        <v>0.30694444444444446</v>
      </c>
      <c r="I198" s="11">
        <v>30.0</v>
      </c>
      <c r="J198" s="12">
        <v>0.36736111111111114</v>
      </c>
      <c r="K198" s="13">
        <v>0.36875</v>
      </c>
      <c r="L198" s="11"/>
      <c r="M198" s="12"/>
      <c r="N198" s="13"/>
      <c r="O198" s="38"/>
      <c r="P198" s="12"/>
      <c r="Q198" s="13"/>
      <c r="R198" s="11"/>
      <c r="S198" s="18"/>
      <c r="T198" s="13"/>
      <c r="U198" s="11"/>
      <c r="V198" s="12"/>
      <c r="W198" s="38"/>
      <c r="X198" s="11"/>
      <c r="Y198" s="12"/>
      <c r="Z198" s="38"/>
      <c r="AA198" s="11">
        <v>12.0</v>
      </c>
      <c r="AB198" s="12">
        <v>0.7368055555555556</v>
      </c>
      <c r="AC198" s="13">
        <v>0.7375</v>
      </c>
      <c r="AD198" s="11"/>
      <c r="AE198" s="12"/>
      <c r="AF198" s="38"/>
      <c r="AG198" s="11">
        <v>13.0</v>
      </c>
      <c r="AH198" s="12">
        <v>0.875</v>
      </c>
      <c r="AI198" s="13">
        <v>0.8770833333333333</v>
      </c>
      <c r="AJ198" s="11"/>
      <c r="AK198" s="12"/>
      <c r="AL198" s="38"/>
      <c r="AM198" s="11"/>
      <c r="AN198" s="12"/>
      <c r="AO198" s="38"/>
      <c r="AP198" s="11"/>
      <c r="AQ198" s="12"/>
      <c r="AR198" s="38"/>
      <c r="AS198" s="11"/>
      <c r="AT198" s="12"/>
      <c r="AU198" s="38"/>
      <c r="AV198" s="11"/>
      <c r="AW198" s="12"/>
      <c r="AX198" s="38"/>
      <c r="AY198" s="11"/>
      <c r="AZ198" s="12"/>
    </row>
    <row r="199" ht="15.75" customHeight="1">
      <c r="A199" s="7"/>
      <c r="B199" s="47">
        <v>732.0</v>
      </c>
      <c r="C199" s="11">
        <v>153.0</v>
      </c>
      <c r="D199" s="12">
        <v>0.2743055555555556</v>
      </c>
      <c r="E199" s="13">
        <v>0.275</v>
      </c>
      <c r="F199" s="64">
        <v>119.0</v>
      </c>
      <c r="G199" s="65">
        <v>0.3298611111111111</v>
      </c>
      <c r="H199" s="66">
        <v>0.3298611111111111</v>
      </c>
      <c r="I199" s="11">
        <v>109.0</v>
      </c>
      <c r="J199" s="12">
        <v>0.4</v>
      </c>
      <c r="K199" s="13">
        <v>0.4076388888888889</v>
      </c>
      <c r="L199" s="11"/>
      <c r="M199" s="12"/>
      <c r="N199" s="13"/>
      <c r="O199" s="38"/>
      <c r="P199" s="12"/>
      <c r="Q199" s="13"/>
      <c r="R199" s="11"/>
      <c r="S199" s="18"/>
      <c r="T199" s="13"/>
      <c r="U199" s="11"/>
      <c r="V199" s="12"/>
      <c r="W199" s="13"/>
      <c r="X199" s="11"/>
      <c r="Y199" s="12"/>
      <c r="Z199" s="13"/>
      <c r="AA199" s="11">
        <v>94.0</v>
      </c>
      <c r="AB199" s="12">
        <v>0.86875</v>
      </c>
      <c r="AC199" s="13">
        <v>0.8722222222222222</v>
      </c>
      <c r="AD199" s="11"/>
      <c r="AE199" s="12"/>
      <c r="AF199" s="13"/>
      <c r="AG199" s="11">
        <v>107.0</v>
      </c>
      <c r="AH199" s="12">
        <v>0.10625</v>
      </c>
      <c r="AI199" s="13">
        <v>0.13125</v>
      </c>
      <c r="AJ199" s="11"/>
      <c r="AK199" s="12"/>
      <c r="AL199" s="13"/>
      <c r="AM199" s="11"/>
      <c r="AN199" s="12"/>
      <c r="AO199" s="13"/>
      <c r="AP199" s="11"/>
      <c r="AQ199" s="12"/>
      <c r="AR199" s="13"/>
      <c r="AS199" s="11"/>
      <c r="AT199" s="12"/>
      <c r="AU199" s="13"/>
      <c r="AV199" s="11"/>
      <c r="AW199" s="12"/>
      <c r="AX199" s="13"/>
      <c r="AY199" s="11"/>
      <c r="AZ199" s="12"/>
    </row>
    <row r="200" ht="15.75" customHeight="1">
      <c r="A200" s="7"/>
      <c r="B200" s="47">
        <v>733.0</v>
      </c>
      <c r="C200" s="11">
        <v>110.0</v>
      </c>
      <c r="D200" s="12">
        <v>0.26944444444444443</v>
      </c>
      <c r="E200" s="13">
        <v>0.2701388888888889</v>
      </c>
      <c r="F200" s="64">
        <v>127.0</v>
      </c>
      <c r="G200" s="65">
        <v>0.33194444444444443</v>
      </c>
      <c r="H200" s="66">
        <v>0.33194444444444443</v>
      </c>
      <c r="I200" s="11">
        <v>141.0</v>
      </c>
      <c r="J200" s="12">
        <v>0.4097222222222222</v>
      </c>
      <c r="K200" s="13">
        <v>0.425</v>
      </c>
      <c r="L200" s="11"/>
      <c r="M200" s="12"/>
      <c r="N200" s="13"/>
      <c r="O200" s="38"/>
      <c r="P200" s="12"/>
      <c r="Q200" s="13"/>
      <c r="R200" s="11"/>
      <c r="S200" s="18"/>
      <c r="T200" s="38"/>
      <c r="U200" s="11"/>
      <c r="V200" s="18"/>
      <c r="W200" s="38"/>
      <c r="X200" s="11"/>
      <c r="Y200" s="12"/>
      <c r="Z200" s="13"/>
      <c r="AA200" s="11">
        <v>158.0</v>
      </c>
      <c r="AB200" s="12">
        <v>0.9652777777777778</v>
      </c>
      <c r="AC200" s="13">
        <v>0.9701388888888889</v>
      </c>
      <c r="AD200" s="11"/>
      <c r="AE200" s="18"/>
      <c r="AF200" s="38"/>
      <c r="AG200" s="11">
        <v>149.0</v>
      </c>
      <c r="AH200" s="12">
        <v>0.2222222222222222</v>
      </c>
      <c r="AI200" s="38" t="s">
        <v>178</v>
      </c>
      <c r="AJ200" s="11"/>
      <c r="AK200" s="12"/>
      <c r="AL200" s="13"/>
      <c r="AM200" s="11"/>
      <c r="AN200" s="12"/>
      <c r="AO200" s="13"/>
      <c r="AP200" s="11"/>
      <c r="AQ200" s="12"/>
      <c r="AR200" s="13"/>
      <c r="AS200" s="11"/>
      <c r="AT200" s="12"/>
      <c r="AU200" s="13"/>
      <c r="AV200" s="11"/>
      <c r="AW200" s="12"/>
      <c r="AX200" s="13"/>
      <c r="AY200" s="11"/>
      <c r="AZ200" s="12"/>
    </row>
    <row r="201" ht="15.75" customHeight="1">
      <c r="A201" s="7"/>
      <c r="B201" s="47">
        <v>734.0</v>
      </c>
      <c r="C201" s="11">
        <v>89.0</v>
      </c>
      <c r="D201" s="12">
        <v>0.2673611111111111</v>
      </c>
      <c r="E201" s="13">
        <v>0.26805555555555555</v>
      </c>
      <c r="F201" s="64">
        <v>68.0</v>
      </c>
      <c r="G201" s="65">
        <v>0.3194444444444444</v>
      </c>
      <c r="H201" s="66">
        <v>0.3194444444444444</v>
      </c>
      <c r="I201" s="11">
        <v>65.0</v>
      </c>
      <c r="J201" s="12">
        <v>0.38472222222222224</v>
      </c>
      <c r="K201" s="13">
        <v>0.38819444444444445</v>
      </c>
      <c r="L201" s="11"/>
      <c r="M201" s="18"/>
      <c r="N201" s="38"/>
      <c r="O201" s="38"/>
      <c r="P201" s="12"/>
      <c r="Q201" s="13"/>
      <c r="R201" s="11"/>
      <c r="S201" s="18"/>
      <c r="T201" s="38"/>
      <c r="U201" s="11"/>
      <c r="V201" s="18"/>
      <c r="W201" s="38"/>
      <c r="X201" s="11"/>
      <c r="Y201" s="12"/>
      <c r="Z201" s="13"/>
      <c r="AA201" s="18">
        <v>85.0</v>
      </c>
      <c r="AB201" s="12">
        <v>0.85625</v>
      </c>
      <c r="AC201" s="12">
        <v>0.8625</v>
      </c>
      <c r="AD201" s="11"/>
      <c r="AE201" s="18"/>
      <c r="AF201" s="38"/>
      <c r="AG201" s="11">
        <v>88.0</v>
      </c>
      <c r="AH201" s="12">
        <v>0.07013888888888889</v>
      </c>
      <c r="AI201" s="13">
        <v>0.07777777777777778</v>
      </c>
      <c r="AJ201" s="11"/>
      <c r="AK201" s="12"/>
      <c r="AL201" s="13"/>
      <c r="AM201" s="11"/>
      <c r="AN201" s="12"/>
      <c r="AO201" s="13"/>
      <c r="AP201" s="11"/>
      <c r="AQ201" s="12"/>
      <c r="AR201" s="13"/>
      <c r="AS201" s="11"/>
      <c r="AT201" s="12"/>
      <c r="AU201" s="13"/>
      <c r="AV201" s="11"/>
      <c r="AW201" s="12"/>
      <c r="AX201" s="13"/>
      <c r="AY201" s="11"/>
      <c r="AZ201" s="18"/>
    </row>
    <row r="202" ht="15.75" customHeight="1">
      <c r="A202" s="7"/>
      <c r="B202" s="47">
        <v>736.0</v>
      </c>
      <c r="C202" s="11">
        <v>5.0</v>
      </c>
      <c r="D202" s="12">
        <v>0.2513888888888889</v>
      </c>
      <c r="E202" s="13">
        <v>0.2520833333333333</v>
      </c>
      <c r="F202" s="64">
        <v>3.0</v>
      </c>
      <c r="G202" s="65">
        <v>0.2923611111111111</v>
      </c>
      <c r="H202" s="66">
        <v>0.2923611111111111</v>
      </c>
      <c r="I202" s="11">
        <v>1.0</v>
      </c>
      <c r="J202" s="12">
        <v>0.33958333333333335</v>
      </c>
      <c r="K202" s="13">
        <v>0.34375</v>
      </c>
      <c r="L202" s="11"/>
      <c r="M202" s="18"/>
      <c r="N202" s="38"/>
      <c r="O202" s="38"/>
      <c r="P202" s="12"/>
      <c r="Q202" s="13"/>
      <c r="R202" s="11"/>
      <c r="S202" s="18"/>
      <c r="T202" s="38"/>
      <c r="U202" s="11"/>
      <c r="V202" s="18"/>
      <c r="W202" s="38"/>
      <c r="X202" s="11"/>
      <c r="Y202" s="12"/>
      <c r="Z202" s="13"/>
      <c r="AA202" s="11">
        <v>13.0</v>
      </c>
      <c r="AB202" s="12">
        <v>0.7381944444444445</v>
      </c>
      <c r="AC202" s="13">
        <v>0.7472222222222222</v>
      </c>
      <c r="AD202" s="11"/>
      <c r="AE202" s="18"/>
      <c r="AF202" s="38"/>
      <c r="AG202" s="11">
        <v>16.0</v>
      </c>
      <c r="AH202" s="12">
        <v>0.8951388888888889</v>
      </c>
      <c r="AI202" s="13">
        <v>0.9013888888888889</v>
      </c>
      <c r="AJ202" s="11"/>
      <c r="AK202" s="18"/>
      <c r="AL202" s="38"/>
      <c r="AM202" s="11"/>
      <c r="AN202" s="18"/>
      <c r="AO202" s="38"/>
      <c r="AP202" s="11"/>
      <c r="AQ202" s="18"/>
      <c r="AR202" s="38"/>
      <c r="AS202" s="11"/>
      <c r="AT202" s="18"/>
      <c r="AU202" s="38"/>
      <c r="AV202" s="11"/>
      <c r="AW202" s="18"/>
      <c r="AX202" s="38"/>
      <c r="AY202" s="11"/>
      <c r="AZ202" s="18"/>
    </row>
    <row r="203" ht="15.75" customHeight="1">
      <c r="A203" s="7"/>
      <c r="B203" s="47">
        <v>737.0</v>
      </c>
      <c r="C203" s="11">
        <v>154.0</v>
      </c>
      <c r="D203" s="12">
        <v>0.2743055555555556</v>
      </c>
      <c r="E203" s="13">
        <v>0.275</v>
      </c>
      <c r="F203" s="64">
        <v>156.0</v>
      </c>
      <c r="G203" s="65">
        <v>0.33819444444444446</v>
      </c>
      <c r="H203" s="66">
        <v>0.33819444444444446</v>
      </c>
      <c r="I203" s="11">
        <v>139.0</v>
      </c>
      <c r="J203" s="12">
        <v>0.4097222222222222</v>
      </c>
      <c r="K203" s="13">
        <v>0.4125</v>
      </c>
      <c r="L203" s="11"/>
      <c r="M203" s="18"/>
      <c r="N203" s="38"/>
      <c r="O203" s="38"/>
      <c r="P203" s="12"/>
      <c r="Q203" s="13"/>
      <c r="R203" s="11"/>
      <c r="S203" s="18"/>
      <c r="T203" s="38"/>
      <c r="U203" s="11"/>
      <c r="V203" s="18"/>
      <c r="W203" s="38"/>
      <c r="X203" s="11"/>
      <c r="Y203" s="12"/>
      <c r="Z203" s="13"/>
      <c r="AA203" s="11">
        <v>106.0</v>
      </c>
      <c r="AB203" s="12">
        <v>0.8916666666666667</v>
      </c>
      <c r="AC203" s="13">
        <v>0.8902777777777777</v>
      </c>
      <c r="AD203" s="11"/>
      <c r="AE203" s="18"/>
      <c r="AF203" s="38"/>
      <c r="AG203" s="11">
        <v>89.0</v>
      </c>
      <c r="AH203" s="12">
        <v>0.07083333333333333</v>
      </c>
      <c r="AI203" s="13">
        <v>0.07291666666666667</v>
      </c>
      <c r="AJ203" s="11"/>
      <c r="AK203" s="12"/>
      <c r="AL203" s="13"/>
      <c r="AM203" s="11"/>
      <c r="AN203" s="12"/>
      <c r="AO203" s="13"/>
      <c r="AP203" s="11"/>
      <c r="AQ203" s="12"/>
      <c r="AR203" s="13"/>
      <c r="AS203" s="11"/>
      <c r="AT203" s="12"/>
      <c r="AU203" s="13"/>
      <c r="AV203" s="11"/>
      <c r="AW203" s="12"/>
      <c r="AX203" s="38"/>
      <c r="AY203" s="11"/>
      <c r="AZ203" s="12"/>
    </row>
    <row r="204" ht="15.75" customHeight="1">
      <c r="A204" s="7"/>
      <c r="B204" s="47">
        <v>738.0</v>
      </c>
      <c r="C204" s="11">
        <v>140.0</v>
      </c>
      <c r="D204" s="12">
        <v>0.27152777777777776</v>
      </c>
      <c r="E204" s="13">
        <v>0.2722222222222222</v>
      </c>
      <c r="F204" s="64">
        <v>137.0</v>
      </c>
      <c r="G204" s="65">
        <v>0.33402777777777776</v>
      </c>
      <c r="H204" s="66">
        <v>0.33402777777777776</v>
      </c>
      <c r="I204" s="11">
        <v>175.0</v>
      </c>
      <c r="J204" s="12">
        <v>0.42430555555555555</v>
      </c>
      <c r="K204" s="13">
        <v>0.4284722222222222</v>
      </c>
      <c r="L204" s="11"/>
      <c r="M204" s="18"/>
      <c r="N204" s="38"/>
      <c r="O204" s="38"/>
      <c r="P204" s="12"/>
      <c r="Q204" s="13"/>
      <c r="R204" s="11"/>
      <c r="S204" s="18"/>
      <c r="T204" s="38"/>
      <c r="U204" s="11"/>
      <c r="V204" s="12"/>
      <c r="W204" s="13"/>
      <c r="X204" s="11"/>
      <c r="Y204" s="12"/>
      <c r="Z204" s="38"/>
      <c r="AA204" s="11">
        <v>172.0</v>
      </c>
      <c r="AB204" s="12">
        <v>1.023611111111111</v>
      </c>
      <c r="AC204" s="13">
        <v>1.0229166666666667</v>
      </c>
      <c r="AD204" s="11"/>
      <c r="AE204" s="12"/>
      <c r="AF204" s="38"/>
      <c r="AG204" s="11"/>
      <c r="AH204" s="12"/>
      <c r="AI204" s="38"/>
      <c r="AJ204" s="11"/>
      <c r="AK204" s="12"/>
      <c r="AL204" s="38"/>
      <c r="AM204" s="11"/>
      <c r="AN204" s="12"/>
      <c r="AO204" s="38"/>
      <c r="AP204" s="11"/>
      <c r="AQ204" s="12"/>
      <c r="AR204" s="38"/>
      <c r="AS204" s="11"/>
      <c r="AT204" s="12"/>
      <c r="AU204" s="38"/>
      <c r="AV204" s="11"/>
      <c r="AW204" s="12"/>
      <c r="AX204" s="38"/>
      <c r="AY204" s="11"/>
      <c r="AZ204" s="12"/>
    </row>
    <row r="205" ht="15.75" customHeight="1">
      <c r="A205" s="7"/>
      <c r="B205" s="47">
        <v>739.0</v>
      </c>
      <c r="C205" s="11">
        <v>146.0</v>
      </c>
      <c r="D205" s="12">
        <v>0.27152777777777776</v>
      </c>
      <c r="E205" s="13">
        <v>0.2722222222222222</v>
      </c>
      <c r="F205" s="83">
        <v>199.0</v>
      </c>
      <c r="G205" s="65">
        <v>0.3770833333333333</v>
      </c>
      <c r="H205" s="66">
        <v>0.3770833333333333</v>
      </c>
      <c r="I205" s="11">
        <v>131.0</v>
      </c>
      <c r="J205" s="12">
        <v>0.40555555555555556</v>
      </c>
      <c r="K205" s="13">
        <v>0.4097222222222222</v>
      </c>
      <c r="L205" s="11"/>
      <c r="M205" s="12"/>
      <c r="N205" s="13"/>
      <c r="O205" s="18"/>
      <c r="P205" s="12"/>
      <c r="Q205" s="12"/>
      <c r="R205" s="11"/>
      <c r="S205" s="18"/>
      <c r="T205" s="13"/>
      <c r="U205" s="11"/>
      <c r="V205" s="12"/>
      <c r="W205" s="13"/>
      <c r="X205" s="11"/>
      <c r="Y205" s="12"/>
      <c r="Z205" s="13"/>
      <c r="AA205" s="11">
        <v>113.0</v>
      </c>
      <c r="AB205" s="12">
        <v>0.9027777777777778</v>
      </c>
      <c r="AC205" s="13">
        <v>0.9083333333333333</v>
      </c>
      <c r="AD205" s="11"/>
      <c r="AE205" s="12"/>
      <c r="AF205" s="13"/>
      <c r="AG205" s="11">
        <v>105.0</v>
      </c>
      <c r="AH205" s="12">
        <v>0.09930555555555555</v>
      </c>
      <c r="AI205" s="13">
        <v>0.10416666666666667</v>
      </c>
      <c r="AJ205" s="11"/>
      <c r="AK205" s="12"/>
      <c r="AL205" s="13"/>
      <c r="AM205" s="11"/>
      <c r="AN205" s="12"/>
      <c r="AO205" s="13"/>
      <c r="AP205" s="11"/>
      <c r="AQ205" s="12"/>
      <c r="AR205" s="13"/>
      <c r="AS205" s="11"/>
      <c r="AT205" s="12"/>
      <c r="AU205" s="13"/>
      <c r="AV205" s="11"/>
      <c r="AW205" s="12"/>
      <c r="AX205" s="13"/>
      <c r="AY205" s="11"/>
      <c r="AZ205" s="12"/>
    </row>
    <row r="206" ht="15.75" customHeight="1">
      <c r="A206" s="7"/>
      <c r="B206" s="74"/>
      <c r="C206" s="11"/>
      <c r="D206" s="18"/>
      <c r="E206" s="38"/>
      <c r="F206" s="73"/>
      <c r="G206" s="67"/>
      <c r="H206" s="72"/>
      <c r="I206" s="11"/>
      <c r="J206" s="18"/>
      <c r="K206" s="38"/>
      <c r="L206" s="11"/>
      <c r="M206" s="18"/>
      <c r="N206" s="38"/>
      <c r="O206" s="11"/>
      <c r="P206" s="18"/>
      <c r="Q206" s="38"/>
      <c r="R206" s="11"/>
      <c r="S206" s="18"/>
      <c r="T206" s="38"/>
      <c r="U206" s="11"/>
      <c r="V206" s="18"/>
      <c r="W206" s="38"/>
      <c r="X206" s="11"/>
      <c r="Y206" s="18"/>
      <c r="Z206" s="38"/>
      <c r="AA206" s="11"/>
      <c r="AB206" s="18"/>
      <c r="AC206" s="38"/>
      <c r="AD206" s="11"/>
      <c r="AE206" s="18"/>
      <c r="AF206" s="38"/>
      <c r="AG206" s="11"/>
      <c r="AH206" s="18"/>
      <c r="AI206" s="38"/>
      <c r="AJ206" s="11"/>
      <c r="AK206" s="18"/>
      <c r="AL206" s="38"/>
      <c r="AM206" s="11"/>
      <c r="AN206" s="18"/>
      <c r="AO206" s="38"/>
      <c r="AP206" s="11"/>
      <c r="AQ206" s="18"/>
      <c r="AR206" s="38"/>
      <c r="AS206" s="11"/>
      <c r="AT206" s="18"/>
      <c r="AU206" s="38"/>
      <c r="AV206" s="11"/>
      <c r="AW206" s="18"/>
      <c r="AX206" s="38"/>
      <c r="AY206" s="11"/>
      <c r="AZ206" s="18"/>
    </row>
    <row r="207" ht="15.75" customHeight="1">
      <c r="A207" s="7"/>
      <c r="B207" s="74"/>
      <c r="C207" s="11"/>
      <c r="D207" s="18"/>
      <c r="E207" s="38"/>
      <c r="F207" s="73"/>
      <c r="G207" s="67"/>
      <c r="H207" s="72"/>
      <c r="I207" s="11"/>
      <c r="J207" s="18"/>
      <c r="K207" s="38"/>
      <c r="L207" s="11"/>
      <c r="M207" s="18"/>
      <c r="N207" s="38"/>
      <c r="O207" s="11"/>
      <c r="P207" s="18"/>
      <c r="Q207" s="38"/>
      <c r="R207" s="11"/>
      <c r="S207" s="18"/>
      <c r="T207" s="38"/>
      <c r="U207" s="11"/>
      <c r="V207" s="18"/>
      <c r="W207" s="38"/>
      <c r="X207" s="11"/>
      <c r="Y207" s="18"/>
      <c r="Z207" s="38"/>
      <c r="AA207" s="11"/>
      <c r="AB207" s="18"/>
      <c r="AC207" s="38"/>
      <c r="AD207" s="11"/>
      <c r="AE207" s="18"/>
      <c r="AF207" s="38"/>
      <c r="AG207" s="11"/>
      <c r="AH207" s="18"/>
      <c r="AI207" s="38"/>
      <c r="AJ207" s="11"/>
      <c r="AK207" s="18"/>
      <c r="AL207" s="38"/>
      <c r="AM207" s="11"/>
      <c r="AN207" s="18"/>
      <c r="AO207" s="38"/>
      <c r="AP207" s="11"/>
      <c r="AQ207" s="18"/>
      <c r="AR207" s="38"/>
      <c r="AS207" s="11"/>
      <c r="AT207" s="18"/>
      <c r="AU207" s="38"/>
      <c r="AV207" s="11"/>
      <c r="AW207" s="18"/>
      <c r="AX207" s="38"/>
      <c r="AY207" s="11"/>
      <c r="AZ207" s="18"/>
    </row>
    <row r="208" ht="15.75" customHeight="1">
      <c r="A208" s="7"/>
      <c r="B208" s="74"/>
      <c r="C208" s="18"/>
      <c r="D208" s="18"/>
      <c r="E208" s="18"/>
      <c r="F208" s="67"/>
      <c r="G208" s="67"/>
      <c r="H208" s="67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ht="15.75" customHeight="1">
      <c r="A209" s="7"/>
      <c r="B209" s="74"/>
      <c r="C209" s="18"/>
      <c r="D209" s="18"/>
      <c r="E209" s="18"/>
      <c r="F209" s="67"/>
      <c r="G209" s="67"/>
      <c r="H209" s="67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ht="15.75" customHeight="1">
      <c r="A210" s="7"/>
      <c r="B210" s="74"/>
      <c r="C210" s="18"/>
      <c r="D210" s="18"/>
      <c r="E210" s="18"/>
      <c r="F210" s="67"/>
      <c r="G210" s="67"/>
      <c r="H210" s="67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ht="15.75" customHeight="1">
      <c r="A211" s="7"/>
      <c r="B211" s="74"/>
      <c r="C211" s="18"/>
      <c r="D211" s="18"/>
      <c r="E211" s="18"/>
      <c r="F211" s="67"/>
      <c r="G211" s="67"/>
      <c r="H211" s="67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ht="15.75" customHeight="1">
      <c r="A212" s="7"/>
      <c r="B212" s="74"/>
      <c r="C212" s="18"/>
      <c r="D212" s="18"/>
      <c r="E212" s="18"/>
      <c r="F212" s="67"/>
      <c r="G212" s="67"/>
      <c r="H212" s="67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ht="15.75" customHeight="1">
      <c r="A213" s="7"/>
      <c r="B213" s="74"/>
      <c r="C213" s="18"/>
      <c r="D213" s="18"/>
      <c r="E213" s="18"/>
      <c r="F213" s="67"/>
      <c r="G213" s="67"/>
      <c r="H213" s="67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ht="15.75" customHeight="1">
      <c r="A214" s="7"/>
      <c r="B214" s="74"/>
      <c r="C214" s="18"/>
      <c r="D214" s="18"/>
      <c r="E214" s="18"/>
      <c r="F214" s="67"/>
      <c r="G214" s="67"/>
      <c r="H214" s="67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ht="15.75" customHeight="1">
      <c r="A215" s="7"/>
      <c r="B215" s="74"/>
      <c r="C215" s="18"/>
      <c r="D215" s="18"/>
      <c r="E215" s="18"/>
      <c r="F215" s="67"/>
      <c r="G215" s="67"/>
      <c r="H215" s="67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ht="15.75" customHeight="1">
      <c r="A216" s="7"/>
      <c r="B216" s="74"/>
      <c r="C216" s="18"/>
      <c r="D216" s="18"/>
      <c r="E216" s="18"/>
      <c r="F216" s="67"/>
      <c r="G216" s="67"/>
      <c r="H216" s="67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ht="15.75" customHeight="1">
      <c r="A217" s="7"/>
      <c r="B217" s="74"/>
      <c r="C217" s="18"/>
      <c r="D217" s="18"/>
      <c r="E217" s="18"/>
      <c r="F217" s="67"/>
      <c r="G217" s="67"/>
      <c r="H217" s="67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ht="15.75" customHeight="1">
      <c r="A218" s="7"/>
      <c r="B218" s="74"/>
      <c r="C218" s="18"/>
      <c r="D218" s="18"/>
      <c r="E218" s="18"/>
      <c r="F218" s="67"/>
      <c r="G218" s="67"/>
      <c r="H218" s="67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ht="15.75" customHeight="1">
      <c r="A219" s="7"/>
      <c r="B219" s="74"/>
      <c r="C219" s="18"/>
      <c r="D219" s="18"/>
      <c r="E219" s="18"/>
      <c r="F219" s="67"/>
      <c r="G219" s="67"/>
      <c r="H219" s="67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ht="15.75" customHeight="1">
      <c r="A220" s="7"/>
      <c r="B220" s="74"/>
      <c r="C220" s="18"/>
      <c r="D220" s="18"/>
      <c r="E220" s="18"/>
      <c r="F220" s="67"/>
      <c r="G220" s="67"/>
      <c r="H220" s="67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ht="15.75" customHeight="1">
      <c r="A221" s="7"/>
      <c r="B221" s="74"/>
      <c r="C221" s="18"/>
      <c r="D221" s="18"/>
      <c r="E221" s="18"/>
      <c r="F221" s="67"/>
      <c r="G221" s="67"/>
      <c r="H221" s="67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ht="15.75" customHeight="1">
      <c r="A222" s="7"/>
      <c r="B222" s="74"/>
      <c r="C222" s="18"/>
      <c r="D222" s="18"/>
      <c r="E222" s="18"/>
      <c r="F222" s="67"/>
      <c r="G222" s="67"/>
      <c r="H222" s="67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ht="15.75" customHeight="1">
      <c r="A223" s="7"/>
      <c r="B223" s="74"/>
      <c r="C223" s="18"/>
      <c r="D223" s="18"/>
      <c r="E223" s="18"/>
      <c r="F223" s="67"/>
      <c r="G223" s="67"/>
      <c r="H223" s="67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ht="15.75" customHeight="1">
      <c r="A224" s="7"/>
      <c r="B224" s="74"/>
      <c r="C224" s="18"/>
      <c r="D224" s="18"/>
      <c r="E224" s="18"/>
      <c r="F224" s="67"/>
      <c r="G224" s="67"/>
      <c r="H224" s="67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ht="15.75" customHeight="1">
      <c r="A225" s="7"/>
      <c r="B225" s="74"/>
      <c r="C225" s="18"/>
      <c r="D225" s="18"/>
      <c r="E225" s="18"/>
      <c r="F225" s="67"/>
      <c r="G225" s="67"/>
      <c r="H225" s="67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ht="15.75" customHeight="1">
      <c r="A226" s="7"/>
      <c r="B226" s="74"/>
      <c r="C226" s="18"/>
      <c r="D226" s="18"/>
      <c r="E226" s="18"/>
      <c r="F226" s="67"/>
      <c r="G226" s="67"/>
      <c r="H226" s="67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ht="15.75" customHeight="1">
      <c r="A227" s="7"/>
      <c r="B227" s="74"/>
      <c r="C227" s="18"/>
      <c r="D227" s="18"/>
      <c r="E227" s="18"/>
      <c r="F227" s="67"/>
      <c r="G227" s="67"/>
      <c r="H227" s="67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ht="15.75" customHeight="1">
      <c r="A228" s="7"/>
      <c r="B228" s="74"/>
      <c r="C228" s="18"/>
      <c r="D228" s="18"/>
      <c r="E228" s="18"/>
      <c r="F228" s="67"/>
      <c r="G228" s="67"/>
      <c r="H228" s="67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ht="15.75" customHeight="1">
      <c r="A229" s="7"/>
      <c r="B229" s="74"/>
      <c r="C229" s="18"/>
      <c r="D229" s="18"/>
      <c r="E229" s="18"/>
      <c r="F229" s="67"/>
      <c r="G229" s="67"/>
      <c r="H229" s="67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ht="15.75" customHeight="1">
      <c r="A230" s="7"/>
      <c r="B230" s="74"/>
      <c r="C230" s="18"/>
      <c r="D230" s="18"/>
      <c r="E230" s="18"/>
      <c r="F230" s="67"/>
      <c r="G230" s="67"/>
      <c r="H230" s="67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ht="15.75" customHeight="1">
      <c r="A231" s="7"/>
      <c r="B231" s="74"/>
      <c r="C231" s="18"/>
      <c r="D231" s="18"/>
      <c r="E231" s="18"/>
      <c r="F231" s="67"/>
      <c r="G231" s="67"/>
      <c r="H231" s="67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ht="15.75" customHeight="1">
      <c r="A232" s="7"/>
      <c r="B232" s="74"/>
      <c r="C232" s="18"/>
      <c r="D232" s="18"/>
      <c r="E232" s="18"/>
      <c r="F232" s="67"/>
      <c r="G232" s="67"/>
      <c r="H232" s="67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ht="15.75" customHeight="1">
      <c r="A233" s="7"/>
      <c r="B233" s="74"/>
      <c r="C233" s="18"/>
      <c r="D233" s="18"/>
      <c r="E233" s="18"/>
      <c r="F233" s="67"/>
      <c r="G233" s="67"/>
      <c r="H233" s="67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ht="15.75" customHeight="1">
      <c r="A234" s="7"/>
      <c r="B234" s="74"/>
      <c r="C234" s="18"/>
      <c r="D234" s="18"/>
      <c r="E234" s="18"/>
      <c r="F234" s="67"/>
      <c r="G234" s="67"/>
      <c r="H234" s="67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ht="15.75" customHeight="1">
      <c r="A235" s="7"/>
      <c r="B235" s="74"/>
      <c r="C235" s="18"/>
      <c r="D235" s="18"/>
      <c r="E235" s="18"/>
      <c r="F235" s="67"/>
      <c r="G235" s="67"/>
      <c r="H235" s="67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ht="15.75" customHeight="1">
      <c r="A236" s="7"/>
      <c r="B236" s="74"/>
      <c r="C236" s="18"/>
      <c r="D236" s="18"/>
      <c r="E236" s="18"/>
      <c r="F236" s="67"/>
      <c r="G236" s="67"/>
      <c r="H236" s="67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ht="15.75" customHeight="1">
      <c r="A237" s="7"/>
      <c r="B237" s="74"/>
      <c r="C237" s="18"/>
      <c r="D237" s="18"/>
      <c r="E237" s="18"/>
      <c r="F237" s="67"/>
      <c r="G237" s="67"/>
      <c r="H237" s="67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ht="15.75" customHeight="1">
      <c r="A238" s="7"/>
      <c r="B238" s="74"/>
      <c r="C238" s="18"/>
      <c r="D238" s="18"/>
      <c r="E238" s="18"/>
      <c r="F238" s="67"/>
      <c r="G238" s="67"/>
      <c r="H238" s="67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ht="15.75" customHeight="1">
      <c r="A239" s="7"/>
      <c r="B239" s="74"/>
      <c r="C239" s="18"/>
      <c r="D239" s="18"/>
      <c r="E239" s="18"/>
      <c r="F239" s="67"/>
      <c r="G239" s="67"/>
      <c r="H239" s="67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ht="15.75" customHeight="1">
      <c r="A240" s="7"/>
      <c r="B240" s="74"/>
      <c r="C240" s="18"/>
      <c r="D240" s="18"/>
      <c r="E240" s="18"/>
      <c r="F240" s="67"/>
      <c r="G240" s="67"/>
      <c r="H240" s="67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ht="15.75" customHeight="1">
      <c r="A241" s="7"/>
      <c r="B241" s="74"/>
      <c r="C241" s="18"/>
      <c r="D241" s="18"/>
      <c r="E241" s="18"/>
      <c r="F241" s="67"/>
      <c r="G241" s="67"/>
      <c r="H241" s="67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ht="15.75" customHeight="1">
      <c r="A242" s="7"/>
      <c r="B242" s="74"/>
      <c r="C242" s="18"/>
      <c r="D242" s="18"/>
      <c r="E242" s="18"/>
      <c r="F242" s="67"/>
      <c r="G242" s="67"/>
      <c r="H242" s="67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ht="15.75" customHeight="1">
      <c r="A243" s="7"/>
      <c r="B243" s="74"/>
      <c r="C243" s="18"/>
      <c r="D243" s="18"/>
      <c r="E243" s="18"/>
      <c r="F243" s="67"/>
      <c r="G243" s="67"/>
      <c r="H243" s="67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ht="15.75" customHeight="1">
      <c r="A244" s="7"/>
      <c r="B244" s="74"/>
      <c r="C244" s="18"/>
      <c r="D244" s="18"/>
      <c r="E244" s="18"/>
      <c r="F244" s="67"/>
      <c r="G244" s="67"/>
      <c r="H244" s="67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ht="15.75" customHeight="1">
      <c r="A245" s="7"/>
      <c r="B245" s="74"/>
      <c r="C245" s="18"/>
      <c r="D245" s="18"/>
      <c r="E245" s="18"/>
      <c r="F245" s="67"/>
      <c r="G245" s="67"/>
      <c r="H245" s="67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ht="15.75" customHeight="1">
      <c r="A246" s="7"/>
      <c r="B246" s="74"/>
      <c r="C246" s="18"/>
      <c r="D246" s="18"/>
      <c r="E246" s="18"/>
      <c r="F246" s="67"/>
      <c r="G246" s="67"/>
      <c r="H246" s="67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ht="15.75" customHeight="1">
      <c r="A247" s="7"/>
      <c r="B247" s="74"/>
      <c r="C247" s="18"/>
      <c r="D247" s="18"/>
      <c r="E247" s="18"/>
      <c r="F247" s="67"/>
      <c r="G247" s="67"/>
      <c r="H247" s="67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ht="15.75" customHeight="1">
      <c r="A248" s="7"/>
      <c r="B248" s="74"/>
      <c r="C248" s="18"/>
      <c r="D248" s="18"/>
      <c r="E248" s="18"/>
      <c r="F248" s="67"/>
      <c r="G248" s="67"/>
      <c r="H248" s="67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ht="15.75" customHeight="1">
      <c r="A249" s="7"/>
      <c r="B249" s="74"/>
      <c r="C249" s="18"/>
      <c r="D249" s="18"/>
      <c r="E249" s="18"/>
      <c r="F249" s="67"/>
      <c r="G249" s="67"/>
      <c r="H249" s="67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ht="15.75" customHeight="1">
      <c r="A250" s="7"/>
      <c r="B250" s="74"/>
      <c r="C250" s="18"/>
      <c r="D250" s="18"/>
      <c r="E250" s="18"/>
      <c r="F250" s="67"/>
      <c r="G250" s="67"/>
      <c r="H250" s="67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ht="15.75" customHeight="1">
      <c r="A251" s="7"/>
      <c r="B251" s="74"/>
      <c r="C251" s="18"/>
      <c r="D251" s="18"/>
      <c r="E251" s="18"/>
      <c r="F251" s="67"/>
      <c r="G251" s="67"/>
      <c r="H251" s="67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ht="15.75" customHeight="1">
      <c r="A252" s="7"/>
      <c r="B252" s="74"/>
      <c r="C252" s="18"/>
      <c r="D252" s="18"/>
      <c r="E252" s="18"/>
      <c r="F252" s="67"/>
      <c r="G252" s="67"/>
      <c r="H252" s="67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ht="15.75" customHeight="1">
      <c r="A253" s="7"/>
      <c r="B253" s="74"/>
      <c r="C253" s="18"/>
      <c r="D253" s="18"/>
      <c r="E253" s="18"/>
      <c r="F253" s="67"/>
      <c r="G253" s="67"/>
      <c r="H253" s="67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ht="15.75" customHeight="1">
      <c r="A254" s="7"/>
      <c r="B254" s="74"/>
      <c r="C254" s="18"/>
      <c r="D254" s="18"/>
      <c r="E254" s="18"/>
      <c r="F254" s="67"/>
      <c r="G254" s="67"/>
      <c r="H254" s="67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ht="15.75" customHeight="1">
      <c r="A255" s="7"/>
      <c r="B255" s="74"/>
      <c r="C255" s="18"/>
      <c r="D255" s="18"/>
      <c r="E255" s="18"/>
      <c r="F255" s="67"/>
      <c r="G255" s="67"/>
      <c r="H255" s="67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ht="15.75" customHeight="1">
      <c r="A256" s="7"/>
      <c r="B256" s="74"/>
      <c r="C256" s="18"/>
      <c r="D256" s="18"/>
      <c r="E256" s="18"/>
      <c r="F256" s="67"/>
      <c r="G256" s="67"/>
      <c r="H256" s="67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ht="15.75" customHeight="1">
      <c r="A257" s="7"/>
      <c r="B257" s="74"/>
      <c r="C257" s="18"/>
      <c r="D257" s="18"/>
      <c r="E257" s="18"/>
      <c r="F257" s="67"/>
      <c r="G257" s="67"/>
      <c r="H257" s="67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ht="15.75" customHeight="1">
      <c r="A258" s="7"/>
      <c r="B258" s="74"/>
      <c r="C258" s="18"/>
      <c r="D258" s="18"/>
      <c r="E258" s="18"/>
      <c r="F258" s="67"/>
      <c r="G258" s="67"/>
      <c r="H258" s="67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ht="15.75" customHeight="1">
      <c r="A259" s="7"/>
      <c r="B259" s="74"/>
      <c r="C259" s="18"/>
      <c r="D259" s="18"/>
      <c r="E259" s="18"/>
      <c r="F259" s="67"/>
      <c r="G259" s="67"/>
      <c r="H259" s="67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ht="15.75" customHeight="1">
      <c r="A260" s="7"/>
      <c r="B260" s="74"/>
      <c r="C260" s="18"/>
      <c r="D260" s="18"/>
      <c r="E260" s="18"/>
      <c r="F260" s="67"/>
      <c r="G260" s="67"/>
      <c r="H260" s="67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ht="15.75" customHeight="1">
      <c r="A261" s="7"/>
      <c r="B261" s="74"/>
      <c r="C261" s="18"/>
      <c r="D261" s="18"/>
      <c r="E261" s="18"/>
      <c r="F261" s="67"/>
      <c r="G261" s="67"/>
      <c r="H261" s="67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ht="15.75" customHeight="1">
      <c r="A262" s="7"/>
      <c r="B262" s="74"/>
      <c r="C262" s="18"/>
      <c r="D262" s="18"/>
      <c r="E262" s="18"/>
      <c r="F262" s="67"/>
      <c r="G262" s="67"/>
      <c r="H262" s="67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ht="15.75" customHeight="1">
      <c r="A263" s="7"/>
      <c r="B263" s="74"/>
      <c r="C263" s="18"/>
      <c r="D263" s="18"/>
      <c r="E263" s="18"/>
      <c r="F263" s="67"/>
      <c r="G263" s="67"/>
      <c r="H263" s="67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ht="15.75" customHeight="1">
      <c r="A264" s="7"/>
      <c r="B264" s="74"/>
      <c r="C264" s="18"/>
      <c r="D264" s="18"/>
      <c r="E264" s="18"/>
      <c r="F264" s="67"/>
      <c r="G264" s="67"/>
      <c r="H264" s="67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ht="15.75" customHeight="1">
      <c r="A265" s="7"/>
      <c r="B265" s="74"/>
      <c r="C265" s="18"/>
      <c r="D265" s="18"/>
      <c r="E265" s="18"/>
      <c r="F265" s="67"/>
      <c r="G265" s="67"/>
      <c r="H265" s="67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ht="15.75" customHeight="1">
      <c r="A266" s="7"/>
      <c r="B266" s="74"/>
      <c r="C266" s="18"/>
      <c r="D266" s="18"/>
      <c r="E266" s="18"/>
      <c r="F266" s="67"/>
      <c r="G266" s="67"/>
      <c r="H266" s="67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ht="15.75" customHeight="1">
      <c r="A267" s="7"/>
      <c r="B267" s="74"/>
      <c r="C267" s="18"/>
      <c r="D267" s="18"/>
      <c r="E267" s="18"/>
      <c r="F267" s="67"/>
      <c r="G267" s="67"/>
      <c r="H267" s="67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ht="15.75" customHeight="1">
      <c r="A268" s="7"/>
      <c r="B268" s="74"/>
      <c r="C268" s="18"/>
      <c r="D268" s="18"/>
      <c r="E268" s="18"/>
      <c r="F268" s="67"/>
      <c r="G268" s="67"/>
      <c r="H268" s="67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ht="15.75" customHeight="1">
      <c r="A269" s="7"/>
      <c r="B269" s="74"/>
      <c r="C269" s="18"/>
      <c r="D269" s="18"/>
      <c r="E269" s="18"/>
      <c r="F269" s="67"/>
      <c r="G269" s="67"/>
      <c r="H269" s="67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ht="15.75" customHeight="1">
      <c r="A270" s="7"/>
      <c r="B270" s="74"/>
      <c r="C270" s="18"/>
      <c r="D270" s="18"/>
      <c r="E270" s="18"/>
      <c r="F270" s="67"/>
      <c r="G270" s="67"/>
      <c r="H270" s="67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ht="15.75" customHeight="1">
      <c r="A271" s="7"/>
      <c r="B271" s="74"/>
      <c r="C271" s="18"/>
      <c r="D271" s="18"/>
      <c r="E271" s="18"/>
      <c r="F271" s="67"/>
      <c r="G271" s="67"/>
      <c r="H271" s="67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ht="15.75" customHeight="1">
      <c r="A272" s="7"/>
      <c r="B272" s="74"/>
      <c r="C272" s="18"/>
      <c r="D272" s="18"/>
      <c r="E272" s="18"/>
      <c r="F272" s="67"/>
      <c r="G272" s="67"/>
      <c r="H272" s="67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ht="15.75" customHeight="1">
      <c r="A273" s="7"/>
      <c r="B273" s="74"/>
      <c r="C273" s="18"/>
      <c r="D273" s="18"/>
      <c r="E273" s="18"/>
      <c r="F273" s="67"/>
      <c r="G273" s="67"/>
      <c r="H273" s="67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ht="15.75" customHeight="1">
      <c r="A274" s="7"/>
      <c r="B274" s="74"/>
      <c r="C274" s="18"/>
      <c r="D274" s="18"/>
      <c r="E274" s="18"/>
      <c r="F274" s="67"/>
      <c r="G274" s="67"/>
      <c r="H274" s="67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ht="15.75" customHeight="1">
      <c r="A275" s="7"/>
      <c r="B275" s="74"/>
      <c r="C275" s="18"/>
      <c r="D275" s="18"/>
      <c r="E275" s="18"/>
      <c r="F275" s="67"/>
      <c r="G275" s="67"/>
      <c r="H275" s="67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ht="15.75" customHeight="1">
      <c r="A276" s="7"/>
      <c r="B276" s="74"/>
      <c r="C276" s="18"/>
      <c r="D276" s="18"/>
      <c r="E276" s="18"/>
      <c r="F276" s="67"/>
      <c r="G276" s="67"/>
      <c r="H276" s="67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ht="15.75" customHeight="1">
      <c r="A277" s="7"/>
      <c r="B277" s="74"/>
      <c r="C277" s="18"/>
      <c r="D277" s="18"/>
      <c r="E277" s="18"/>
      <c r="F277" s="67"/>
      <c r="G277" s="67"/>
      <c r="H277" s="67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ht="15.75" customHeight="1">
      <c r="A278" s="7"/>
      <c r="B278" s="74"/>
      <c r="C278" s="18"/>
      <c r="D278" s="18"/>
      <c r="E278" s="18"/>
      <c r="F278" s="67"/>
      <c r="G278" s="67"/>
      <c r="H278" s="67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ht="15.75" customHeight="1">
      <c r="A279" s="7"/>
      <c r="B279" s="74"/>
      <c r="C279" s="18"/>
      <c r="D279" s="18"/>
      <c r="E279" s="18"/>
      <c r="F279" s="67"/>
      <c r="G279" s="67"/>
      <c r="H279" s="67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ht="15.75" customHeight="1">
      <c r="A280" s="7"/>
      <c r="B280" s="74"/>
      <c r="C280" s="18"/>
      <c r="D280" s="18"/>
      <c r="E280" s="18"/>
      <c r="F280" s="67"/>
      <c r="G280" s="67"/>
      <c r="H280" s="67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ht="15.75" customHeight="1">
      <c r="A281" s="7"/>
      <c r="B281" s="74"/>
      <c r="C281" s="18"/>
      <c r="D281" s="18"/>
      <c r="E281" s="18"/>
      <c r="F281" s="67"/>
      <c r="G281" s="67"/>
      <c r="H281" s="67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ht="15.75" customHeight="1">
      <c r="A282" s="7"/>
      <c r="B282" s="74"/>
      <c r="C282" s="18"/>
      <c r="D282" s="18"/>
      <c r="E282" s="18"/>
      <c r="F282" s="67"/>
      <c r="G282" s="67"/>
      <c r="H282" s="67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ht="15.75" customHeight="1">
      <c r="A283" s="7"/>
      <c r="B283" s="74"/>
      <c r="C283" s="18"/>
      <c r="D283" s="18"/>
      <c r="E283" s="18"/>
      <c r="F283" s="67"/>
      <c r="G283" s="67"/>
      <c r="H283" s="67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ht="15.75" customHeight="1">
      <c r="A284" s="7"/>
      <c r="B284" s="74"/>
      <c r="C284" s="18"/>
      <c r="D284" s="18"/>
      <c r="E284" s="18"/>
      <c r="F284" s="67"/>
      <c r="G284" s="67"/>
      <c r="H284" s="67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ht="15.75" customHeight="1">
      <c r="A285" s="7"/>
      <c r="B285" s="74"/>
      <c r="C285" s="18"/>
      <c r="D285" s="18"/>
      <c r="E285" s="18"/>
      <c r="F285" s="67"/>
      <c r="G285" s="67"/>
      <c r="H285" s="67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ht="15.75" customHeight="1">
      <c r="A286" s="7"/>
      <c r="B286" s="74"/>
      <c r="C286" s="18"/>
      <c r="D286" s="18"/>
      <c r="E286" s="18"/>
      <c r="F286" s="67"/>
      <c r="G286" s="67"/>
      <c r="H286" s="67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ht="15.75" customHeight="1">
      <c r="A287" s="7"/>
      <c r="B287" s="74"/>
      <c r="C287" s="18"/>
      <c r="D287" s="18"/>
      <c r="E287" s="18"/>
      <c r="F287" s="67"/>
      <c r="G287" s="67"/>
      <c r="H287" s="67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ht="15.75" customHeight="1">
      <c r="A288" s="7"/>
      <c r="B288" s="74"/>
      <c r="C288" s="18"/>
      <c r="D288" s="18"/>
      <c r="E288" s="18"/>
      <c r="F288" s="67"/>
      <c r="G288" s="67"/>
      <c r="H288" s="67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ht="15.75" customHeight="1">
      <c r="A289" s="7"/>
      <c r="B289" s="74"/>
      <c r="C289" s="18"/>
      <c r="D289" s="18"/>
      <c r="E289" s="18"/>
      <c r="F289" s="67"/>
      <c r="G289" s="67"/>
      <c r="H289" s="67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ht="15.75" customHeight="1">
      <c r="A290" s="7"/>
      <c r="B290" s="74"/>
      <c r="C290" s="18"/>
      <c r="D290" s="18"/>
      <c r="E290" s="18"/>
      <c r="F290" s="67"/>
      <c r="G290" s="67"/>
      <c r="H290" s="67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ht="15.75" customHeight="1">
      <c r="A291" s="7"/>
      <c r="B291" s="74"/>
      <c r="C291" s="18"/>
      <c r="D291" s="18"/>
      <c r="E291" s="18"/>
      <c r="F291" s="67"/>
      <c r="G291" s="67"/>
      <c r="H291" s="67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ht="15.75" customHeight="1">
      <c r="A292" s="7"/>
      <c r="B292" s="74"/>
      <c r="C292" s="18"/>
      <c r="D292" s="18"/>
      <c r="E292" s="18"/>
      <c r="F292" s="67"/>
      <c r="G292" s="67"/>
      <c r="H292" s="67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ht="15.75" customHeight="1">
      <c r="A293" s="7"/>
      <c r="B293" s="74"/>
      <c r="C293" s="18"/>
      <c r="D293" s="18"/>
      <c r="E293" s="18"/>
      <c r="F293" s="67"/>
      <c r="G293" s="67"/>
      <c r="H293" s="67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ht="15.75" customHeight="1">
      <c r="A294" s="7"/>
      <c r="B294" s="74"/>
      <c r="C294" s="18"/>
      <c r="D294" s="18"/>
      <c r="E294" s="18"/>
      <c r="F294" s="67"/>
      <c r="G294" s="67"/>
      <c r="H294" s="67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ht="15.75" customHeight="1">
      <c r="A295" s="7"/>
      <c r="B295" s="74"/>
      <c r="C295" s="18"/>
      <c r="D295" s="18"/>
      <c r="E295" s="18"/>
      <c r="F295" s="67"/>
      <c r="G295" s="67"/>
      <c r="H295" s="67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ht="15.75" customHeight="1">
      <c r="A296" s="7"/>
      <c r="B296" s="74"/>
      <c r="C296" s="18"/>
      <c r="D296" s="18"/>
      <c r="E296" s="18"/>
      <c r="F296" s="67"/>
      <c r="G296" s="67"/>
      <c r="H296" s="67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ht="15.75" customHeight="1">
      <c r="A297" s="7"/>
      <c r="B297" s="74"/>
      <c r="C297" s="18"/>
      <c r="D297" s="18"/>
      <c r="E297" s="18"/>
      <c r="F297" s="67"/>
      <c r="G297" s="67"/>
      <c r="H297" s="67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ht="15.75" customHeight="1">
      <c r="A298" s="7"/>
      <c r="B298" s="74"/>
      <c r="C298" s="18"/>
      <c r="D298" s="18"/>
      <c r="E298" s="18"/>
      <c r="F298" s="67"/>
      <c r="G298" s="67"/>
      <c r="H298" s="67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ht="15.75" customHeight="1">
      <c r="A299" s="7"/>
      <c r="B299" s="74"/>
      <c r="C299" s="18"/>
      <c r="D299" s="18"/>
      <c r="E299" s="18"/>
      <c r="F299" s="67"/>
      <c r="G299" s="67"/>
      <c r="H299" s="67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ht="15.75" customHeight="1">
      <c r="A300" s="7"/>
      <c r="B300" s="74"/>
      <c r="C300" s="18"/>
      <c r="D300" s="18"/>
      <c r="E300" s="18"/>
      <c r="F300" s="67"/>
      <c r="G300" s="67"/>
      <c r="H300" s="67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ht="15.75" customHeight="1">
      <c r="A301" s="7"/>
      <c r="B301" s="74"/>
      <c r="C301" s="18"/>
      <c r="D301" s="18"/>
      <c r="E301" s="18"/>
      <c r="F301" s="67"/>
      <c r="G301" s="67"/>
      <c r="H301" s="67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ht="15.75" customHeight="1">
      <c r="A302" s="7"/>
      <c r="B302" s="74"/>
      <c r="C302" s="18"/>
      <c r="D302" s="18"/>
      <c r="E302" s="18"/>
      <c r="F302" s="67"/>
      <c r="G302" s="67"/>
      <c r="H302" s="67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ht="15.75" customHeight="1">
      <c r="A303" s="7"/>
      <c r="B303" s="74"/>
      <c r="C303" s="18"/>
      <c r="D303" s="18"/>
      <c r="E303" s="18"/>
      <c r="F303" s="67"/>
      <c r="G303" s="67"/>
      <c r="H303" s="67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ht="15.75" customHeight="1">
      <c r="A304" s="7"/>
      <c r="B304" s="74"/>
      <c r="C304" s="18"/>
      <c r="D304" s="18"/>
      <c r="E304" s="18"/>
      <c r="F304" s="67"/>
      <c r="G304" s="67"/>
      <c r="H304" s="67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ht="15.75" customHeight="1">
      <c r="A305" s="7"/>
      <c r="B305" s="74"/>
      <c r="C305" s="18"/>
      <c r="D305" s="18"/>
      <c r="E305" s="18"/>
      <c r="F305" s="67"/>
      <c r="G305" s="67"/>
      <c r="H305" s="67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ht="15.75" customHeight="1">
      <c r="A306" s="7"/>
      <c r="B306" s="74"/>
      <c r="C306" s="18"/>
      <c r="D306" s="18"/>
      <c r="E306" s="18"/>
      <c r="F306" s="67"/>
      <c r="G306" s="67"/>
      <c r="H306" s="67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ht="15.75" customHeight="1">
      <c r="A307" s="7"/>
      <c r="B307" s="74"/>
      <c r="C307" s="18"/>
      <c r="D307" s="18"/>
      <c r="E307" s="18"/>
      <c r="F307" s="67"/>
      <c r="G307" s="67"/>
      <c r="H307" s="67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ht="15.75" customHeight="1">
      <c r="A308" s="7"/>
      <c r="B308" s="74"/>
      <c r="C308" s="18"/>
      <c r="D308" s="18"/>
      <c r="E308" s="18"/>
      <c r="F308" s="67"/>
      <c r="G308" s="67"/>
      <c r="H308" s="67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ht="15.75" customHeight="1">
      <c r="A309" s="7"/>
      <c r="B309" s="74"/>
      <c r="C309" s="18"/>
      <c r="D309" s="18"/>
      <c r="E309" s="18"/>
      <c r="F309" s="67"/>
      <c r="G309" s="67"/>
      <c r="H309" s="67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ht="15.75" customHeight="1">
      <c r="A310" s="7"/>
      <c r="B310" s="74"/>
      <c r="C310" s="18"/>
      <c r="D310" s="18"/>
      <c r="E310" s="18"/>
      <c r="F310" s="67"/>
      <c r="G310" s="67"/>
      <c r="H310" s="67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ht="15.75" customHeight="1">
      <c r="A311" s="7"/>
      <c r="B311" s="74"/>
      <c r="C311" s="18"/>
      <c r="D311" s="18"/>
      <c r="E311" s="18"/>
      <c r="F311" s="67"/>
      <c r="G311" s="67"/>
      <c r="H311" s="67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ht="15.75" customHeight="1">
      <c r="A312" s="7"/>
      <c r="B312" s="74"/>
      <c r="C312" s="18"/>
      <c r="D312" s="18"/>
      <c r="E312" s="18"/>
      <c r="F312" s="67"/>
      <c r="G312" s="67"/>
      <c r="H312" s="67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ht="15.75" customHeight="1">
      <c r="A313" s="7"/>
      <c r="B313" s="74"/>
      <c r="C313" s="18"/>
      <c r="D313" s="18"/>
      <c r="E313" s="18"/>
      <c r="F313" s="67"/>
      <c r="G313" s="67"/>
      <c r="H313" s="67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ht="15.75" customHeight="1">
      <c r="A314" s="7"/>
      <c r="B314" s="74"/>
      <c r="C314" s="18"/>
      <c r="D314" s="18"/>
      <c r="E314" s="18"/>
      <c r="F314" s="67"/>
      <c r="G314" s="67"/>
      <c r="H314" s="67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ht="15.75" customHeight="1">
      <c r="A315" s="7"/>
      <c r="B315" s="74"/>
      <c r="C315" s="18"/>
      <c r="D315" s="18"/>
      <c r="E315" s="18"/>
      <c r="F315" s="67"/>
      <c r="G315" s="67"/>
      <c r="H315" s="67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ht="15.75" customHeight="1">
      <c r="A316" s="7"/>
      <c r="B316" s="74"/>
      <c r="C316" s="18"/>
      <c r="D316" s="18"/>
      <c r="E316" s="18"/>
      <c r="F316" s="67"/>
      <c r="G316" s="67"/>
      <c r="H316" s="67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ht="15.75" customHeight="1">
      <c r="A317" s="7"/>
      <c r="B317" s="74"/>
      <c r="C317" s="18"/>
      <c r="D317" s="18"/>
      <c r="E317" s="18"/>
      <c r="F317" s="67"/>
      <c r="G317" s="67"/>
      <c r="H317" s="67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ht="15.75" customHeight="1">
      <c r="A318" s="7"/>
      <c r="B318" s="74"/>
      <c r="C318" s="18"/>
      <c r="D318" s="18"/>
      <c r="E318" s="18"/>
      <c r="F318" s="67"/>
      <c r="G318" s="67"/>
      <c r="H318" s="67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ht="15.75" customHeight="1">
      <c r="A319" s="7"/>
      <c r="B319" s="74"/>
      <c r="C319" s="18"/>
      <c r="D319" s="18"/>
      <c r="E319" s="18"/>
      <c r="F319" s="67"/>
      <c r="G319" s="67"/>
      <c r="H319" s="67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ht="15.75" customHeight="1">
      <c r="A320" s="7"/>
      <c r="B320" s="74"/>
      <c r="C320" s="18"/>
      <c r="D320" s="18"/>
      <c r="E320" s="18"/>
      <c r="F320" s="67"/>
      <c r="G320" s="67"/>
      <c r="H320" s="67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ht="15.75" customHeight="1">
      <c r="A321" s="7"/>
      <c r="B321" s="74"/>
      <c r="C321" s="18"/>
      <c r="D321" s="18"/>
      <c r="E321" s="18"/>
      <c r="F321" s="67"/>
      <c r="G321" s="67"/>
      <c r="H321" s="67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ht="15.75" customHeight="1">
      <c r="A322" s="7"/>
      <c r="B322" s="74"/>
      <c r="C322" s="18"/>
      <c r="D322" s="18"/>
      <c r="E322" s="18"/>
      <c r="F322" s="67"/>
      <c r="G322" s="67"/>
      <c r="H322" s="67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ht="15.75" customHeight="1">
      <c r="A323" s="7"/>
      <c r="B323" s="74"/>
      <c r="C323" s="18"/>
      <c r="D323" s="18"/>
      <c r="E323" s="18"/>
      <c r="F323" s="67"/>
      <c r="G323" s="67"/>
      <c r="H323" s="67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ht="15.75" customHeight="1">
      <c r="A324" s="7"/>
      <c r="B324" s="74"/>
      <c r="C324" s="18"/>
      <c r="D324" s="18"/>
      <c r="E324" s="18"/>
      <c r="F324" s="67"/>
      <c r="G324" s="67"/>
      <c r="H324" s="67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ht="15.75" customHeight="1">
      <c r="A325" s="7"/>
      <c r="B325" s="74"/>
      <c r="C325" s="18"/>
      <c r="D325" s="18"/>
      <c r="E325" s="18"/>
      <c r="F325" s="67"/>
      <c r="G325" s="67"/>
      <c r="H325" s="67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ht="15.75" customHeight="1">
      <c r="A326" s="7"/>
      <c r="B326" s="74"/>
      <c r="C326" s="18"/>
      <c r="D326" s="18"/>
      <c r="E326" s="18"/>
      <c r="F326" s="67"/>
      <c r="G326" s="67"/>
      <c r="H326" s="67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ht="15.75" customHeight="1">
      <c r="A327" s="7"/>
      <c r="B327" s="74"/>
      <c r="C327" s="18"/>
      <c r="D327" s="18"/>
      <c r="E327" s="18"/>
      <c r="F327" s="67"/>
      <c r="G327" s="67"/>
      <c r="H327" s="67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ht="15.75" customHeight="1">
      <c r="A328" s="7"/>
      <c r="B328" s="74"/>
      <c r="C328" s="18"/>
      <c r="D328" s="18"/>
      <c r="E328" s="18"/>
      <c r="F328" s="67"/>
      <c r="G328" s="67"/>
      <c r="H328" s="67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ht="15.75" customHeight="1">
      <c r="A329" s="7"/>
      <c r="B329" s="74"/>
      <c r="C329" s="18"/>
      <c r="D329" s="18"/>
      <c r="E329" s="18"/>
      <c r="F329" s="67"/>
      <c r="G329" s="67"/>
      <c r="H329" s="67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ht="15.75" customHeight="1">
      <c r="A330" s="7"/>
      <c r="B330" s="74"/>
      <c r="C330" s="18"/>
      <c r="D330" s="18"/>
      <c r="E330" s="18"/>
      <c r="F330" s="67"/>
      <c r="G330" s="67"/>
      <c r="H330" s="67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ht="15.75" customHeight="1">
      <c r="A331" s="7"/>
      <c r="B331" s="74"/>
      <c r="C331" s="18"/>
      <c r="D331" s="18"/>
      <c r="E331" s="18"/>
      <c r="F331" s="67"/>
      <c r="G331" s="67"/>
      <c r="H331" s="67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ht="15.75" customHeight="1">
      <c r="A332" s="7"/>
      <c r="B332" s="74"/>
      <c r="C332" s="18"/>
      <c r="D332" s="18"/>
      <c r="E332" s="18"/>
      <c r="F332" s="67"/>
      <c r="G332" s="67"/>
      <c r="H332" s="67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ht="15.75" customHeight="1">
      <c r="A333" s="7"/>
      <c r="B333" s="74"/>
      <c r="C333" s="18"/>
      <c r="D333" s="18"/>
      <c r="E333" s="18"/>
      <c r="F333" s="67"/>
      <c r="G333" s="67"/>
      <c r="H333" s="67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ht="15.75" customHeight="1">
      <c r="A334" s="7"/>
      <c r="B334" s="74"/>
      <c r="C334" s="18"/>
      <c r="D334" s="18"/>
      <c r="E334" s="18"/>
      <c r="F334" s="67"/>
      <c r="G334" s="67"/>
      <c r="H334" s="67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ht="15.75" customHeight="1">
      <c r="A335" s="7"/>
      <c r="B335" s="74"/>
      <c r="C335" s="18"/>
      <c r="D335" s="18"/>
      <c r="E335" s="18"/>
      <c r="F335" s="67"/>
      <c r="G335" s="67"/>
      <c r="H335" s="67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ht="15.75" customHeight="1">
      <c r="A336" s="7"/>
      <c r="B336" s="74"/>
      <c r="C336" s="18"/>
      <c r="D336" s="18"/>
      <c r="E336" s="18"/>
      <c r="F336" s="67"/>
      <c r="G336" s="67"/>
      <c r="H336" s="67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ht="15.75" customHeight="1">
      <c r="A337" s="7"/>
      <c r="B337" s="74"/>
      <c r="C337" s="18"/>
      <c r="D337" s="18"/>
      <c r="E337" s="18"/>
      <c r="F337" s="67"/>
      <c r="G337" s="67"/>
      <c r="H337" s="67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ht="15.75" customHeight="1">
      <c r="A338" s="7"/>
      <c r="B338" s="74"/>
      <c r="C338" s="18"/>
      <c r="D338" s="18"/>
      <c r="E338" s="18"/>
      <c r="F338" s="67"/>
      <c r="G338" s="67"/>
      <c r="H338" s="67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ht="15.75" customHeight="1">
      <c r="A339" s="7"/>
      <c r="B339" s="74"/>
      <c r="C339" s="18"/>
      <c r="D339" s="18"/>
      <c r="E339" s="18"/>
      <c r="F339" s="67"/>
      <c r="G339" s="67"/>
      <c r="H339" s="67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ht="15.75" customHeight="1">
      <c r="A340" s="7"/>
      <c r="B340" s="74"/>
      <c r="C340" s="18"/>
      <c r="D340" s="18"/>
      <c r="E340" s="18"/>
      <c r="F340" s="67"/>
      <c r="G340" s="67"/>
      <c r="H340" s="67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ht="15.75" customHeight="1">
      <c r="A341" s="7"/>
      <c r="B341" s="74"/>
      <c r="C341" s="18"/>
      <c r="D341" s="18"/>
      <c r="E341" s="18"/>
      <c r="F341" s="67"/>
      <c r="G341" s="67"/>
      <c r="H341" s="67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ht="15.75" customHeight="1">
      <c r="A342" s="7"/>
      <c r="B342" s="74"/>
      <c r="C342" s="18"/>
      <c r="D342" s="18"/>
      <c r="E342" s="18"/>
      <c r="F342" s="67"/>
      <c r="G342" s="67"/>
      <c r="H342" s="67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ht="15.75" customHeight="1">
      <c r="A343" s="7"/>
      <c r="B343" s="74"/>
      <c r="C343" s="18"/>
      <c r="D343" s="18"/>
      <c r="E343" s="18"/>
      <c r="F343" s="67"/>
      <c r="G343" s="67"/>
      <c r="H343" s="67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ht="15.75" customHeight="1">
      <c r="A344" s="7"/>
      <c r="B344" s="74"/>
      <c r="C344" s="18"/>
      <c r="D344" s="18"/>
      <c r="E344" s="18"/>
      <c r="F344" s="67"/>
      <c r="G344" s="67"/>
      <c r="H344" s="67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ht="15.75" customHeight="1">
      <c r="A345" s="7"/>
      <c r="B345" s="74"/>
      <c r="C345" s="18"/>
      <c r="D345" s="18"/>
      <c r="E345" s="18"/>
      <c r="F345" s="67"/>
      <c r="G345" s="67"/>
      <c r="H345" s="67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ht="15.75" customHeight="1">
      <c r="A346" s="7"/>
      <c r="B346" s="74"/>
      <c r="C346" s="18"/>
      <c r="D346" s="18"/>
      <c r="E346" s="18"/>
      <c r="F346" s="67"/>
      <c r="G346" s="67"/>
      <c r="H346" s="67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ht="15.75" customHeight="1">
      <c r="A347" s="7"/>
      <c r="B347" s="74"/>
      <c r="C347" s="18"/>
      <c r="D347" s="18"/>
      <c r="E347" s="18"/>
      <c r="F347" s="67"/>
      <c r="G347" s="67"/>
      <c r="H347" s="67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ht="15.75" customHeight="1">
      <c r="A348" s="7"/>
      <c r="B348" s="74"/>
      <c r="C348" s="18"/>
      <c r="D348" s="18"/>
      <c r="E348" s="18"/>
      <c r="F348" s="67"/>
      <c r="G348" s="67"/>
      <c r="H348" s="67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ht="15.75" customHeight="1">
      <c r="A349" s="7"/>
      <c r="B349" s="74"/>
      <c r="C349" s="18"/>
      <c r="D349" s="18"/>
      <c r="E349" s="18"/>
      <c r="F349" s="67"/>
      <c r="G349" s="67"/>
      <c r="H349" s="67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ht="15.75" customHeight="1">
      <c r="A350" s="7"/>
      <c r="B350" s="74"/>
      <c r="C350" s="18"/>
      <c r="D350" s="18"/>
      <c r="E350" s="18"/>
      <c r="F350" s="67"/>
      <c r="G350" s="67"/>
      <c r="H350" s="67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ht="15.75" customHeight="1">
      <c r="A351" s="7"/>
      <c r="B351" s="74"/>
      <c r="C351" s="18"/>
      <c r="D351" s="18"/>
      <c r="E351" s="18"/>
      <c r="F351" s="67"/>
      <c r="G351" s="67"/>
      <c r="H351" s="67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ht="15.75" customHeight="1">
      <c r="A352" s="7"/>
      <c r="B352" s="74"/>
      <c r="C352" s="18"/>
      <c r="D352" s="18"/>
      <c r="E352" s="18"/>
      <c r="F352" s="67"/>
      <c r="G352" s="67"/>
      <c r="H352" s="67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ht="15.75" customHeight="1">
      <c r="A353" s="7"/>
      <c r="B353" s="74"/>
      <c r="C353" s="18"/>
      <c r="D353" s="18"/>
      <c r="E353" s="18"/>
      <c r="F353" s="67"/>
      <c r="G353" s="67"/>
      <c r="H353" s="67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ht="15.75" customHeight="1">
      <c r="A354" s="7"/>
      <c r="B354" s="74"/>
      <c r="C354" s="18"/>
      <c r="D354" s="18"/>
      <c r="E354" s="18"/>
      <c r="F354" s="67"/>
      <c r="G354" s="67"/>
      <c r="H354" s="67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ht="15.75" customHeight="1">
      <c r="A355" s="7"/>
      <c r="B355" s="74"/>
      <c r="C355" s="18"/>
      <c r="D355" s="18"/>
      <c r="E355" s="18"/>
      <c r="F355" s="67"/>
      <c r="G355" s="67"/>
      <c r="H355" s="67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ht="15.75" customHeight="1">
      <c r="A356" s="7"/>
      <c r="B356" s="74"/>
      <c r="C356" s="18"/>
      <c r="D356" s="18"/>
      <c r="E356" s="18"/>
      <c r="F356" s="67"/>
      <c r="G356" s="67"/>
      <c r="H356" s="67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ht="15.75" customHeight="1">
      <c r="A357" s="7"/>
      <c r="B357" s="74"/>
      <c r="C357" s="18"/>
      <c r="D357" s="18"/>
      <c r="E357" s="18"/>
      <c r="F357" s="67"/>
      <c r="G357" s="67"/>
      <c r="H357" s="67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ht="15.75" customHeight="1">
      <c r="A358" s="7"/>
      <c r="B358" s="74"/>
      <c r="C358" s="18"/>
      <c r="D358" s="18"/>
      <c r="E358" s="18"/>
      <c r="F358" s="67"/>
      <c r="G358" s="67"/>
      <c r="H358" s="67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ht="15.75" customHeight="1">
      <c r="A359" s="7"/>
      <c r="B359" s="74"/>
      <c r="C359" s="18"/>
      <c r="D359" s="18"/>
      <c r="E359" s="18"/>
      <c r="F359" s="67"/>
      <c r="G359" s="67"/>
      <c r="H359" s="67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ht="15.75" customHeight="1">
      <c r="A360" s="7"/>
      <c r="B360" s="74"/>
      <c r="C360" s="18"/>
      <c r="D360" s="18"/>
      <c r="E360" s="18"/>
      <c r="F360" s="67"/>
      <c r="G360" s="67"/>
      <c r="H360" s="67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ht="15.75" customHeight="1">
      <c r="A361" s="7"/>
      <c r="B361" s="74"/>
      <c r="C361" s="18"/>
      <c r="D361" s="18"/>
      <c r="E361" s="18"/>
      <c r="F361" s="67"/>
      <c r="G361" s="67"/>
      <c r="H361" s="67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ht="15.75" customHeight="1">
      <c r="A362" s="7"/>
      <c r="B362" s="74"/>
      <c r="C362" s="18"/>
      <c r="D362" s="18"/>
      <c r="E362" s="18"/>
      <c r="F362" s="67"/>
      <c r="G362" s="67"/>
      <c r="H362" s="67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ht="15.75" customHeight="1">
      <c r="A363" s="7"/>
      <c r="B363" s="74"/>
      <c r="C363" s="18"/>
      <c r="D363" s="18"/>
      <c r="E363" s="18"/>
      <c r="F363" s="67"/>
      <c r="G363" s="67"/>
      <c r="H363" s="67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ht="15.75" customHeight="1">
      <c r="A364" s="7"/>
      <c r="B364" s="74"/>
      <c r="C364" s="18"/>
      <c r="D364" s="18"/>
      <c r="E364" s="18"/>
      <c r="F364" s="67"/>
      <c r="G364" s="67"/>
      <c r="H364" s="67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ht="15.75" customHeight="1">
      <c r="A365" s="7"/>
      <c r="B365" s="74"/>
      <c r="C365" s="18"/>
      <c r="D365" s="18"/>
      <c r="E365" s="18"/>
      <c r="F365" s="67"/>
      <c r="G365" s="67"/>
      <c r="H365" s="67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ht="15.75" customHeight="1">
      <c r="A366" s="7"/>
      <c r="B366" s="74"/>
      <c r="C366" s="18"/>
      <c r="D366" s="18"/>
      <c r="E366" s="18"/>
      <c r="F366" s="67"/>
      <c r="G366" s="67"/>
      <c r="H366" s="67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ht="15.75" customHeight="1">
      <c r="A367" s="7"/>
      <c r="B367" s="74"/>
      <c r="C367" s="18"/>
      <c r="D367" s="18"/>
      <c r="E367" s="18"/>
      <c r="F367" s="67"/>
      <c r="G367" s="67"/>
      <c r="H367" s="67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ht="15.75" customHeight="1">
      <c r="A368" s="7"/>
      <c r="B368" s="74"/>
      <c r="C368" s="18"/>
      <c r="D368" s="18"/>
      <c r="E368" s="18"/>
      <c r="F368" s="67"/>
      <c r="G368" s="67"/>
      <c r="H368" s="67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ht="15.75" customHeight="1">
      <c r="A369" s="7"/>
      <c r="B369" s="74"/>
      <c r="C369" s="18"/>
      <c r="D369" s="18"/>
      <c r="E369" s="18"/>
      <c r="F369" s="67"/>
      <c r="G369" s="67"/>
      <c r="H369" s="67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ht="15.75" customHeight="1">
      <c r="A370" s="7"/>
      <c r="B370" s="74"/>
      <c r="C370" s="18"/>
      <c r="D370" s="18"/>
      <c r="E370" s="18"/>
      <c r="F370" s="67"/>
      <c r="G370" s="67"/>
      <c r="H370" s="67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ht="15.75" customHeight="1">
      <c r="A371" s="7"/>
      <c r="B371" s="74"/>
      <c r="C371" s="18"/>
      <c r="D371" s="18"/>
      <c r="E371" s="18"/>
      <c r="F371" s="67"/>
      <c r="G371" s="67"/>
      <c r="H371" s="67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ht="15.75" customHeight="1">
      <c r="A372" s="7"/>
      <c r="B372" s="74"/>
      <c r="C372" s="18"/>
      <c r="D372" s="18"/>
      <c r="E372" s="18"/>
      <c r="F372" s="67"/>
      <c r="G372" s="67"/>
      <c r="H372" s="67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ht="15.75" customHeight="1">
      <c r="A373" s="7"/>
      <c r="B373" s="74"/>
      <c r="C373" s="18"/>
      <c r="D373" s="18"/>
      <c r="E373" s="18"/>
      <c r="F373" s="67"/>
      <c r="G373" s="67"/>
      <c r="H373" s="67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ht="15.75" customHeight="1">
      <c r="A374" s="7"/>
      <c r="B374" s="74"/>
      <c r="C374" s="18"/>
      <c r="D374" s="18"/>
      <c r="E374" s="18"/>
      <c r="F374" s="67"/>
      <c r="G374" s="67"/>
      <c r="H374" s="67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ht="15.75" customHeight="1">
      <c r="A375" s="7"/>
      <c r="B375" s="74"/>
      <c r="C375" s="18"/>
      <c r="D375" s="18"/>
      <c r="E375" s="18"/>
      <c r="F375" s="67"/>
      <c r="G375" s="67"/>
      <c r="H375" s="67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ht="15.75" customHeight="1">
      <c r="A376" s="7"/>
      <c r="B376" s="74"/>
      <c r="C376" s="18"/>
      <c r="D376" s="18"/>
      <c r="E376" s="18"/>
      <c r="F376" s="67"/>
      <c r="G376" s="67"/>
      <c r="H376" s="67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ht="15.75" customHeight="1">
      <c r="A377" s="7"/>
      <c r="B377" s="74"/>
      <c r="C377" s="18"/>
      <c r="D377" s="18"/>
      <c r="E377" s="18"/>
      <c r="F377" s="67"/>
      <c r="G377" s="67"/>
      <c r="H377" s="67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ht="15.75" customHeight="1">
      <c r="A378" s="7"/>
      <c r="B378" s="74"/>
      <c r="C378" s="18"/>
      <c r="D378" s="18"/>
      <c r="E378" s="18"/>
      <c r="F378" s="67"/>
      <c r="G378" s="67"/>
      <c r="H378" s="67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ht="15.75" customHeight="1">
      <c r="A379" s="7"/>
      <c r="B379" s="74"/>
      <c r="C379" s="18"/>
      <c r="D379" s="18"/>
      <c r="E379" s="18"/>
      <c r="F379" s="67"/>
      <c r="G379" s="67"/>
      <c r="H379" s="67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ht="15.75" customHeight="1">
      <c r="A380" s="7"/>
      <c r="B380" s="74"/>
      <c r="C380" s="18"/>
      <c r="D380" s="18"/>
      <c r="E380" s="18"/>
      <c r="F380" s="67"/>
      <c r="G380" s="67"/>
      <c r="H380" s="67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ht="15.75" customHeight="1">
      <c r="A381" s="7"/>
      <c r="B381" s="74"/>
      <c r="C381" s="18"/>
      <c r="D381" s="18"/>
      <c r="E381" s="18"/>
      <c r="F381" s="67"/>
      <c r="G381" s="67"/>
      <c r="H381" s="67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ht="15.75" customHeight="1">
      <c r="A382" s="7"/>
      <c r="B382" s="74"/>
      <c r="C382" s="18"/>
      <c r="D382" s="18"/>
      <c r="E382" s="18"/>
      <c r="F382" s="67"/>
      <c r="G382" s="67"/>
      <c r="H382" s="67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ht="15.75" customHeight="1">
      <c r="A383" s="7"/>
      <c r="B383" s="74"/>
      <c r="C383" s="18"/>
      <c r="D383" s="18"/>
      <c r="E383" s="18"/>
      <c r="F383" s="67"/>
      <c r="G383" s="67"/>
      <c r="H383" s="67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ht="15.75" customHeight="1">
      <c r="A384" s="7"/>
      <c r="B384" s="74"/>
      <c r="C384" s="18"/>
      <c r="D384" s="18"/>
      <c r="E384" s="18"/>
      <c r="F384" s="67"/>
      <c r="G384" s="67"/>
      <c r="H384" s="67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ht="15.75" customHeight="1">
      <c r="A385" s="7"/>
      <c r="B385" s="74"/>
      <c r="C385" s="18"/>
      <c r="D385" s="18"/>
      <c r="E385" s="18"/>
      <c r="F385" s="67"/>
      <c r="G385" s="67"/>
      <c r="H385" s="67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ht="15.75" customHeight="1">
      <c r="A386" s="7"/>
      <c r="B386" s="74"/>
      <c r="C386" s="18"/>
      <c r="D386" s="18"/>
      <c r="E386" s="18"/>
      <c r="F386" s="67"/>
      <c r="G386" s="67"/>
      <c r="H386" s="67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ht="15.75" customHeight="1">
      <c r="A387" s="7"/>
      <c r="B387" s="74"/>
      <c r="C387" s="18"/>
      <c r="D387" s="18"/>
      <c r="E387" s="18"/>
      <c r="F387" s="67"/>
      <c r="G387" s="67"/>
      <c r="H387" s="67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ht="15.75" customHeight="1">
      <c r="A388" s="7"/>
      <c r="B388" s="74"/>
      <c r="C388" s="18"/>
      <c r="D388" s="18"/>
      <c r="E388" s="18"/>
      <c r="F388" s="67"/>
      <c r="G388" s="67"/>
      <c r="H388" s="67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ht="15.75" customHeight="1">
      <c r="A389" s="7"/>
      <c r="B389" s="74"/>
      <c r="C389" s="18"/>
      <c r="D389" s="18"/>
      <c r="E389" s="18"/>
      <c r="F389" s="67"/>
      <c r="G389" s="67"/>
      <c r="H389" s="67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ht="15.75" customHeight="1">
      <c r="A390" s="7"/>
      <c r="B390" s="74"/>
      <c r="C390" s="18"/>
      <c r="D390" s="18"/>
      <c r="E390" s="18"/>
      <c r="F390" s="67"/>
      <c r="G390" s="67"/>
      <c r="H390" s="67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ht="15.75" customHeight="1">
      <c r="A391" s="7"/>
      <c r="B391" s="74"/>
      <c r="C391" s="18"/>
      <c r="D391" s="18"/>
      <c r="E391" s="18"/>
      <c r="F391" s="67"/>
      <c r="G391" s="67"/>
      <c r="H391" s="67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ht="15.75" customHeight="1">
      <c r="A392" s="7"/>
      <c r="B392" s="74"/>
      <c r="C392" s="18"/>
      <c r="D392" s="18"/>
      <c r="E392" s="18"/>
      <c r="F392" s="67"/>
      <c r="G392" s="67"/>
      <c r="H392" s="67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ht="15.75" customHeight="1">
      <c r="A393" s="7"/>
      <c r="B393" s="74"/>
      <c r="C393" s="18"/>
      <c r="D393" s="18"/>
      <c r="E393" s="18"/>
      <c r="F393" s="67"/>
      <c r="G393" s="67"/>
      <c r="H393" s="67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ht="15.75" customHeight="1">
      <c r="A394" s="7"/>
      <c r="B394" s="74"/>
      <c r="C394" s="18"/>
      <c r="D394" s="18"/>
      <c r="E394" s="18"/>
      <c r="F394" s="67"/>
      <c r="G394" s="67"/>
      <c r="H394" s="67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ht="15.75" customHeight="1">
      <c r="A395" s="7"/>
      <c r="B395" s="74"/>
      <c r="C395" s="18"/>
      <c r="D395" s="18"/>
      <c r="E395" s="18"/>
      <c r="F395" s="67"/>
      <c r="G395" s="67"/>
      <c r="H395" s="67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ht="15.75" customHeight="1">
      <c r="A396" s="7"/>
      <c r="B396" s="74"/>
      <c r="C396" s="18"/>
      <c r="D396" s="18"/>
      <c r="E396" s="18"/>
      <c r="F396" s="67"/>
      <c r="G396" s="67"/>
      <c r="H396" s="67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ht="15.75" customHeight="1">
      <c r="A397" s="7"/>
      <c r="B397" s="74"/>
      <c r="C397" s="18"/>
      <c r="D397" s="18"/>
      <c r="E397" s="18"/>
      <c r="F397" s="67"/>
      <c r="G397" s="67"/>
      <c r="H397" s="67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ht="15.75" customHeight="1">
      <c r="A398" s="7"/>
      <c r="B398" s="74"/>
      <c r="C398" s="18"/>
      <c r="D398" s="18"/>
      <c r="E398" s="18"/>
      <c r="F398" s="67"/>
      <c r="G398" s="67"/>
      <c r="H398" s="67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ht="15.75" customHeight="1">
      <c r="A399" s="7"/>
      <c r="B399" s="74"/>
      <c r="C399" s="18"/>
      <c r="D399" s="18"/>
      <c r="E399" s="18"/>
      <c r="F399" s="67"/>
      <c r="G399" s="67"/>
      <c r="H399" s="67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ht="15.75" customHeight="1">
      <c r="A400" s="7"/>
      <c r="B400" s="74"/>
      <c r="C400" s="18"/>
      <c r="D400" s="18"/>
      <c r="E400" s="18"/>
      <c r="F400" s="67"/>
      <c r="G400" s="67"/>
      <c r="H400" s="67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ht="15.75" customHeight="1">
      <c r="A401" s="7"/>
      <c r="B401" s="74"/>
      <c r="C401" s="18"/>
      <c r="D401" s="18"/>
      <c r="E401" s="18"/>
      <c r="F401" s="67"/>
      <c r="G401" s="67"/>
      <c r="H401" s="67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ht="15.75" customHeight="1">
      <c r="A402" s="7"/>
      <c r="B402" s="74"/>
      <c r="C402" s="18"/>
      <c r="D402" s="18"/>
      <c r="E402" s="18"/>
      <c r="F402" s="67"/>
      <c r="G402" s="67"/>
      <c r="H402" s="67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ht="15.75" customHeight="1">
      <c r="A403" s="7"/>
      <c r="B403" s="74"/>
      <c r="C403" s="18"/>
      <c r="D403" s="18"/>
      <c r="E403" s="18"/>
      <c r="F403" s="67"/>
      <c r="G403" s="67"/>
      <c r="H403" s="67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ht="15.75" customHeight="1">
      <c r="A404" s="7"/>
      <c r="B404" s="74"/>
      <c r="C404" s="18"/>
      <c r="D404" s="18"/>
      <c r="E404" s="18"/>
      <c r="F404" s="67"/>
      <c r="G404" s="67"/>
      <c r="H404" s="67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ht="15.75" customHeight="1">
      <c r="A405" s="7"/>
      <c r="B405" s="74"/>
      <c r="C405" s="18"/>
      <c r="D405" s="18"/>
      <c r="E405" s="18"/>
      <c r="F405" s="67"/>
      <c r="G405" s="67"/>
      <c r="H405" s="67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1:$AX$1006">
    <sortState ref="A1:AX1006">
      <sortCondition ref="B1:B1006"/>
      <sortCondition ref="AG1:AG1006"/>
      <sortCondition ref="AV1:AV1006"/>
      <sortCondition ref="AS1:AS1006"/>
      <sortCondition ref="AP1:AP1006"/>
      <sortCondition ref="AM1:AM1006"/>
      <sortCondition ref="AJ1:AJ1006"/>
      <sortCondition ref="U1:U1006"/>
      <sortCondition ref="R1:R1006"/>
      <sortCondition ref="O1:O1006"/>
      <sortCondition ref="L1:L1006"/>
      <sortCondition ref="I1:I1006"/>
      <sortCondition ref="F1:F1006"/>
      <sortCondition ref="E1:E1006"/>
      <sortCondition ref="C1:C100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min="2" max="2" width="7.25"/>
    <col customWidth="1" min="3" max="3" width="7.75"/>
    <col customWidth="1" min="4" max="5" width="6.88"/>
    <col customWidth="1" min="6" max="6" width="7.75"/>
    <col customWidth="1" min="7" max="7" width="7.5"/>
    <col customWidth="1" min="8" max="8" width="7.63"/>
    <col customWidth="1" min="9" max="9" width="7.75"/>
    <col customWidth="1" min="10" max="10" width="7.5"/>
    <col customWidth="1" min="11" max="11" width="7.63"/>
    <col customWidth="1" min="12" max="12" width="7.75"/>
    <col customWidth="1" min="13" max="13" width="7.88"/>
    <col customWidth="1" min="14" max="14" width="7.63"/>
    <col customWidth="1" min="15" max="15" width="7.75"/>
    <col customWidth="1" min="16" max="17" width="7.63"/>
    <col customWidth="1" min="18" max="18" width="7.75"/>
    <col customWidth="1" min="19" max="19" width="7.88"/>
    <col customWidth="1" min="20" max="20" width="7.63"/>
    <col customWidth="1" min="21" max="21" width="5.63"/>
    <col customWidth="1" min="22" max="22" width="7.88"/>
  </cols>
  <sheetData>
    <row r="1" ht="15.75" customHeight="1">
      <c r="A1" s="1"/>
      <c r="B1" s="1" t="s">
        <v>1</v>
      </c>
      <c r="C1" s="3" t="s">
        <v>27</v>
      </c>
      <c r="D1" s="1" t="s">
        <v>28</v>
      </c>
      <c r="E1" s="4" t="s">
        <v>29</v>
      </c>
      <c r="F1" s="3" t="s">
        <v>36</v>
      </c>
      <c r="G1" s="1" t="s">
        <v>37</v>
      </c>
      <c r="H1" s="4" t="s">
        <v>38</v>
      </c>
      <c r="I1" s="3" t="s">
        <v>39</v>
      </c>
      <c r="J1" s="1" t="s">
        <v>40</v>
      </c>
      <c r="K1" s="4" t="s">
        <v>41</v>
      </c>
      <c r="L1" s="3" t="s">
        <v>42</v>
      </c>
      <c r="M1" s="1" t="s">
        <v>43</v>
      </c>
      <c r="N1" s="4" t="s">
        <v>44</v>
      </c>
      <c r="O1" s="3" t="s">
        <v>45</v>
      </c>
      <c r="P1" s="1" t="s">
        <v>46</v>
      </c>
      <c r="Q1" s="4" t="s">
        <v>47</v>
      </c>
      <c r="R1" s="3" t="s">
        <v>48</v>
      </c>
      <c r="S1" s="1" t="s">
        <v>49</v>
      </c>
      <c r="T1" s="4" t="s">
        <v>50</v>
      </c>
      <c r="U1" s="3" t="s">
        <v>51</v>
      </c>
      <c r="V1" s="1" t="s">
        <v>52</v>
      </c>
    </row>
    <row r="2" ht="15.75" customHeight="1">
      <c r="A2" s="7"/>
      <c r="B2" s="84">
        <v>517.0</v>
      </c>
      <c r="C2" s="20" t="s">
        <v>178</v>
      </c>
      <c r="D2" s="71"/>
      <c r="E2" s="70"/>
      <c r="F2" s="68"/>
      <c r="G2" s="68"/>
      <c r="H2" s="69"/>
      <c r="I2" s="11"/>
      <c r="J2" s="12"/>
      <c r="K2" s="13"/>
      <c r="L2" s="11"/>
      <c r="M2" s="12"/>
      <c r="N2" s="13"/>
      <c r="O2" s="11"/>
      <c r="P2" s="12"/>
      <c r="Q2" s="13"/>
      <c r="R2" s="11"/>
      <c r="S2" s="12"/>
      <c r="T2" s="13"/>
      <c r="U2" s="11"/>
      <c r="V2" s="18"/>
    </row>
    <row r="3" ht="15.75" customHeight="1">
      <c r="A3" s="7"/>
      <c r="B3" s="53">
        <v>540.0</v>
      </c>
      <c r="C3" s="20" t="s">
        <v>178</v>
      </c>
      <c r="D3" s="71"/>
      <c r="E3" s="70"/>
      <c r="F3" s="68"/>
      <c r="G3" s="68"/>
      <c r="H3" s="69"/>
      <c r="I3" s="11"/>
      <c r="J3" s="18"/>
      <c r="K3" s="38"/>
      <c r="L3" s="11"/>
      <c r="M3" s="18"/>
      <c r="N3" s="38"/>
      <c r="O3" s="11"/>
      <c r="P3" s="18"/>
      <c r="Q3" s="38"/>
      <c r="R3" s="11"/>
      <c r="S3" s="18"/>
      <c r="T3" s="38"/>
      <c r="U3" s="11"/>
      <c r="V3" s="18"/>
    </row>
    <row r="4" ht="15.75" customHeight="1">
      <c r="A4" s="7"/>
      <c r="B4" s="53">
        <v>669.0</v>
      </c>
      <c r="C4" s="20" t="s">
        <v>178</v>
      </c>
      <c r="D4" s="71"/>
      <c r="E4" s="56"/>
      <c r="F4" s="68"/>
      <c r="G4" s="68"/>
      <c r="H4" s="69"/>
      <c r="I4" s="11"/>
      <c r="J4" s="12"/>
      <c r="K4" s="13"/>
      <c r="L4" s="11"/>
      <c r="M4" s="12"/>
      <c r="N4" s="13"/>
      <c r="O4" s="11"/>
      <c r="P4" s="12"/>
      <c r="Q4" s="13"/>
      <c r="R4" s="11"/>
      <c r="S4" s="12"/>
      <c r="T4" s="13"/>
      <c r="U4" s="11"/>
      <c r="V4" s="12"/>
    </row>
    <row r="5" ht="15.75" customHeight="1">
      <c r="A5" s="7"/>
      <c r="B5" s="53">
        <v>612.0</v>
      </c>
      <c r="C5" s="20">
        <v>456.0</v>
      </c>
      <c r="D5" s="20"/>
      <c r="E5" s="22">
        <v>0.025</v>
      </c>
      <c r="F5" s="14">
        <v>137.0</v>
      </c>
      <c r="G5" s="15">
        <v>0.30972222222222223</v>
      </c>
      <c r="H5" s="16">
        <v>0.3076388888888889</v>
      </c>
      <c r="I5" s="11"/>
      <c r="J5" s="12"/>
      <c r="K5" s="38"/>
      <c r="L5" s="11"/>
      <c r="M5" s="12"/>
      <c r="N5" s="38"/>
      <c r="O5" s="11"/>
      <c r="P5" s="12"/>
      <c r="Q5" s="38"/>
      <c r="R5" s="11"/>
      <c r="S5" s="12"/>
      <c r="T5" s="38"/>
      <c r="U5" s="11"/>
      <c r="V5" s="12"/>
    </row>
    <row r="6" ht="15.75" customHeight="1">
      <c r="A6" s="7"/>
      <c r="B6" s="53">
        <v>738.0</v>
      </c>
      <c r="C6" s="20">
        <v>172.0</v>
      </c>
      <c r="D6" s="21">
        <v>0.02361111111111111</v>
      </c>
      <c r="E6" s="22">
        <v>0.022916666666666665</v>
      </c>
      <c r="F6" s="68"/>
      <c r="G6" s="68"/>
      <c r="H6" s="69"/>
      <c r="I6" s="11"/>
      <c r="J6" s="12"/>
      <c r="K6" s="13"/>
      <c r="L6" s="11"/>
      <c r="M6" s="12"/>
      <c r="N6" s="13"/>
      <c r="O6" s="11"/>
      <c r="P6" s="12"/>
      <c r="Q6" s="13"/>
      <c r="R6" s="11"/>
      <c r="S6" s="12"/>
      <c r="T6" s="13"/>
      <c r="U6" s="11"/>
      <c r="V6" s="18"/>
    </row>
    <row r="7" ht="15.75" customHeight="1">
      <c r="A7" s="7"/>
      <c r="B7" s="53">
        <v>579.0</v>
      </c>
      <c r="C7" s="20">
        <v>171.0</v>
      </c>
      <c r="D7" s="21">
        <v>0.021527777777777778</v>
      </c>
      <c r="E7" s="22">
        <v>0.009722222222222222</v>
      </c>
      <c r="F7" s="68"/>
      <c r="G7" s="68"/>
      <c r="H7" s="69"/>
      <c r="I7" s="11"/>
      <c r="J7" s="18"/>
      <c r="K7" s="38"/>
      <c r="L7" s="11"/>
      <c r="M7" s="18"/>
      <c r="N7" s="38"/>
      <c r="O7" s="11"/>
      <c r="P7" s="18"/>
      <c r="Q7" s="38"/>
      <c r="R7" s="11"/>
      <c r="S7" s="18"/>
      <c r="T7" s="38"/>
      <c r="U7" s="11"/>
      <c r="V7" s="18"/>
    </row>
    <row r="8" ht="15.75" customHeight="1">
      <c r="A8" s="7"/>
      <c r="B8" s="53">
        <v>630.0</v>
      </c>
      <c r="C8" s="20">
        <v>170.0</v>
      </c>
      <c r="D8" s="21">
        <v>0.008333333333333333</v>
      </c>
      <c r="E8" s="56" t="s">
        <v>178</v>
      </c>
      <c r="F8" s="68"/>
      <c r="G8" s="68"/>
      <c r="H8" s="69"/>
      <c r="I8" s="11"/>
      <c r="J8" s="12"/>
      <c r="K8" s="38"/>
      <c r="L8" s="11"/>
      <c r="M8" s="12"/>
      <c r="N8" s="38"/>
      <c r="O8" s="11"/>
      <c r="P8" s="12"/>
      <c r="Q8" s="38"/>
      <c r="R8" s="11"/>
      <c r="S8" s="12"/>
      <c r="T8" s="38"/>
      <c r="U8" s="11"/>
      <c r="V8" s="12"/>
    </row>
    <row r="9" ht="15.75" customHeight="1">
      <c r="A9" s="7"/>
      <c r="B9" s="53">
        <v>622.0</v>
      </c>
      <c r="C9" s="20">
        <v>169.0</v>
      </c>
      <c r="D9" s="21">
        <v>0.007638888888888889</v>
      </c>
      <c r="E9" s="22">
        <v>0.009722222222222222</v>
      </c>
      <c r="F9" s="68"/>
      <c r="G9" s="68"/>
      <c r="H9" s="69"/>
      <c r="I9" s="11"/>
      <c r="J9" s="12"/>
      <c r="K9" s="13"/>
      <c r="L9" s="11"/>
      <c r="M9" s="12"/>
      <c r="N9" s="13"/>
      <c r="O9" s="11"/>
      <c r="P9" s="12"/>
      <c r="Q9" s="13"/>
      <c r="R9" s="11"/>
      <c r="S9" s="12"/>
      <c r="T9" s="13"/>
      <c r="U9" s="11"/>
      <c r="V9" s="18"/>
    </row>
    <row r="10" ht="15.75" customHeight="1">
      <c r="A10" s="7"/>
      <c r="B10" s="53">
        <v>502.0</v>
      </c>
      <c r="C10" s="20">
        <v>168.0</v>
      </c>
      <c r="D10" s="21">
        <v>0.00625</v>
      </c>
      <c r="E10" s="22">
        <v>0.009722222222222222</v>
      </c>
      <c r="F10" s="68"/>
      <c r="G10" s="68"/>
      <c r="H10" s="69"/>
      <c r="I10" s="11"/>
      <c r="J10" s="18"/>
      <c r="K10" s="38"/>
      <c r="L10" s="11"/>
      <c r="M10" s="18"/>
      <c r="N10" s="38"/>
      <c r="O10" s="11"/>
      <c r="P10" s="18"/>
      <c r="Q10" s="38"/>
      <c r="R10" s="11"/>
      <c r="S10" s="18"/>
      <c r="T10" s="38"/>
      <c r="U10" s="11"/>
      <c r="V10" s="18"/>
    </row>
    <row r="11" ht="15.75" customHeight="1">
      <c r="A11" s="7"/>
      <c r="B11" s="53">
        <v>531.0</v>
      </c>
      <c r="C11" s="20">
        <v>167.0</v>
      </c>
      <c r="D11" s="21">
        <v>0.003472222222222222</v>
      </c>
      <c r="E11" s="70" t="s">
        <v>178</v>
      </c>
      <c r="F11" s="68"/>
      <c r="G11" s="68"/>
      <c r="H11" s="69"/>
      <c r="I11" s="11"/>
      <c r="J11" s="12"/>
      <c r="K11" s="13"/>
      <c r="L11" s="11"/>
      <c r="M11" s="12"/>
      <c r="N11" s="13"/>
      <c r="O11" s="11"/>
      <c r="P11" s="12"/>
      <c r="Q11" s="13"/>
      <c r="R11" s="11"/>
      <c r="S11" s="12"/>
      <c r="T11" s="13"/>
      <c r="U11" s="11"/>
      <c r="V11" s="18"/>
    </row>
    <row r="12" ht="15.75" customHeight="1">
      <c r="A12" s="7"/>
      <c r="B12" s="53">
        <v>691.0</v>
      </c>
      <c r="C12" s="20">
        <v>166.0</v>
      </c>
      <c r="D12" s="21">
        <v>0.5</v>
      </c>
      <c r="E12" s="22">
        <v>0.009722222222222222</v>
      </c>
      <c r="F12" s="68"/>
      <c r="G12" s="68"/>
      <c r="H12" s="69"/>
      <c r="I12" s="11"/>
      <c r="J12" s="12"/>
      <c r="K12" s="13"/>
      <c r="L12" s="11"/>
      <c r="M12" s="18"/>
      <c r="N12" s="38"/>
      <c r="O12" s="11"/>
      <c r="P12" s="18"/>
      <c r="Q12" s="38"/>
      <c r="R12" s="11"/>
      <c r="S12" s="18"/>
      <c r="T12" s="38"/>
      <c r="U12" s="11"/>
      <c r="V12" s="18"/>
    </row>
    <row r="13" ht="15.75" customHeight="1">
      <c r="A13" s="7"/>
      <c r="B13" s="53">
        <v>657.0</v>
      </c>
      <c r="C13" s="20">
        <v>165.0</v>
      </c>
      <c r="D13" s="21">
        <v>0.0</v>
      </c>
      <c r="E13" s="22">
        <v>0.9930555555555556</v>
      </c>
      <c r="F13" s="14">
        <v>128.0</v>
      </c>
      <c r="G13" s="15">
        <v>0.2861111111111111</v>
      </c>
      <c r="H13" s="16">
        <v>0.2875</v>
      </c>
      <c r="I13" s="11"/>
      <c r="J13" s="12"/>
      <c r="K13" s="38"/>
      <c r="L13" s="11"/>
      <c r="M13" s="12"/>
      <c r="N13" s="38"/>
      <c r="O13" s="11"/>
      <c r="P13" s="12"/>
      <c r="Q13" s="38"/>
      <c r="R13" s="11"/>
      <c r="S13" s="12"/>
      <c r="T13" s="38"/>
      <c r="U13" s="11"/>
      <c r="V13" s="12"/>
    </row>
    <row r="14" ht="15.75" customHeight="1">
      <c r="A14" s="7"/>
      <c r="B14" s="53">
        <v>614.0</v>
      </c>
      <c r="C14" s="20">
        <v>164.0</v>
      </c>
      <c r="D14" s="21">
        <v>0.9881944444444445</v>
      </c>
      <c r="E14" s="22">
        <v>0.0020833333333333333</v>
      </c>
      <c r="F14" s="68"/>
      <c r="G14" s="68"/>
      <c r="H14" s="69"/>
      <c r="I14" s="11"/>
      <c r="J14" s="12"/>
      <c r="K14" s="13"/>
      <c r="L14" s="11"/>
      <c r="M14" s="12"/>
      <c r="N14" s="13"/>
      <c r="O14" s="11"/>
      <c r="P14" s="12"/>
      <c r="Q14" s="13"/>
      <c r="R14" s="11"/>
      <c r="S14" s="12"/>
      <c r="T14" s="13"/>
      <c r="U14" s="11"/>
      <c r="V14" s="12"/>
    </row>
    <row r="15" ht="15.75" customHeight="1">
      <c r="A15" s="7"/>
      <c r="B15" s="53">
        <v>587.0</v>
      </c>
      <c r="C15" s="20">
        <v>163.0</v>
      </c>
      <c r="D15" s="21">
        <v>0.9798611111111111</v>
      </c>
      <c r="E15" s="22">
        <v>0.0020833333333333333</v>
      </c>
      <c r="F15" s="68"/>
      <c r="G15" s="68"/>
      <c r="H15" s="69"/>
      <c r="I15" s="11"/>
      <c r="J15" s="12"/>
      <c r="K15" s="13"/>
      <c r="L15" s="11"/>
      <c r="M15" s="12"/>
      <c r="N15" s="13"/>
      <c r="O15" s="11"/>
      <c r="P15" s="12"/>
      <c r="Q15" s="13"/>
      <c r="R15" s="11"/>
      <c r="S15" s="12"/>
      <c r="T15" s="13"/>
      <c r="U15" s="11"/>
      <c r="V15" s="18"/>
    </row>
    <row r="16" ht="15.75" customHeight="1">
      <c r="A16" s="7"/>
      <c r="B16" s="53">
        <v>690.0</v>
      </c>
      <c r="C16" s="20">
        <v>162.0</v>
      </c>
      <c r="D16" s="21">
        <v>0.9729166666666667</v>
      </c>
      <c r="E16" s="70" t="s">
        <v>178</v>
      </c>
      <c r="F16" s="68"/>
      <c r="G16" s="68"/>
      <c r="H16" s="69"/>
      <c r="I16" s="11"/>
      <c r="J16" s="12"/>
      <c r="K16" s="38"/>
      <c r="L16" s="11"/>
      <c r="M16" s="12"/>
      <c r="N16" s="38"/>
      <c r="O16" s="11"/>
      <c r="P16" s="12"/>
      <c r="Q16" s="38"/>
      <c r="R16" s="11"/>
      <c r="S16" s="12"/>
      <c r="T16" s="38"/>
      <c r="U16" s="11"/>
      <c r="V16" s="12"/>
    </row>
    <row r="17" ht="15.75" customHeight="1">
      <c r="A17" s="7"/>
      <c r="B17" s="53">
        <v>501.0</v>
      </c>
      <c r="C17" s="20">
        <v>161.0</v>
      </c>
      <c r="D17" s="21">
        <v>0.9708333333333333</v>
      </c>
      <c r="E17" s="22">
        <v>0.9736111111111111</v>
      </c>
      <c r="F17" s="14">
        <v>132.0</v>
      </c>
      <c r="G17" s="15">
        <v>0.2965277777777778</v>
      </c>
      <c r="H17" s="16">
        <v>0.3013888888888889</v>
      </c>
      <c r="I17" s="11"/>
      <c r="J17" s="18"/>
      <c r="K17" s="38"/>
      <c r="L17" s="11"/>
      <c r="M17" s="18"/>
      <c r="N17" s="38"/>
      <c r="O17" s="11"/>
      <c r="P17" s="18"/>
      <c r="Q17" s="38"/>
      <c r="R17" s="11"/>
      <c r="S17" s="18"/>
      <c r="T17" s="38"/>
      <c r="U17" s="11"/>
      <c r="V17" s="18"/>
    </row>
    <row r="18" ht="15.75" customHeight="1">
      <c r="A18" s="7"/>
      <c r="B18" s="53">
        <v>520.0</v>
      </c>
      <c r="C18" s="20">
        <v>160.0</v>
      </c>
      <c r="D18" s="21">
        <v>0.9666666666666667</v>
      </c>
      <c r="E18" s="22">
        <v>0.9694444444444444</v>
      </c>
      <c r="F18" s="14">
        <v>136.0</v>
      </c>
      <c r="G18" s="15">
        <v>0.3055555555555556</v>
      </c>
      <c r="H18" s="16">
        <v>0.30833333333333335</v>
      </c>
      <c r="I18" s="11"/>
      <c r="J18" s="12"/>
      <c r="K18" s="13"/>
      <c r="L18" s="11"/>
      <c r="M18" s="12"/>
      <c r="N18" s="13"/>
      <c r="O18" s="11"/>
      <c r="P18" s="12"/>
      <c r="Q18" s="13"/>
      <c r="R18" s="11"/>
      <c r="S18" s="12"/>
      <c r="T18" s="13"/>
      <c r="U18" s="11"/>
      <c r="V18" s="12"/>
    </row>
    <row r="19" ht="15.75" customHeight="1">
      <c r="A19" s="7"/>
      <c r="B19" s="53">
        <v>510.0</v>
      </c>
      <c r="C19" s="20">
        <v>159.0</v>
      </c>
      <c r="D19" s="21">
        <v>0.9652777777777778</v>
      </c>
      <c r="E19" s="70" t="s">
        <v>178</v>
      </c>
      <c r="F19" s="68"/>
      <c r="G19" s="68"/>
      <c r="H19" s="69"/>
      <c r="I19" s="11"/>
      <c r="J19" s="18"/>
      <c r="K19" s="38"/>
      <c r="L19" s="11"/>
      <c r="M19" s="18"/>
      <c r="N19" s="38"/>
      <c r="O19" s="11"/>
      <c r="P19" s="18"/>
      <c r="Q19" s="38"/>
      <c r="R19" s="11"/>
      <c r="S19" s="18"/>
      <c r="T19" s="38"/>
      <c r="U19" s="11"/>
      <c r="V19" s="18"/>
    </row>
    <row r="20" ht="15.75" customHeight="1">
      <c r="A20" s="7"/>
      <c r="B20" s="53">
        <v>733.0</v>
      </c>
      <c r="C20" s="20">
        <v>158.0</v>
      </c>
      <c r="D20" s="21">
        <v>0.9652777777777778</v>
      </c>
      <c r="E20" s="22">
        <v>0.9701388888888889</v>
      </c>
      <c r="F20" s="68"/>
      <c r="G20" s="68"/>
      <c r="H20" s="69"/>
      <c r="I20" s="11"/>
      <c r="J20" s="12"/>
      <c r="K20" s="13"/>
      <c r="L20" s="11"/>
      <c r="M20" s="12"/>
      <c r="N20" s="13"/>
      <c r="O20" s="11"/>
      <c r="P20" s="12"/>
      <c r="Q20" s="13"/>
      <c r="R20" s="11"/>
      <c r="S20" s="12"/>
      <c r="T20" s="13"/>
      <c r="U20" s="11"/>
      <c r="V20" s="18"/>
    </row>
    <row r="21" ht="15.75" customHeight="1">
      <c r="A21" s="7"/>
      <c r="B21" s="53">
        <v>633.0</v>
      </c>
      <c r="C21" s="20">
        <v>155.0</v>
      </c>
      <c r="D21" s="21">
        <v>0.9604166666666667</v>
      </c>
      <c r="E21" s="22">
        <v>0.9722222222222222</v>
      </c>
      <c r="F21" s="68"/>
      <c r="G21" s="68"/>
      <c r="H21" s="69"/>
      <c r="I21" s="11"/>
      <c r="J21" s="12"/>
      <c r="K21" s="38"/>
      <c r="L21" s="11"/>
      <c r="M21" s="18"/>
      <c r="N21" s="13"/>
      <c r="O21" s="11"/>
      <c r="P21" s="18"/>
      <c r="Q21" s="13"/>
      <c r="R21" s="11"/>
      <c r="S21" s="18"/>
      <c r="T21" s="13"/>
      <c r="U21" s="11"/>
      <c r="V21" s="18"/>
    </row>
    <row r="22" ht="15.75" customHeight="1">
      <c r="A22" s="7"/>
      <c r="B22" s="53">
        <v>677.0</v>
      </c>
      <c r="C22" s="20">
        <v>154.0</v>
      </c>
      <c r="D22" s="21">
        <v>0.9597222222222223</v>
      </c>
      <c r="E22" s="70" t="s">
        <v>178</v>
      </c>
      <c r="F22" s="68"/>
      <c r="G22" s="68"/>
      <c r="H22" s="69"/>
      <c r="I22" s="11"/>
      <c r="J22" s="18"/>
      <c r="K22" s="38"/>
      <c r="L22" s="11"/>
      <c r="M22" s="18"/>
      <c r="N22" s="38"/>
      <c r="O22" s="11"/>
      <c r="P22" s="18"/>
      <c r="Q22" s="38"/>
      <c r="R22" s="11"/>
      <c r="S22" s="18"/>
      <c r="T22" s="38"/>
      <c r="U22" s="11"/>
      <c r="V22" s="18"/>
    </row>
    <row r="23" ht="15.75" customHeight="1">
      <c r="A23" s="7"/>
      <c r="B23" s="53">
        <v>521.0</v>
      </c>
      <c r="C23" s="20">
        <v>153.0</v>
      </c>
      <c r="D23" s="21">
        <v>0.9583333333333334</v>
      </c>
      <c r="E23" s="22">
        <v>0.9631944444444445</v>
      </c>
      <c r="F23" s="14">
        <v>139.0</v>
      </c>
      <c r="G23" s="15">
        <v>0.32430555555555557</v>
      </c>
      <c r="H23" s="16">
        <v>0.3298611111111111</v>
      </c>
      <c r="I23" s="11"/>
      <c r="J23" s="12"/>
      <c r="K23" s="13"/>
      <c r="L23" s="11"/>
      <c r="M23" s="12"/>
      <c r="N23" s="13"/>
      <c r="O23" s="11"/>
      <c r="P23" s="12"/>
      <c r="Q23" s="13"/>
      <c r="R23" s="11"/>
      <c r="S23" s="12"/>
      <c r="T23" s="13"/>
      <c r="U23" s="11"/>
      <c r="V23" s="12"/>
    </row>
    <row r="24" ht="15.75" customHeight="1">
      <c r="A24" s="7"/>
      <c r="B24" s="53">
        <v>673.0</v>
      </c>
      <c r="C24" s="20">
        <v>152.0</v>
      </c>
      <c r="D24" s="21">
        <v>0.95625</v>
      </c>
      <c r="E24" s="22">
        <v>0.9611111111111111</v>
      </c>
      <c r="F24" s="14">
        <v>135.0</v>
      </c>
      <c r="G24" s="15">
        <v>0.30277777777777776</v>
      </c>
      <c r="H24" s="16">
        <v>0.3034722222222222</v>
      </c>
      <c r="I24" s="11"/>
      <c r="J24" s="12"/>
      <c r="K24" s="13"/>
      <c r="L24" s="11"/>
      <c r="M24" s="12"/>
      <c r="N24" s="13"/>
      <c r="O24" s="11"/>
      <c r="P24" s="12"/>
      <c r="Q24" s="13"/>
      <c r="R24" s="11"/>
      <c r="S24" s="12"/>
      <c r="T24" s="13"/>
      <c r="U24" s="11"/>
      <c r="V24" s="18"/>
    </row>
    <row r="25" ht="15.75" customHeight="1">
      <c r="A25" s="7"/>
      <c r="B25" s="53">
        <v>680.0</v>
      </c>
      <c r="C25" s="20">
        <v>151.0</v>
      </c>
      <c r="D25" s="21">
        <v>0.95625</v>
      </c>
      <c r="E25" s="22">
        <v>0.9611111111111111</v>
      </c>
      <c r="F25" s="68"/>
      <c r="G25" s="68"/>
      <c r="H25" s="69"/>
      <c r="I25" s="11"/>
      <c r="J25" s="12"/>
      <c r="K25" s="38"/>
      <c r="L25" s="11"/>
      <c r="M25" s="12"/>
      <c r="N25" s="38"/>
      <c r="O25" s="11"/>
      <c r="P25" s="12"/>
      <c r="Q25" s="38"/>
      <c r="R25" s="11"/>
      <c r="S25" s="12"/>
      <c r="T25" s="38"/>
      <c r="U25" s="11"/>
      <c r="V25" s="12"/>
    </row>
    <row r="26" ht="15.75" customHeight="1">
      <c r="A26" s="7"/>
      <c r="B26" s="53">
        <v>595.0</v>
      </c>
      <c r="C26" s="20">
        <v>150.0</v>
      </c>
      <c r="D26" s="21">
        <v>0.9548611111111112</v>
      </c>
      <c r="E26" s="22">
        <v>0.9638888888888889</v>
      </c>
      <c r="F26" s="14">
        <v>125.0</v>
      </c>
      <c r="G26" s="15">
        <v>0.2673611111111111</v>
      </c>
      <c r="H26" s="16">
        <v>0.2743055555555556</v>
      </c>
      <c r="I26" s="11"/>
      <c r="J26" s="18"/>
      <c r="K26" s="38"/>
      <c r="L26" s="11"/>
      <c r="M26" s="18"/>
      <c r="N26" s="38"/>
      <c r="O26" s="11"/>
      <c r="P26" s="18"/>
      <c r="Q26" s="38"/>
      <c r="R26" s="11"/>
      <c r="S26" s="18"/>
      <c r="T26" s="38"/>
      <c r="U26" s="11"/>
      <c r="V26" s="18"/>
    </row>
    <row r="27" ht="15.75" customHeight="1">
      <c r="A27" s="7"/>
      <c r="B27" s="53">
        <v>584.0</v>
      </c>
      <c r="C27" s="20">
        <v>149.0</v>
      </c>
      <c r="D27" s="21">
        <v>0.9541666666666667</v>
      </c>
      <c r="E27" s="22">
        <v>0.9590277777777778</v>
      </c>
      <c r="F27" s="14">
        <v>140.0</v>
      </c>
      <c r="G27" s="15">
        <v>0.32430555555555557</v>
      </c>
      <c r="H27" s="16">
        <v>0.3298611111111111</v>
      </c>
      <c r="I27" s="11"/>
      <c r="J27" s="12"/>
      <c r="K27" s="13"/>
      <c r="L27" s="11"/>
      <c r="M27" s="12"/>
      <c r="N27" s="13"/>
      <c r="O27" s="11"/>
      <c r="P27" s="12"/>
      <c r="Q27" s="13"/>
      <c r="R27" s="11"/>
      <c r="S27" s="12"/>
      <c r="T27" s="13"/>
      <c r="U27" s="11"/>
      <c r="V27" s="12"/>
    </row>
    <row r="28" ht="15.75" customHeight="1">
      <c r="A28" s="7"/>
      <c r="B28" s="53">
        <v>566.0</v>
      </c>
      <c r="C28" s="20">
        <v>148.0</v>
      </c>
      <c r="D28" s="21">
        <v>0.9472222222222222</v>
      </c>
      <c r="E28" s="22">
        <v>0.9506944444444444</v>
      </c>
      <c r="F28" s="68"/>
      <c r="G28" s="68"/>
      <c r="H28" s="69"/>
      <c r="I28" s="11"/>
      <c r="J28" s="18"/>
      <c r="K28" s="38"/>
      <c r="L28" s="11"/>
      <c r="M28" s="18"/>
      <c r="N28" s="38"/>
      <c r="O28" s="11"/>
      <c r="P28" s="18"/>
      <c r="Q28" s="38"/>
      <c r="R28" s="11"/>
      <c r="S28" s="18"/>
      <c r="T28" s="38"/>
      <c r="U28" s="11"/>
      <c r="V28" s="18"/>
    </row>
    <row r="29" ht="15.75" customHeight="1">
      <c r="A29" s="7"/>
      <c r="B29" s="53">
        <v>605.0</v>
      </c>
      <c r="C29" s="20">
        <v>147.0</v>
      </c>
      <c r="D29" s="21">
        <v>0.9465277777777777</v>
      </c>
      <c r="E29" s="22">
        <v>0.9513888888888888</v>
      </c>
      <c r="F29" s="14">
        <v>117.0</v>
      </c>
      <c r="G29" s="15">
        <v>0.24791666666666667</v>
      </c>
      <c r="H29" s="16">
        <v>0.24930555555555556</v>
      </c>
      <c r="I29" s="11"/>
      <c r="J29" s="12"/>
      <c r="K29" s="13"/>
      <c r="L29" s="11"/>
      <c r="M29" s="12"/>
      <c r="N29" s="13"/>
      <c r="O29" s="11"/>
      <c r="P29" s="12"/>
      <c r="Q29" s="13"/>
      <c r="R29" s="11"/>
      <c r="S29" s="12"/>
      <c r="T29" s="13"/>
      <c r="U29" s="11"/>
      <c r="V29" s="12"/>
    </row>
    <row r="30" ht="15.75" customHeight="1">
      <c r="A30" s="7"/>
      <c r="B30" s="53">
        <v>500.0</v>
      </c>
      <c r="C30" s="20">
        <v>146.0</v>
      </c>
      <c r="D30" s="21">
        <v>0.9465277777777777</v>
      </c>
      <c r="E30" s="22">
        <v>0.96875</v>
      </c>
      <c r="F30" s="14">
        <v>129.0</v>
      </c>
      <c r="G30" s="15">
        <v>0.2902777777777778</v>
      </c>
      <c r="H30" s="16">
        <v>0.29097222222222224</v>
      </c>
      <c r="I30" s="11"/>
      <c r="J30" s="12"/>
      <c r="K30" s="13"/>
      <c r="L30" s="11"/>
      <c r="M30" s="12"/>
      <c r="N30" s="13"/>
      <c r="O30" s="11"/>
      <c r="P30" s="12"/>
      <c r="Q30" s="13"/>
      <c r="R30" s="11"/>
      <c r="S30" s="12"/>
      <c r="T30" s="13"/>
      <c r="U30" s="11"/>
      <c r="V30" s="18"/>
    </row>
    <row r="31" ht="15.75" customHeight="1">
      <c r="A31" s="7"/>
      <c r="B31" s="53">
        <v>665.0</v>
      </c>
      <c r="C31" s="20">
        <v>145.0</v>
      </c>
      <c r="D31" s="21">
        <v>0.9444444444444444</v>
      </c>
      <c r="E31" s="22">
        <v>0.95</v>
      </c>
      <c r="F31" s="14">
        <v>118.0</v>
      </c>
      <c r="G31" s="15">
        <v>0.2520833333333333</v>
      </c>
      <c r="H31" s="16">
        <v>0.2534722222222222</v>
      </c>
      <c r="I31" s="11"/>
      <c r="J31" s="12"/>
      <c r="K31" s="38"/>
      <c r="L31" s="11"/>
      <c r="M31" s="12"/>
      <c r="N31" s="38"/>
      <c r="O31" s="11"/>
      <c r="P31" s="12"/>
      <c r="Q31" s="38"/>
      <c r="R31" s="11"/>
      <c r="S31" s="12"/>
      <c r="T31" s="38"/>
      <c r="U31" s="11"/>
      <c r="V31" s="12"/>
    </row>
    <row r="32" ht="15.75" customHeight="1">
      <c r="A32" s="7"/>
      <c r="B32" s="53">
        <v>664.0</v>
      </c>
      <c r="C32" s="20">
        <v>144.0</v>
      </c>
      <c r="D32" s="21">
        <v>0.9444444444444444</v>
      </c>
      <c r="E32" s="22">
        <v>0.95</v>
      </c>
      <c r="F32" s="68"/>
      <c r="G32" s="68"/>
      <c r="H32" s="69"/>
      <c r="I32" s="11"/>
      <c r="J32" s="12"/>
      <c r="K32" s="13"/>
      <c r="L32" s="11"/>
      <c r="M32" s="12"/>
      <c r="N32" s="13"/>
      <c r="O32" s="11"/>
      <c r="P32" s="12"/>
      <c r="Q32" s="13"/>
      <c r="R32" s="11"/>
      <c r="S32" s="12"/>
      <c r="T32" s="13"/>
      <c r="U32" s="11"/>
      <c r="V32" s="12"/>
    </row>
    <row r="33" ht="15.75" customHeight="1">
      <c r="A33" s="7"/>
      <c r="B33" s="53">
        <v>701.0</v>
      </c>
      <c r="C33" s="20">
        <v>143.0</v>
      </c>
      <c r="D33" s="21">
        <v>0.9444444444444444</v>
      </c>
      <c r="E33" s="22">
        <v>0.95</v>
      </c>
      <c r="F33" s="14">
        <v>133.0</v>
      </c>
      <c r="G33" s="15">
        <v>0.2986111111111111</v>
      </c>
      <c r="H33" s="16">
        <v>0.3020833333333333</v>
      </c>
      <c r="I33" s="11"/>
      <c r="J33" s="12"/>
      <c r="K33" s="13"/>
      <c r="L33" s="11"/>
      <c r="M33" s="12"/>
      <c r="N33" s="13"/>
      <c r="O33" s="11"/>
      <c r="P33" s="12"/>
      <c r="Q33" s="13"/>
      <c r="R33" s="11"/>
      <c r="S33" s="12"/>
      <c r="T33" s="13"/>
      <c r="U33" s="11"/>
      <c r="V33" s="18"/>
    </row>
    <row r="34" ht="15.75" customHeight="1">
      <c r="A34" s="7"/>
      <c r="B34" s="53">
        <v>681.0</v>
      </c>
      <c r="C34" s="20">
        <v>142.0</v>
      </c>
      <c r="D34" s="21">
        <v>0.94375</v>
      </c>
      <c r="E34" s="22">
        <v>0.95</v>
      </c>
      <c r="F34" s="14">
        <v>127.0</v>
      </c>
      <c r="G34" s="15">
        <v>0.275</v>
      </c>
      <c r="H34" s="16">
        <v>0.2875</v>
      </c>
      <c r="I34" s="11"/>
      <c r="J34" s="12"/>
      <c r="K34" s="13"/>
      <c r="L34" s="11"/>
      <c r="M34" s="12"/>
      <c r="N34" s="13"/>
      <c r="O34" s="11"/>
      <c r="P34" s="12"/>
      <c r="Q34" s="13"/>
      <c r="R34" s="11"/>
      <c r="S34" s="12"/>
      <c r="T34" s="13"/>
      <c r="U34" s="11"/>
      <c r="V34" s="12"/>
    </row>
    <row r="35" ht="15.75" customHeight="1">
      <c r="A35" s="7"/>
      <c r="B35" s="53">
        <v>648.0</v>
      </c>
      <c r="C35" s="20">
        <v>141.0</v>
      </c>
      <c r="D35" s="21">
        <v>0.94375</v>
      </c>
      <c r="E35" s="22">
        <v>0.9541666666666667</v>
      </c>
      <c r="F35" s="14">
        <v>119.0</v>
      </c>
      <c r="G35" s="15">
        <v>0.2534722222222222</v>
      </c>
      <c r="H35" s="16">
        <v>0.25763888888888886</v>
      </c>
      <c r="I35" s="11"/>
      <c r="J35" s="12"/>
      <c r="K35" s="38"/>
      <c r="L35" s="11"/>
      <c r="M35" s="12"/>
      <c r="N35" s="38"/>
      <c r="O35" s="11"/>
      <c r="P35" s="12"/>
      <c r="Q35" s="38"/>
      <c r="R35" s="11"/>
      <c r="S35" s="12"/>
      <c r="T35" s="38"/>
      <c r="U35" s="11"/>
      <c r="V35" s="12"/>
    </row>
    <row r="36" ht="15.75" customHeight="1">
      <c r="A36" s="7"/>
      <c r="B36" s="53">
        <v>694.0</v>
      </c>
      <c r="C36" s="20">
        <v>140.0</v>
      </c>
      <c r="D36" s="21">
        <v>0.9423611111111111</v>
      </c>
      <c r="E36" s="22">
        <v>0.9479166666666666</v>
      </c>
      <c r="F36" s="68"/>
      <c r="G36" s="68"/>
      <c r="H36" s="69"/>
      <c r="I36" s="11"/>
      <c r="J36" s="12"/>
      <c r="K36" s="13"/>
      <c r="L36" s="11"/>
      <c r="M36" s="12"/>
      <c r="N36" s="38"/>
      <c r="O36" s="11"/>
      <c r="P36" s="12"/>
      <c r="Q36" s="38"/>
      <c r="R36" s="11"/>
      <c r="S36" s="12"/>
      <c r="T36" s="38"/>
      <c r="U36" s="11"/>
      <c r="V36" s="12"/>
    </row>
    <row r="37" ht="15.75" customHeight="1">
      <c r="A37" s="7"/>
      <c r="B37" s="53">
        <v>639.0</v>
      </c>
      <c r="C37" s="20">
        <v>139.0</v>
      </c>
      <c r="D37" s="21">
        <v>0.9423611111111111</v>
      </c>
      <c r="E37" s="22">
        <v>0.9451388888888889</v>
      </c>
      <c r="F37" s="68"/>
      <c r="G37" s="68"/>
      <c r="H37" s="69"/>
      <c r="I37" s="11"/>
      <c r="J37" s="12"/>
      <c r="K37" s="13"/>
      <c r="L37" s="11"/>
      <c r="M37" s="12"/>
      <c r="N37" s="13"/>
      <c r="O37" s="11"/>
      <c r="P37" s="12"/>
      <c r="Q37" s="13"/>
      <c r="R37" s="11"/>
      <c r="S37" s="12"/>
      <c r="T37" s="13"/>
      <c r="U37" s="11"/>
      <c r="V37" s="12"/>
    </row>
    <row r="38" ht="15.75" customHeight="1">
      <c r="A38" s="7"/>
      <c r="B38" s="53">
        <v>632.0</v>
      </c>
      <c r="C38" s="20">
        <v>138.0</v>
      </c>
      <c r="D38" s="21">
        <v>0.9381944444444444</v>
      </c>
      <c r="E38" s="22">
        <v>0.9375</v>
      </c>
      <c r="F38" s="14">
        <v>121.0</v>
      </c>
      <c r="G38" s="15">
        <v>0.25833333333333336</v>
      </c>
      <c r="H38" s="16">
        <v>0.2604166666666667</v>
      </c>
      <c r="I38" s="11"/>
      <c r="J38" s="12"/>
      <c r="K38" s="38"/>
      <c r="L38" s="11"/>
      <c r="M38" s="12"/>
      <c r="N38" s="38"/>
      <c r="O38" s="11"/>
      <c r="P38" s="12"/>
      <c r="Q38" s="38"/>
      <c r="R38" s="11"/>
      <c r="S38" s="12"/>
      <c r="T38" s="38"/>
      <c r="U38" s="11"/>
      <c r="V38" s="12"/>
    </row>
    <row r="39" ht="15.75" customHeight="1">
      <c r="A39" s="7"/>
      <c r="B39" s="53">
        <v>628.0</v>
      </c>
      <c r="C39" s="20">
        <v>137.0</v>
      </c>
      <c r="D39" s="21">
        <v>0.9333333333333333</v>
      </c>
      <c r="E39" s="22">
        <v>0.9388888888888889</v>
      </c>
      <c r="F39" s="14">
        <v>124.0</v>
      </c>
      <c r="G39" s="15">
        <v>0.25972222222222224</v>
      </c>
      <c r="H39" s="53" t="s">
        <v>178</v>
      </c>
      <c r="I39" s="11"/>
      <c r="J39" s="12"/>
      <c r="K39" s="13"/>
      <c r="L39" s="11"/>
      <c r="M39" s="12"/>
      <c r="N39" s="13"/>
      <c r="O39" s="11"/>
      <c r="P39" s="12"/>
      <c r="Q39" s="13"/>
      <c r="R39" s="11"/>
      <c r="S39" s="12"/>
      <c r="T39" s="13"/>
      <c r="U39" s="11"/>
      <c r="V39" s="12"/>
    </row>
    <row r="40" ht="15.75" customHeight="1">
      <c r="A40" s="7"/>
      <c r="B40" s="53">
        <v>723.0</v>
      </c>
      <c r="C40" s="20">
        <v>136.0</v>
      </c>
      <c r="D40" s="21">
        <v>0.9298611111111111</v>
      </c>
      <c r="E40" s="22">
        <v>0.9333333333333333</v>
      </c>
      <c r="F40" s="68"/>
      <c r="G40" s="68"/>
      <c r="H40" s="69"/>
      <c r="I40" s="11"/>
      <c r="J40" s="18"/>
      <c r="K40" s="38"/>
      <c r="L40" s="11"/>
      <c r="M40" s="18"/>
      <c r="N40" s="38"/>
      <c r="O40" s="11"/>
      <c r="P40" s="18"/>
      <c r="Q40" s="38"/>
      <c r="R40" s="11"/>
      <c r="S40" s="18"/>
      <c r="T40" s="38"/>
      <c r="U40" s="11"/>
      <c r="V40" s="18"/>
    </row>
    <row r="41" ht="15.75" customHeight="1">
      <c r="A41" s="7"/>
      <c r="B41" s="53">
        <v>590.0</v>
      </c>
      <c r="C41" s="20">
        <v>135.0</v>
      </c>
      <c r="D41" s="21">
        <v>0.9298611111111111</v>
      </c>
      <c r="E41" s="22">
        <v>0.9347222222222222</v>
      </c>
      <c r="F41" s="14">
        <v>134.0</v>
      </c>
      <c r="G41" s="15">
        <v>0.29930555555555555</v>
      </c>
      <c r="H41" s="16">
        <v>0.30625</v>
      </c>
      <c r="I41" s="11"/>
      <c r="J41" s="12"/>
      <c r="K41" s="13"/>
      <c r="L41" s="11"/>
      <c r="M41" s="12"/>
      <c r="N41" s="13"/>
      <c r="O41" s="11"/>
      <c r="P41" s="12"/>
      <c r="Q41" s="13"/>
      <c r="R41" s="11"/>
      <c r="S41" s="12"/>
      <c r="T41" s="13"/>
      <c r="U41" s="11"/>
      <c r="V41" s="18"/>
    </row>
    <row r="42" ht="15.75" customHeight="1">
      <c r="A42" s="7"/>
      <c r="B42" s="53">
        <v>535.0</v>
      </c>
      <c r="C42" s="20">
        <v>134.0</v>
      </c>
      <c r="D42" s="21">
        <v>0.9298611111111111</v>
      </c>
      <c r="E42" s="22">
        <v>0.9388888888888889</v>
      </c>
      <c r="F42" s="68"/>
      <c r="G42" s="68"/>
      <c r="H42" s="69"/>
      <c r="I42" s="11"/>
      <c r="J42" s="12"/>
      <c r="K42" s="38"/>
      <c r="L42" s="11"/>
      <c r="M42" s="12"/>
      <c r="N42" s="38"/>
      <c r="O42" s="11"/>
      <c r="P42" s="12"/>
      <c r="Q42" s="38"/>
      <c r="R42" s="11"/>
      <c r="S42" s="12"/>
      <c r="T42" s="38"/>
      <c r="U42" s="11"/>
      <c r="V42" s="12"/>
    </row>
    <row r="43" ht="15.75" customHeight="1">
      <c r="A43" s="7"/>
      <c r="B43" s="53">
        <v>570.0</v>
      </c>
      <c r="C43" s="20">
        <v>133.0</v>
      </c>
      <c r="D43" s="21">
        <v>0.9291666666666667</v>
      </c>
      <c r="E43" s="22">
        <v>0.9416666666666667</v>
      </c>
      <c r="F43" s="68"/>
      <c r="G43" s="68"/>
      <c r="H43" s="69"/>
      <c r="I43" s="11"/>
      <c r="J43" s="12"/>
      <c r="K43" s="38"/>
      <c r="L43" s="11"/>
      <c r="M43" s="12"/>
      <c r="N43" s="38"/>
      <c r="O43" s="11"/>
      <c r="P43" s="12"/>
      <c r="Q43" s="38"/>
      <c r="R43" s="11"/>
      <c r="S43" s="12"/>
      <c r="T43" s="38"/>
      <c r="U43" s="11"/>
      <c r="V43" s="12"/>
    </row>
    <row r="44" ht="15.75" customHeight="1">
      <c r="A44" s="7"/>
      <c r="B44" s="53">
        <v>649.0</v>
      </c>
      <c r="C44" s="20">
        <v>132.0</v>
      </c>
      <c r="D44" s="21">
        <v>0.9270833333333334</v>
      </c>
      <c r="E44" s="22">
        <v>0.9298611111111111</v>
      </c>
      <c r="F44" s="14">
        <v>114.0</v>
      </c>
      <c r="G44" s="15">
        <v>0.2375</v>
      </c>
      <c r="H44" s="16">
        <v>0.2465277777777778</v>
      </c>
      <c r="I44" s="11"/>
      <c r="J44" s="12"/>
      <c r="K44" s="13"/>
      <c r="L44" s="11"/>
      <c r="M44" s="12"/>
      <c r="N44" s="13"/>
      <c r="O44" s="11"/>
      <c r="P44" s="12"/>
      <c r="Q44" s="13"/>
      <c r="R44" s="11"/>
      <c r="S44" s="12"/>
      <c r="T44" s="13"/>
      <c r="U44" s="11"/>
      <c r="V44" s="12"/>
    </row>
    <row r="45" ht="15.75" customHeight="1">
      <c r="A45" s="7"/>
      <c r="B45" s="53">
        <v>717.0</v>
      </c>
      <c r="C45" s="20">
        <v>131.0</v>
      </c>
      <c r="D45" s="21">
        <v>0.9256944444444445</v>
      </c>
      <c r="E45" s="22">
        <v>0.9354166666666667</v>
      </c>
      <c r="F45" s="68"/>
      <c r="G45" s="68"/>
      <c r="H45" s="69"/>
      <c r="I45" s="11"/>
      <c r="J45" s="12"/>
      <c r="K45" s="13"/>
      <c r="L45" s="11"/>
      <c r="M45" s="12"/>
      <c r="N45" s="13"/>
      <c r="O45" s="11"/>
      <c r="P45" s="12"/>
      <c r="Q45" s="13"/>
      <c r="R45" s="11"/>
      <c r="S45" s="12"/>
      <c r="T45" s="13"/>
      <c r="U45" s="11"/>
      <c r="V45" s="12"/>
    </row>
    <row r="46" ht="15.75" customHeight="1">
      <c r="A46" s="7"/>
      <c r="B46" s="53">
        <v>627.0</v>
      </c>
      <c r="C46" s="20">
        <v>130.0</v>
      </c>
      <c r="D46" s="21">
        <v>0.9256944444444445</v>
      </c>
      <c r="E46" s="22">
        <v>0.9298611111111111</v>
      </c>
      <c r="F46" s="68"/>
      <c r="G46" s="68"/>
      <c r="H46" s="69"/>
      <c r="I46" s="11"/>
      <c r="J46" s="12"/>
      <c r="K46" s="13"/>
      <c r="L46" s="11"/>
      <c r="M46" s="12"/>
      <c r="N46" s="13"/>
      <c r="O46" s="11"/>
      <c r="P46" s="12"/>
      <c r="Q46" s="13"/>
      <c r="R46" s="11"/>
      <c r="S46" s="12"/>
      <c r="T46" s="13"/>
      <c r="U46" s="11"/>
      <c r="V46" s="18"/>
    </row>
    <row r="47" ht="15.75" customHeight="1">
      <c r="A47" s="7"/>
      <c r="B47" s="53">
        <v>598.0</v>
      </c>
      <c r="C47" s="20">
        <v>129.0</v>
      </c>
      <c r="D47" s="21">
        <v>0.9256944444444445</v>
      </c>
      <c r="E47" s="22">
        <v>0.9236111111111112</v>
      </c>
      <c r="F47" s="14">
        <v>110.0</v>
      </c>
      <c r="G47" s="15">
        <v>0.23541666666666666</v>
      </c>
      <c r="H47" s="16">
        <v>0.23680555555555555</v>
      </c>
      <c r="I47" s="11"/>
      <c r="J47" s="18"/>
      <c r="K47" s="38"/>
      <c r="L47" s="11"/>
      <c r="M47" s="18"/>
      <c r="N47" s="38"/>
      <c r="O47" s="11"/>
      <c r="P47" s="18"/>
      <c r="Q47" s="38"/>
      <c r="R47" s="11"/>
      <c r="S47" s="18"/>
      <c r="T47" s="38"/>
      <c r="U47" s="11"/>
      <c r="V47" s="18"/>
    </row>
    <row r="48" ht="15.75" customHeight="1">
      <c r="A48" s="7"/>
      <c r="B48" s="53">
        <v>676.0</v>
      </c>
      <c r="C48" s="20">
        <v>128.0</v>
      </c>
      <c r="D48" s="21">
        <v>0.9194444444444444</v>
      </c>
      <c r="E48" s="22">
        <v>0.9222222222222223</v>
      </c>
      <c r="F48" s="14">
        <v>123.0</v>
      </c>
      <c r="G48" s="15">
        <v>0.25833333333333336</v>
      </c>
      <c r="H48" s="16">
        <v>0.2604166666666667</v>
      </c>
      <c r="I48" s="11"/>
      <c r="J48" s="18"/>
      <c r="K48" s="38"/>
      <c r="L48" s="11"/>
      <c r="M48" s="18"/>
      <c r="N48" s="38"/>
      <c r="O48" s="11"/>
      <c r="P48" s="18"/>
      <c r="Q48" s="38"/>
      <c r="R48" s="11"/>
      <c r="S48" s="18"/>
      <c r="T48" s="38"/>
      <c r="U48" s="11"/>
      <c r="V48" s="18"/>
    </row>
    <row r="49" ht="15.75" customHeight="1">
      <c r="A49" s="7"/>
      <c r="B49" s="53">
        <v>554.0</v>
      </c>
      <c r="C49" s="20">
        <v>127.0</v>
      </c>
      <c r="D49" s="21">
        <v>0.9194444444444444</v>
      </c>
      <c r="E49" s="22">
        <v>0.925</v>
      </c>
      <c r="F49" s="14">
        <v>120.0</v>
      </c>
      <c r="G49" s="15">
        <v>0.2534722222222222</v>
      </c>
      <c r="H49" s="16">
        <v>0.25625</v>
      </c>
      <c r="I49" s="11"/>
      <c r="J49" s="18"/>
      <c r="K49" s="38"/>
      <c r="L49" s="11"/>
      <c r="M49" s="18"/>
      <c r="N49" s="38"/>
      <c r="O49" s="11"/>
      <c r="P49" s="18"/>
      <c r="Q49" s="38"/>
      <c r="R49" s="11"/>
      <c r="S49" s="18"/>
      <c r="T49" s="38"/>
      <c r="U49" s="11"/>
      <c r="V49" s="18"/>
    </row>
    <row r="50" ht="15.75" customHeight="1">
      <c r="A50" s="7"/>
      <c r="B50" s="53">
        <v>643.0</v>
      </c>
      <c r="C50" s="20">
        <v>126.0</v>
      </c>
      <c r="D50" s="21">
        <v>0.9180555555555555</v>
      </c>
      <c r="E50" s="22">
        <v>0.9215277777777777</v>
      </c>
      <c r="F50" s="68"/>
      <c r="G50" s="68"/>
      <c r="H50" s="69"/>
      <c r="I50" s="11"/>
      <c r="J50" s="12"/>
      <c r="K50" s="38"/>
      <c r="L50" s="11"/>
      <c r="M50" s="12"/>
      <c r="N50" s="38"/>
      <c r="O50" s="11"/>
      <c r="P50" s="12"/>
      <c r="Q50" s="38"/>
      <c r="R50" s="11"/>
      <c r="S50" s="12"/>
      <c r="T50" s="38"/>
      <c r="U50" s="11"/>
      <c r="V50" s="12"/>
    </row>
    <row r="51" ht="15.75" customHeight="1">
      <c r="A51" s="7"/>
      <c r="B51" s="53">
        <v>705.0</v>
      </c>
      <c r="C51" s="20">
        <v>125.0</v>
      </c>
      <c r="D51" s="21">
        <v>0.9166666666666666</v>
      </c>
      <c r="E51" s="22">
        <v>0.91875</v>
      </c>
      <c r="F51" s="14">
        <v>107.0</v>
      </c>
      <c r="G51" s="15">
        <v>0.23055555555555557</v>
      </c>
      <c r="H51" s="16">
        <v>0.3159722222222222</v>
      </c>
      <c r="I51" s="11"/>
      <c r="J51" s="12"/>
      <c r="K51" s="38"/>
      <c r="L51" s="11"/>
      <c r="M51" s="12"/>
      <c r="N51" s="38"/>
      <c r="O51" s="11"/>
      <c r="P51" s="12"/>
      <c r="Q51" s="38"/>
      <c r="R51" s="11"/>
      <c r="S51" s="12"/>
      <c r="T51" s="38"/>
      <c r="U51" s="11"/>
      <c r="V51" s="12"/>
    </row>
    <row r="52" ht="15.75" customHeight="1">
      <c r="A52" s="7"/>
      <c r="B52" s="53">
        <v>516.0</v>
      </c>
      <c r="C52" s="20">
        <v>124.0</v>
      </c>
      <c r="D52" s="21">
        <v>0.9152777777777777</v>
      </c>
      <c r="E52" s="22">
        <v>0.9208333333333333</v>
      </c>
      <c r="F52" s="14">
        <v>106.0</v>
      </c>
      <c r="G52" s="15">
        <v>0.22291666666666668</v>
      </c>
      <c r="H52" s="16">
        <v>0.23402777777777778</v>
      </c>
      <c r="I52" s="11"/>
      <c r="J52" s="12"/>
      <c r="K52" s="13"/>
      <c r="L52" s="11"/>
      <c r="M52" s="12"/>
      <c r="N52" s="13"/>
      <c r="O52" s="11"/>
      <c r="P52" s="12"/>
      <c r="Q52" s="13"/>
      <c r="R52" s="11"/>
      <c r="S52" s="12"/>
      <c r="T52" s="13"/>
      <c r="U52" s="11"/>
      <c r="V52" s="12"/>
    </row>
    <row r="53" ht="15.75" customHeight="1">
      <c r="A53" s="7"/>
      <c r="B53" s="53">
        <v>592.0</v>
      </c>
      <c r="C53" s="20">
        <v>123.0</v>
      </c>
      <c r="D53" s="21">
        <v>0.9152777777777777</v>
      </c>
      <c r="E53" s="22">
        <v>0.9236111111111112</v>
      </c>
      <c r="F53" s="14">
        <v>116.0</v>
      </c>
      <c r="G53" s="15">
        <v>0.24791666666666667</v>
      </c>
      <c r="H53" s="16">
        <v>0.25</v>
      </c>
      <c r="I53" s="11"/>
      <c r="J53" s="18"/>
      <c r="K53" s="38"/>
      <c r="L53" s="11"/>
      <c r="M53" s="18"/>
      <c r="N53" s="38"/>
      <c r="O53" s="11"/>
      <c r="P53" s="18"/>
      <c r="Q53" s="38"/>
      <c r="R53" s="11"/>
      <c r="S53" s="18"/>
      <c r="T53" s="38"/>
      <c r="U53" s="11"/>
      <c r="V53" s="18"/>
    </row>
    <row r="54" ht="15.75" customHeight="1">
      <c r="A54" s="7"/>
      <c r="B54" s="53">
        <v>556.0</v>
      </c>
      <c r="C54" s="20">
        <v>122.0</v>
      </c>
      <c r="D54" s="21">
        <v>0.9152777777777777</v>
      </c>
      <c r="E54" s="22">
        <v>0.9180555555555555</v>
      </c>
      <c r="F54" s="14">
        <v>138.0</v>
      </c>
      <c r="G54" s="15">
        <v>0.31180555555555556</v>
      </c>
      <c r="H54" s="16">
        <v>0.3138888888888889</v>
      </c>
      <c r="I54" s="11"/>
      <c r="J54" s="12"/>
      <c r="K54" s="13"/>
      <c r="L54" s="11"/>
      <c r="M54" s="12"/>
      <c r="N54" s="13"/>
      <c r="O54" s="11"/>
      <c r="P54" s="12"/>
      <c r="Q54" s="13"/>
      <c r="R54" s="11"/>
      <c r="S54" s="12"/>
      <c r="T54" s="13"/>
      <c r="U54" s="11"/>
      <c r="V54" s="18"/>
    </row>
    <row r="55" ht="15.75" customHeight="1">
      <c r="A55" s="7"/>
      <c r="B55" s="53">
        <v>597.0</v>
      </c>
      <c r="C55" s="20">
        <v>121.0</v>
      </c>
      <c r="D55" s="21">
        <v>0.9138888888888889</v>
      </c>
      <c r="E55" s="22">
        <v>0.9131944444444444</v>
      </c>
      <c r="F55" s="14">
        <v>126.0</v>
      </c>
      <c r="G55" s="15">
        <v>0.27291666666666664</v>
      </c>
      <c r="H55" s="16">
        <v>0.2791666666666667</v>
      </c>
      <c r="I55" s="11"/>
      <c r="J55" s="18"/>
      <c r="K55" s="38"/>
      <c r="L55" s="11"/>
      <c r="M55" s="18"/>
      <c r="N55" s="38"/>
      <c r="O55" s="11"/>
      <c r="P55" s="18"/>
      <c r="Q55" s="38"/>
      <c r="R55" s="11"/>
      <c r="S55" s="18"/>
      <c r="T55" s="38"/>
      <c r="U55" s="11"/>
      <c r="V55" s="18"/>
    </row>
    <row r="56" ht="15.75" customHeight="1">
      <c r="A56" s="7"/>
      <c r="B56" s="53">
        <v>580.0</v>
      </c>
      <c r="C56" s="20">
        <v>120.0</v>
      </c>
      <c r="D56" s="21">
        <v>0.9104166666666667</v>
      </c>
      <c r="E56" s="22">
        <v>0.9152777777777777</v>
      </c>
      <c r="F56" s="14">
        <v>112.0</v>
      </c>
      <c r="G56" s="15">
        <v>0.2361111111111111</v>
      </c>
      <c r="H56" s="16">
        <v>0.24513888888888888</v>
      </c>
      <c r="I56" s="11"/>
      <c r="J56" s="12"/>
      <c r="K56" s="13"/>
      <c r="L56" s="11"/>
      <c r="M56" s="12"/>
      <c r="N56" s="13"/>
      <c r="O56" s="11"/>
      <c r="P56" s="12"/>
      <c r="Q56" s="13"/>
      <c r="R56" s="11"/>
      <c r="S56" s="12"/>
      <c r="T56" s="13"/>
      <c r="U56" s="11"/>
      <c r="V56" s="18"/>
    </row>
    <row r="57" ht="15.75" customHeight="1">
      <c r="A57" s="7"/>
      <c r="B57" s="53">
        <v>545.0</v>
      </c>
      <c r="C57" s="20">
        <v>119.0</v>
      </c>
      <c r="D57" s="21">
        <v>0.9097222222222222</v>
      </c>
      <c r="E57" s="22">
        <v>0.9166666666666666</v>
      </c>
      <c r="F57" s="14">
        <v>111.0</v>
      </c>
      <c r="G57" s="15">
        <v>0.2361111111111111</v>
      </c>
      <c r="H57" s="16">
        <v>0.24027777777777778</v>
      </c>
      <c r="I57" s="11"/>
      <c r="J57" s="12"/>
      <c r="K57" s="13"/>
      <c r="L57" s="11"/>
      <c r="M57" s="12"/>
      <c r="N57" s="13"/>
      <c r="O57" s="11"/>
      <c r="P57" s="12"/>
      <c r="Q57" s="13"/>
      <c r="R57" s="11"/>
      <c r="S57" s="12"/>
      <c r="T57" s="13"/>
      <c r="U57" s="11"/>
      <c r="V57" s="18"/>
    </row>
    <row r="58" ht="15.75" customHeight="1">
      <c r="A58" s="7"/>
      <c r="B58" s="53">
        <v>534.0</v>
      </c>
      <c r="C58" s="20">
        <v>118.0</v>
      </c>
      <c r="D58" s="21">
        <v>0.9097222222222222</v>
      </c>
      <c r="E58" s="22">
        <v>0.9166666666666666</v>
      </c>
      <c r="F58" s="14">
        <v>113.0</v>
      </c>
      <c r="G58" s="15">
        <v>0.2361111111111111</v>
      </c>
      <c r="H58" s="16">
        <v>0.24513888888888888</v>
      </c>
      <c r="I58" s="11"/>
      <c r="J58" s="18"/>
      <c r="K58" s="38"/>
      <c r="L58" s="11"/>
      <c r="M58" s="18"/>
      <c r="N58" s="38"/>
      <c r="O58" s="11"/>
      <c r="P58" s="18"/>
      <c r="Q58" s="38"/>
      <c r="R58" s="11"/>
      <c r="S58" s="18"/>
      <c r="T58" s="38"/>
      <c r="U58" s="11"/>
      <c r="V58" s="12"/>
    </row>
    <row r="59" ht="15.75" customHeight="1">
      <c r="A59" s="7"/>
      <c r="B59" s="53">
        <v>525.0</v>
      </c>
      <c r="C59" s="20">
        <v>117.0</v>
      </c>
      <c r="D59" s="21">
        <v>0.9097222222222222</v>
      </c>
      <c r="E59" s="22">
        <v>0.9138888888888889</v>
      </c>
      <c r="F59" s="14">
        <v>108.0</v>
      </c>
      <c r="G59" s="15">
        <v>0.23333333333333334</v>
      </c>
      <c r="H59" s="16">
        <v>0.23680555555555555</v>
      </c>
      <c r="I59" s="11"/>
      <c r="J59" s="12"/>
      <c r="K59" s="13"/>
      <c r="L59" s="11"/>
      <c r="M59" s="12"/>
      <c r="N59" s="13"/>
      <c r="O59" s="11"/>
      <c r="P59" s="12"/>
      <c r="Q59" s="13"/>
      <c r="R59" s="11"/>
      <c r="S59" s="12"/>
      <c r="T59" s="13"/>
      <c r="U59" s="11"/>
      <c r="V59" s="12"/>
    </row>
    <row r="60" ht="15.75" customHeight="1">
      <c r="A60" s="7"/>
      <c r="B60" s="53">
        <v>615.0</v>
      </c>
      <c r="C60" s="20">
        <v>116.0</v>
      </c>
      <c r="D60" s="21">
        <v>0.9090277777777778</v>
      </c>
      <c r="E60" s="22">
        <v>0.9208333333333333</v>
      </c>
      <c r="F60" s="14">
        <v>130.0</v>
      </c>
      <c r="G60" s="15">
        <v>0.2951388888888889</v>
      </c>
      <c r="H60" s="16">
        <v>0.3013888888888889</v>
      </c>
      <c r="I60" s="11"/>
      <c r="J60" s="12"/>
      <c r="K60" s="13"/>
      <c r="L60" s="11"/>
      <c r="M60" s="12"/>
      <c r="N60" s="13"/>
      <c r="O60" s="11"/>
      <c r="P60" s="12"/>
      <c r="Q60" s="13"/>
      <c r="R60" s="11"/>
      <c r="S60" s="12"/>
      <c r="T60" s="13"/>
      <c r="U60" s="11"/>
      <c r="V60" s="12"/>
    </row>
    <row r="61" ht="15.75" customHeight="1">
      <c r="A61" s="7"/>
      <c r="B61" s="53">
        <v>714.0</v>
      </c>
      <c r="C61" s="20">
        <v>115.0</v>
      </c>
      <c r="D61" s="21">
        <v>0.9083333333333333</v>
      </c>
      <c r="E61" s="22">
        <v>0.9111111111111111</v>
      </c>
      <c r="F61" s="14">
        <v>105.0</v>
      </c>
      <c r="G61" s="15">
        <v>0.21666666666666667</v>
      </c>
      <c r="H61" s="16">
        <v>0.22291666666666668</v>
      </c>
      <c r="I61" s="11"/>
      <c r="J61" s="12"/>
      <c r="K61" s="38"/>
      <c r="L61" s="11"/>
      <c r="M61" s="12"/>
      <c r="N61" s="38"/>
      <c r="O61" s="11"/>
      <c r="P61" s="12"/>
      <c r="Q61" s="38"/>
      <c r="R61" s="11"/>
      <c r="S61" s="12"/>
      <c r="T61" s="38"/>
      <c r="U61" s="11"/>
      <c r="V61" s="12"/>
    </row>
    <row r="62" ht="15.75" customHeight="1">
      <c r="A62" s="7"/>
      <c r="B62" s="53">
        <v>712.0</v>
      </c>
      <c r="C62" s="20">
        <v>114.0</v>
      </c>
      <c r="D62" s="21">
        <v>0.9055555555555556</v>
      </c>
      <c r="E62" s="22">
        <v>0.9152777777777777</v>
      </c>
      <c r="F62" s="68"/>
      <c r="G62" s="68"/>
      <c r="H62" s="69"/>
      <c r="I62" s="11"/>
      <c r="J62" s="12"/>
      <c r="K62" s="13"/>
      <c r="L62" s="11"/>
      <c r="M62" s="12"/>
      <c r="N62" s="38"/>
      <c r="O62" s="11"/>
      <c r="P62" s="12"/>
      <c r="Q62" s="38"/>
      <c r="R62" s="11"/>
      <c r="S62" s="12"/>
      <c r="T62" s="38"/>
      <c r="U62" s="11"/>
      <c r="V62" s="12"/>
    </row>
    <row r="63" ht="15.75" customHeight="1">
      <c r="A63" s="7"/>
      <c r="B63" s="53">
        <v>739.0</v>
      </c>
      <c r="C63" s="20">
        <v>113.0</v>
      </c>
      <c r="D63" s="21">
        <v>0.9027777777777778</v>
      </c>
      <c r="E63" s="22">
        <v>0.9083333333333333</v>
      </c>
      <c r="F63" s="14">
        <v>97.0</v>
      </c>
      <c r="G63" s="15">
        <v>0.20277777777777778</v>
      </c>
      <c r="H63" s="16">
        <v>0.20555555555555555</v>
      </c>
      <c r="I63" s="11"/>
      <c r="J63" s="12"/>
      <c r="K63" s="13"/>
      <c r="L63" s="11"/>
      <c r="M63" s="12"/>
      <c r="N63" s="13"/>
      <c r="O63" s="11"/>
      <c r="P63" s="12"/>
      <c r="Q63" s="13"/>
      <c r="R63" s="11"/>
      <c r="S63" s="12"/>
      <c r="T63" s="13"/>
      <c r="U63" s="11"/>
      <c r="V63" s="12"/>
    </row>
    <row r="64" ht="15.75" customHeight="1">
      <c r="A64" s="7"/>
      <c r="B64" s="53">
        <v>548.0</v>
      </c>
      <c r="C64" s="20">
        <v>112.0</v>
      </c>
      <c r="D64" s="21">
        <v>0.9027777777777778</v>
      </c>
      <c r="E64" s="22">
        <v>0.9083333333333333</v>
      </c>
      <c r="F64" s="14">
        <v>100.0</v>
      </c>
      <c r="G64" s="15">
        <v>0.20347222222222222</v>
      </c>
      <c r="H64" s="16">
        <v>0.20625</v>
      </c>
      <c r="I64" s="11"/>
      <c r="J64" s="12"/>
      <c r="K64" s="13"/>
      <c r="L64" s="11"/>
      <c r="M64" s="12"/>
      <c r="N64" s="13"/>
      <c r="O64" s="11"/>
      <c r="P64" s="12"/>
      <c r="Q64" s="13"/>
      <c r="R64" s="11"/>
      <c r="S64" s="12"/>
      <c r="T64" s="13"/>
      <c r="U64" s="11"/>
      <c r="V64" s="18"/>
    </row>
    <row r="65" ht="15.75" customHeight="1">
      <c r="A65" s="7"/>
      <c r="B65" s="53">
        <v>606.0</v>
      </c>
      <c r="C65" s="20">
        <v>111.0</v>
      </c>
      <c r="D65" s="21">
        <v>0.9027777777777778</v>
      </c>
      <c r="E65" s="22">
        <v>0.9083333333333333</v>
      </c>
      <c r="F65" s="14">
        <v>109.0</v>
      </c>
      <c r="G65" s="15">
        <v>0.23541666666666666</v>
      </c>
      <c r="H65" s="16">
        <v>0.23819444444444443</v>
      </c>
      <c r="I65" s="11"/>
      <c r="J65" s="12"/>
      <c r="K65" s="13"/>
      <c r="L65" s="11"/>
      <c r="M65" s="12"/>
      <c r="N65" s="13"/>
      <c r="O65" s="11"/>
      <c r="P65" s="12"/>
      <c r="Q65" s="13"/>
      <c r="R65" s="11"/>
      <c r="S65" s="12"/>
      <c r="T65" s="13"/>
      <c r="U65" s="11"/>
      <c r="V65" s="12"/>
    </row>
    <row r="66" ht="15.75" customHeight="1">
      <c r="A66" s="7"/>
      <c r="B66" s="53">
        <v>607.0</v>
      </c>
      <c r="C66" s="20">
        <v>110.0</v>
      </c>
      <c r="D66" s="21">
        <v>0.9027777777777778</v>
      </c>
      <c r="E66" s="22">
        <v>0.9013888888888889</v>
      </c>
      <c r="F66" s="14">
        <v>92.0</v>
      </c>
      <c r="G66" s="15">
        <v>0.19722222222222222</v>
      </c>
      <c r="H66" s="16">
        <v>0.19930555555555557</v>
      </c>
      <c r="I66" s="11"/>
      <c r="J66" s="12"/>
      <c r="K66" s="38"/>
      <c r="L66" s="11"/>
      <c r="M66" s="12"/>
      <c r="N66" s="38"/>
      <c r="O66" s="11"/>
      <c r="P66" s="12"/>
      <c r="Q66" s="38"/>
      <c r="R66" s="11"/>
      <c r="S66" s="12"/>
      <c r="T66" s="38"/>
      <c r="U66" s="11"/>
      <c r="V66" s="12"/>
    </row>
    <row r="67" ht="15.75" customHeight="1">
      <c r="A67" s="7"/>
      <c r="B67" s="53">
        <v>699.0</v>
      </c>
      <c r="C67" s="20">
        <v>109.0</v>
      </c>
      <c r="D67" s="21">
        <v>0.8986111111111111</v>
      </c>
      <c r="E67" s="22">
        <v>0.8944444444444445</v>
      </c>
      <c r="F67" s="14">
        <v>96.0</v>
      </c>
      <c r="G67" s="15">
        <v>0.20277777777777778</v>
      </c>
      <c r="H67" s="16">
        <v>0.20555555555555555</v>
      </c>
      <c r="I67" s="11"/>
      <c r="J67" s="12"/>
      <c r="K67" s="13"/>
      <c r="L67" s="11"/>
      <c r="M67" s="12"/>
      <c r="N67" s="13"/>
      <c r="O67" s="11"/>
      <c r="P67" s="12"/>
      <c r="Q67" s="38"/>
      <c r="R67" s="11"/>
      <c r="S67" s="12"/>
      <c r="T67" s="38"/>
      <c r="U67" s="11"/>
      <c r="V67" s="12"/>
    </row>
    <row r="68" ht="15.75" customHeight="1">
      <c r="A68" s="7"/>
      <c r="B68" s="53">
        <v>577.0</v>
      </c>
      <c r="C68" s="20">
        <v>108.0</v>
      </c>
      <c r="D68" s="21">
        <v>0.8923611111111112</v>
      </c>
      <c r="E68" s="22">
        <v>0.8951388888888889</v>
      </c>
      <c r="F68" s="14">
        <v>90.0</v>
      </c>
      <c r="G68" s="15">
        <v>0.19236111111111112</v>
      </c>
      <c r="H68" s="16">
        <v>0.19444444444444445</v>
      </c>
      <c r="I68" s="11"/>
      <c r="J68" s="18"/>
      <c r="K68" s="38"/>
      <c r="L68" s="11"/>
      <c r="M68" s="18"/>
      <c r="N68" s="38"/>
      <c r="O68" s="11"/>
      <c r="P68" s="18"/>
      <c r="Q68" s="38"/>
      <c r="R68" s="11"/>
      <c r="S68" s="18"/>
      <c r="T68" s="38"/>
      <c r="U68" s="11"/>
      <c r="V68" s="18"/>
    </row>
    <row r="69" ht="15.75" customHeight="1">
      <c r="A69" s="7"/>
      <c r="B69" s="53">
        <v>538.0</v>
      </c>
      <c r="C69" s="20">
        <v>107.0</v>
      </c>
      <c r="D69" s="21">
        <v>0.8923611111111112</v>
      </c>
      <c r="E69" s="22">
        <v>0.8965277777777778</v>
      </c>
      <c r="F69" s="14">
        <v>93.0</v>
      </c>
      <c r="G69" s="15">
        <v>0.20069444444444445</v>
      </c>
      <c r="H69" s="16">
        <v>0.20555555555555555</v>
      </c>
      <c r="I69" s="11"/>
      <c r="J69" s="12"/>
      <c r="K69" s="13"/>
      <c r="L69" s="11"/>
      <c r="M69" s="12"/>
      <c r="N69" s="13"/>
      <c r="O69" s="11"/>
      <c r="P69" s="12"/>
      <c r="Q69" s="13"/>
      <c r="R69" s="11"/>
      <c r="S69" s="12"/>
      <c r="T69" s="13"/>
      <c r="U69" s="11"/>
      <c r="V69" s="12"/>
    </row>
    <row r="70" ht="15.75" customHeight="1">
      <c r="A70" s="7"/>
      <c r="B70" s="53">
        <v>737.0</v>
      </c>
      <c r="C70" s="20">
        <v>106.0</v>
      </c>
      <c r="D70" s="21">
        <v>0.8916666666666667</v>
      </c>
      <c r="E70" s="22">
        <v>0.8902777777777777</v>
      </c>
      <c r="F70" s="14">
        <v>80.0</v>
      </c>
      <c r="G70" s="15">
        <v>0.16805555555555557</v>
      </c>
      <c r="H70" s="16">
        <v>0.16666666666666666</v>
      </c>
      <c r="I70" s="11"/>
      <c r="J70" s="12"/>
      <c r="K70" s="13"/>
      <c r="L70" s="11"/>
      <c r="M70" s="12"/>
      <c r="N70" s="13"/>
      <c r="O70" s="11"/>
      <c r="P70" s="12"/>
      <c r="Q70" s="13"/>
      <c r="R70" s="11"/>
      <c r="S70" s="12"/>
      <c r="T70" s="13"/>
      <c r="U70" s="11"/>
      <c r="V70" s="18"/>
    </row>
    <row r="71" ht="15.75" customHeight="1">
      <c r="A71" s="7"/>
      <c r="B71" s="53">
        <v>518.0</v>
      </c>
      <c r="C71" s="20">
        <v>105.0</v>
      </c>
      <c r="D71" s="21">
        <v>0.8888888888888888</v>
      </c>
      <c r="E71" s="22">
        <v>0.8909722222222223</v>
      </c>
      <c r="F71" s="14">
        <v>103.0</v>
      </c>
      <c r="G71" s="15">
        <v>0.21041666666666667</v>
      </c>
      <c r="H71" s="16">
        <v>0.21041666666666667</v>
      </c>
      <c r="I71" s="11"/>
      <c r="J71" s="12"/>
      <c r="K71" s="13"/>
      <c r="L71" s="11"/>
      <c r="M71" s="12"/>
      <c r="N71" s="13"/>
      <c r="O71" s="11"/>
      <c r="P71" s="12"/>
      <c r="Q71" s="13"/>
      <c r="R71" s="11"/>
      <c r="S71" s="12"/>
      <c r="T71" s="13"/>
      <c r="U71" s="11"/>
      <c r="V71" s="12"/>
    </row>
    <row r="72" ht="15.75" customHeight="1">
      <c r="B72" s="53">
        <v>688.0</v>
      </c>
      <c r="C72" s="20">
        <v>104.0</v>
      </c>
      <c r="D72" s="21">
        <v>0.8881944444444444</v>
      </c>
      <c r="E72" s="22">
        <v>0.8930555555555556</v>
      </c>
      <c r="F72" s="14">
        <v>94.0</v>
      </c>
      <c r="G72" s="15">
        <v>0.2013888888888889</v>
      </c>
      <c r="H72" s="16">
        <v>0.2048611111111111</v>
      </c>
      <c r="I72" s="73"/>
      <c r="K72" s="72"/>
      <c r="L72" s="73"/>
      <c r="N72" s="72"/>
      <c r="O72" s="73"/>
      <c r="Q72" s="72"/>
      <c r="R72" s="73"/>
      <c r="T72" s="72"/>
      <c r="U72" s="73"/>
    </row>
    <row r="73" ht="15.75" customHeight="1">
      <c r="A73" s="7"/>
      <c r="B73" s="53">
        <v>582.0</v>
      </c>
      <c r="C73" s="20">
        <v>103.0</v>
      </c>
      <c r="D73" s="21">
        <v>0.8881944444444444</v>
      </c>
      <c r="E73" s="22">
        <v>0.8895833333333333</v>
      </c>
      <c r="F73" s="14">
        <v>99.0</v>
      </c>
      <c r="G73" s="15">
        <v>0.20277777777777778</v>
      </c>
      <c r="H73" s="16">
        <v>0.20555555555555555</v>
      </c>
      <c r="I73" s="11"/>
      <c r="J73" s="12"/>
      <c r="K73" s="38"/>
      <c r="L73" s="11"/>
      <c r="M73" s="12"/>
      <c r="N73" s="38"/>
      <c r="O73" s="11"/>
      <c r="P73" s="12"/>
      <c r="Q73" s="38"/>
      <c r="R73" s="11"/>
      <c r="S73" s="12"/>
      <c r="T73" s="38"/>
      <c r="U73" s="11"/>
      <c r="V73" s="12"/>
    </row>
    <row r="74" ht="15.75" customHeight="1">
      <c r="A74" s="7"/>
      <c r="B74" s="53">
        <v>704.0</v>
      </c>
      <c r="C74" s="20">
        <v>102.0</v>
      </c>
      <c r="D74" s="21">
        <v>0.8861111111111111</v>
      </c>
      <c r="E74" s="22">
        <v>0.8881944444444444</v>
      </c>
      <c r="F74" s="68"/>
      <c r="G74" s="68"/>
      <c r="H74" s="69"/>
      <c r="I74" s="11"/>
      <c r="J74" s="12"/>
      <c r="K74" s="13"/>
      <c r="L74" s="11"/>
      <c r="M74" s="12"/>
      <c r="N74" s="13"/>
      <c r="O74" s="11"/>
      <c r="P74" s="12"/>
      <c r="Q74" s="13"/>
      <c r="R74" s="11"/>
      <c r="S74" s="12"/>
      <c r="T74" s="13"/>
      <c r="U74" s="11"/>
      <c r="V74" s="12"/>
    </row>
    <row r="75" ht="15.75" customHeight="1">
      <c r="A75" s="7"/>
      <c r="B75" s="53">
        <v>693.0</v>
      </c>
      <c r="C75" s="20">
        <v>101.0</v>
      </c>
      <c r="D75" s="21">
        <v>0.8861111111111111</v>
      </c>
      <c r="E75" s="22">
        <v>0.8888888888888888</v>
      </c>
      <c r="F75" s="14">
        <v>104.0</v>
      </c>
      <c r="G75" s="15">
        <v>0.21041666666666667</v>
      </c>
      <c r="H75" s="16">
        <v>0.21666666666666667</v>
      </c>
      <c r="I75" s="11"/>
      <c r="J75" s="12"/>
      <c r="K75" s="38"/>
      <c r="L75" s="11"/>
      <c r="M75" s="12"/>
      <c r="N75" s="38"/>
      <c r="O75" s="11"/>
      <c r="P75" s="12"/>
      <c r="Q75" s="38"/>
      <c r="R75" s="11"/>
      <c r="S75" s="12"/>
      <c r="T75" s="38"/>
      <c r="U75" s="11"/>
      <c r="V75" s="12"/>
    </row>
    <row r="76" ht="15.75" customHeight="1">
      <c r="A76" s="7"/>
      <c r="B76" s="53">
        <v>626.0</v>
      </c>
      <c r="C76" s="20">
        <v>100.0</v>
      </c>
      <c r="D76" s="21">
        <v>0.8847222222222222</v>
      </c>
      <c r="E76" s="22">
        <v>0.8875</v>
      </c>
      <c r="F76" s="14">
        <v>102.0</v>
      </c>
      <c r="G76" s="15">
        <v>0.20347222222222222</v>
      </c>
      <c r="H76" s="16">
        <v>0.20694444444444443</v>
      </c>
      <c r="I76" s="11"/>
      <c r="J76" s="12"/>
      <c r="K76" s="38"/>
      <c r="L76" s="11"/>
      <c r="M76" s="12"/>
      <c r="N76" s="38"/>
      <c r="O76" s="11"/>
      <c r="P76" s="12"/>
      <c r="Q76" s="38"/>
      <c r="R76" s="11"/>
      <c r="S76" s="12"/>
      <c r="T76" s="38"/>
      <c r="U76" s="11"/>
      <c r="V76" s="12"/>
    </row>
    <row r="77" ht="15.75" customHeight="1">
      <c r="A77" s="7"/>
      <c r="B77" s="53">
        <v>504.0</v>
      </c>
      <c r="C77" s="20">
        <v>99.0</v>
      </c>
      <c r="D77" s="21">
        <v>0.8840277777777777</v>
      </c>
      <c r="E77" s="22">
        <v>0.8909722222222223</v>
      </c>
      <c r="F77" s="14">
        <v>131.0</v>
      </c>
      <c r="G77" s="15">
        <v>0.2965277777777778</v>
      </c>
      <c r="H77" s="16">
        <v>0.30833333333333335</v>
      </c>
      <c r="I77" s="11"/>
      <c r="J77" s="12"/>
      <c r="K77" s="13"/>
      <c r="L77" s="11"/>
      <c r="M77" s="12"/>
      <c r="N77" s="13"/>
      <c r="O77" s="11"/>
      <c r="P77" s="12"/>
      <c r="Q77" s="13"/>
      <c r="R77" s="11"/>
      <c r="S77" s="12"/>
      <c r="T77" s="13"/>
      <c r="U77" s="11"/>
      <c r="V77" s="18"/>
    </row>
    <row r="78" ht="15.75" customHeight="1">
      <c r="A78" s="7"/>
      <c r="B78" s="53">
        <v>730.0</v>
      </c>
      <c r="C78" s="20">
        <v>98.0</v>
      </c>
      <c r="D78" s="21">
        <v>0.8819444444444444</v>
      </c>
      <c r="E78" s="22">
        <v>0.8826388888888889</v>
      </c>
      <c r="F78" s="14">
        <v>84.0</v>
      </c>
      <c r="G78" s="15">
        <v>0.17708333333333334</v>
      </c>
      <c r="H78" s="16">
        <v>0.18125</v>
      </c>
      <c r="I78" s="11"/>
      <c r="J78" s="12"/>
      <c r="K78" s="38"/>
      <c r="L78" s="11"/>
      <c r="M78" s="12"/>
      <c r="N78" s="38"/>
      <c r="O78" s="11"/>
      <c r="P78" s="12"/>
      <c r="Q78" s="38"/>
      <c r="R78" s="11"/>
      <c r="S78" s="12"/>
      <c r="T78" s="38"/>
      <c r="U78" s="11"/>
      <c r="V78" s="18"/>
    </row>
    <row r="79" ht="15.75" customHeight="1">
      <c r="A79" s="7"/>
      <c r="B79" s="53">
        <v>571.0</v>
      </c>
      <c r="C79" s="20">
        <v>97.0</v>
      </c>
      <c r="D79" s="21">
        <v>0.8777777777777778</v>
      </c>
      <c r="E79" s="22">
        <v>0.8875</v>
      </c>
      <c r="F79" s="14">
        <v>98.0</v>
      </c>
      <c r="G79" s="15">
        <v>0.20277777777777778</v>
      </c>
      <c r="H79" s="16">
        <v>0.21041666666666667</v>
      </c>
      <c r="I79" s="11"/>
      <c r="J79" s="12"/>
      <c r="K79" s="13"/>
      <c r="L79" s="11"/>
      <c r="M79" s="12"/>
      <c r="N79" s="13"/>
      <c r="O79" s="11"/>
      <c r="P79" s="12"/>
      <c r="Q79" s="13"/>
      <c r="R79" s="11"/>
      <c r="S79" s="12"/>
      <c r="T79" s="13"/>
      <c r="U79" s="11"/>
      <c r="V79" s="12"/>
    </row>
    <row r="80" ht="15.75" customHeight="1">
      <c r="A80" s="7"/>
      <c r="B80" s="53">
        <v>559.0</v>
      </c>
      <c r="C80" s="20">
        <v>96.0</v>
      </c>
      <c r="D80" s="21">
        <v>0.8777777777777778</v>
      </c>
      <c r="E80" s="22">
        <v>0.8763888888888889</v>
      </c>
      <c r="F80" s="14">
        <v>91.0</v>
      </c>
      <c r="G80" s="15">
        <v>0.19722222222222222</v>
      </c>
      <c r="H80" s="16">
        <v>0.20277777777777778</v>
      </c>
      <c r="I80" s="11"/>
      <c r="J80" s="12"/>
      <c r="K80" s="13"/>
      <c r="L80" s="11"/>
      <c r="M80" s="12"/>
      <c r="N80" s="13"/>
      <c r="O80" s="11"/>
      <c r="P80" s="12"/>
      <c r="Q80" s="13"/>
      <c r="R80" s="11"/>
      <c r="S80" s="12"/>
      <c r="T80" s="13"/>
      <c r="U80" s="11"/>
      <c r="V80" s="18"/>
    </row>
    <row r="81" ht="15.75" customHeight="1">
      <c r="A81" s="7"/>
      <c r="B81" s="53">
        <v>528.0</v>
      </c>
      <c r="C81" s="20">
        <v>95.0</v>
      </c>
      <c r="D81" s="21">
        <v>0.8708333333333333</v>
      </c>
      <c r="E81" s="22">
        <v>0.8736111111111111</v>
      </c>
      <c r="F81" s="14">
        <v>95.0</v>
      </c>
      <c r="G81" s="15">
        <v>0.20208333333333334</v>
      </c>
      <c r="H81" s="16">
        <v>0.20902777777777778</v>
      </c>
      <c r="I81" s="11"/>
      <c r="J81" s="12"/>
      <c r="K81" s="13"/>
      <c r="L81" s="11"/>
      <c r="M81" s="12"/>
      <c r="N81" s="13"/>
      <c r="O81" s="11"/>
      <c r="P81" s="12"/>
      <c r="Q81" s="13"/>
      <c r="R81" s="11"/>
      <c r="S81" s="12"/>
      <c r="T81" s="13"/>
      <c r="U81" s="11"/>
      <c r="V81" s="12"/>
    </row>
    <row r="82" ht="15.75" customHeight="1">
      <c r="A82" s="7"/>
      <c r="B82" s="53">
        <v>732.0</v>
      </c>
      <c r="C82" s="20">
        <v>94.0</v>
      </c>
      <c r="D82" s="21">
        <v>0.86875</v>
      </c>
      <c r="E82" s="22">
        <v>0.8722222222222222</v>
      </c>
      <c r="F82" s="14">
        <v>115.0</v>
      </c>
      <c r="G82" s="15">
        <v>0.24444444444444444</v>
      </c>
      <c r="H82" s="16">
        <v>0.25763888888888886</v>
      </c>
      <c r="I82" s="11"/>
      <c r="J82" s="12"/>
      <c r="K82" s="13"/>
      <c r="L82" s="11"/>
      <c r="M82" s="12"/>
      <c r="N82" s="13"/>
      <c r="O82" s="11"/>
      <c r="P82" s="12"/>
      <c r="Q82" s="13"/>
      <c r="R82" s="11"/>
      <c r="S82" s="12"/>
      <c r="T82" s="13"/>
      <c r="U82" s="11"/>
      <c r="V82" s="12"/>
    </row>
    <row r="83" ht="15.75" customHeight="1">
      <c r="A83" s="7"/>
      <c r="B83" s="53">
        <v>716.0</v>
      </c>
      <c r="C83" s="20">
        <v>93.0</v>
      </c>
      <c r="D83" s="21">
        <v>0.8673611111111111</v>
      </c>
      <c r="E83" s="22">
        <v>0.8708333333333333</v>
      </c>
      <c r="F83" s="14">
        <v>101.0</v>
      </c>
      <c r="G83" s="15">
        <v>0.20347222222222222</v>
      </c>
      <c r="H83" s="16">
        <v>0.21180555555555555</v>
      </c>
      <c r="I83" s="11"/>
      <c r="J83" s="12"/>
      <c r="K83" s="13"/>
      <c r="L83" s="11"/>
      <c r="M83" s="12"/>
      <c r="N83" s="13"/>
      <c r="O83" s="11"/>
      <c r="P83" s="12"/>
      <c r="Q83" s="13"/>
      <c r="R83" s="11"/>
      <c r="S83" s="12"/>
      <c r="T83" s="13"/>
      <c r="U83" s="11"/>
      <c r="V83" s="18"/>
    </row>
    <row r="84" ht="15.75" customHeight="1">
      <c r="A84" s="7"/>
      <c r="B84" s="53">
        <v>695.0</v>
      </c>
      <c r="C84" s="20">
        <v>92.0</v>
      </c>
      <c r="D84" s="21">
        <v>0.8652777777777778</v>
      </c>
      <c r="E84" s="22">
        <v>0.8652777777777778</v>
      </c>
      <c r="F84" s="14">
        <v>86.0</v>
      </c>
      <c r="G84" s="15">
        <v>0.18472222222222223</v>
      </c>
      <c r="H84" s="16">
        <v>0.1875</v>
      </c>
      <c r="I84" s="11"/>
      <c r="J84" s="18"/>
      <c r="K84" s="38"/>
      <c r="L84" s="11"/>
      <c r="M84" s="18"/>
      <c r="N84" s="38"/>
      <c r="O84" s="11"/>
      <c r="P84" s="18"/>
      <c r="Q84" s="38"/>
      <c r="R84" s="11"/>
      <c r="S84" s="18"/>
      <c r="T84" s="38"/>
      <c r="U84" s="11"/>
      <c r="V84" s="18"/>
    </row>
    <row r="85" ht="15.75" customHeight="1">
      <c r="A85" s="7"/>
      <c r="B85" s="53">
        <v>696.0</v>
      </c>
      <c r="C85" s="20">
        <v>91.0</v>
      </c>
      <c r="D85" s="21">
        <v>0.8597222222222223</v>
      </c>
      <c r="E85" s="22">
        <v>0.8645833333333334</v>
      </c>
      <c r="F85" s="14">
        <v>89.0</v>
      </c>
      <c r="G85" s="15">
        <v>0.18958333333333333</v>
      </c>
      <c r="H85" s="16">
        <v>0.19444444444444445</v>
      </c>
      <c r="I85" s="11"/>
      <c r="J85" s="12"/>
      <c r="K85" s="38"/>
      <c r="L85" s="11"/>
      <c r="M85" s="12"/>
      <c r="N85" s="38"/>
      <c r="O85" s="11"/>
      <c r="P85" s="12"/>
      <c r="Q85" s="38"/>
      <c r="R85" s="11"/>
      <c r="S85" s="12"/>
      <c r="T85" s="38"/>
      <c r="U85" s="11"/>
      <c r="V85" s="12"/>
    </row>
    <row r="86" ht="15.75" customHeight="1">
      <c r="A86" s="7"/>
      <c r="B86" s="53">
        <v>647.0</v>
      </c>
      <c r="C86" s="20">
        <v>90.0</v>
      </c>
      <c r="D86" s="21">
        <v>0.8597222222222223</v>
      </c>
      <c r="E86" s="22">
        <v>0.8645833333333334</v>
      </c>
      <c r="F86" s="14">
        <v>88.0</v>
      </c>
      <c r="G86" s="15">
        <v>0.1875</v>
      </c>
      <c r="H86" s="16">
        <v>0.19930555555555557</v>
      </c>
      <c r="I86" s="11"/>
      <c r="J86" s="12"/>
      <c r="K86" s="38"/>
      <c r="L86" s="11"/>
      <c r="M86" s="12"/>
      <c r="N86" s="38"/>
      <c r="O86" s="11"/>
      <c r="P86" s="12"/>
      <c r="Q86" s="38"/>
      <c r="R86" s="11"/>
      <c r="S86" s="12"/>
      <c r="T86" s="38"/>
      <c r="U86" s="11"/>
      <c r="V86" s="12"/>
    </row>
    <row r="87" ht="15.75" customHeight="1">
      <c r="A87" s="7"/>
      <c r="B87" s="53">
        <v>718.0</v>
      </c>
      <c r="C87" s="20">
        <v>89.0</v>
      </c>
      <c r="D87" s="21">
        <v>0.8590277777777777</v>
      </c>
      <c r="E87" s="22">
        <v>0.8645833333333334</v>
      </c>
      <c r="F87" s="14">
        <v>87.0</v>
      </c>
      <c r="G87" s="15">
        <v>0.1875</v>
      </c>
      <c r="H87" s="16">
        <v>0.1951388888888889</v>
      </c>
      <c r="I87" s="11"/>
      <c r="J87" s="12"/>
      <c r="K87" s="38"/>
      <c r="L87" s="11"/>
      <c r="M87" s="12"/>
      <c r="N87" s="38"/>
      <c r="O87" s="11"/>
      <c r="P87" s="12"/>
      <c r="Q87" s="38"/>
      <c r="R87" s="11"/>
      <c r="S87" s="12"/>
      <c r="T87" s="38"/>
      <c r="U87" s="11"/>
      <c r="V87" s="12"/>
    </row>
    <row r="88" ht="15.75" customHeight="1">
      <c r="A88" s="7"/>
      <c r="B88" s="53">
        <v>625.0</v>
      </c>
      <c r="C88" s="20">
        <v>88.0</v>
      </c>
      <c r="D88" s="21">
        <v>0.8583333333333333</v>
      </c>
      <c r="E88" s="22">
        <v>0.8604166666666667</v>
      </c>
      <c r="F88" s="14">
        <v>68.0</v>
      </c>
      <c r="G88" s="15">
        <v>0.1361111111111111</v>
      </c>
      <c r="H88" s="16">
        <v>0.13958333333333334</v>
      </c>
      <c r="I88" s="11"/>
      <c r="J88" s="12"/>
      <c r="K88" s="38"/>
      <c r="L88" s="11"/>
      <c r="M88" s="12"/>
      <c r="N88" s="38"/>
      <c r="O88" s="11"/>
      <c r="P88" s="12"/>
      <c r="Q88" s="38"/>
      <c r="R88" s="11"/>
      <c r="S88" s="12"/>
      <c r="T88" s="38"/>
      <c r="U88" s="11"/>
      <c r="V88" s="12"/>
    </row>
    <row r="89" ht="15.75" customHeight="1">
      <c r="A89" s="7"/>
      <c r="B89" s="53">
        <v>638.0</v>
      </c>
      <c r="C89" s="20">
        <v>87.0</v>
      </c>
      <c r="D89" s="21">
        <v>0.8569444444444444</v>
      </c>
      <c r="E89" s="22">
        <v>0.8604166666666667</v>
      </c>
      <c r="F89" s="14">
        <v>73.0</v>
      </c>
      <c r="G89" s="15">
        <v>0.14652777777777778</v>
      </c>
      <c r="H89" s="16">
        <v>0.1486111111111111</v>
      </c>
      <c r="I89" s="11"/>
      <c r="J89" s="18"/>
      <c r="K89" s="38"/>
      <c r="L89" s="11"/>
      <c r="M89" s="18"/>
      <c r="N89" s="38"/>
      <c r="O89" s="11"/>
      <c r="P89" s="18"/>
      <c r="Q89" s="38"/>
      <c r="R89" s="11"/>
      <c r="S89" s="18"/>
      <c r="T89" s="38"/>
      <c r="U89" s="11"/>
      <c r="V89" s="12"/>
    </row>
    <row r="90" ht="15.75" customHeight="1">
      <c r="A90" s="7"/>
      <c r="B90" s="53">
        <v>706.0</v>
      </c>
      <c r="C90" s="20">
        <v>86.0</v>
      </c>
      <c r="D90" s="21">
        <v>0.8569444444444444</v>
      </c>
      <c r="E90" s="22">
        <v>0.8645833333333334</v>
      </c>
      <c r="F90" s="14">
        <v>83.0</v>
      </c>
      <c r="G90" s="15">
        <v>0.17291666666666666</v>
      </c>
      <c r="H90" s="16">
        <v>0.18125</v>
      </c>
      <c r="I90" s="11"/>
      <c r="J90" s="12"/>
      <c r="K90" s="13"/>
      <c r="L90" s="11"/>
      <c r="M90" s="12"/>
      <c r="N90" s="13"/>
      <c r="O90" s="11"/>
      <c r="P90" s="12"/>
      <c r="Q90" s="13"/>
      <c r="R90" s="11"/>
      <c r="S90" s="12"/>
      <c r="T90" s="13"/>
      <c r="U90" s="11"/>
      <c r="V90" s="12"/>
    </row>
    <row r="91" ht="15.75" customHeight="1">
      <c r="A91" s="7"/>
      <c r="B91" s="53">
        <v>734.0</v>
      </c>
      <c r="C91" s="20">
        <v>85.0</v>
      </c>
      <c r="D91" s="21">
        <v>0.85625</v>
      </c>
      <c r="E91" s="22">
        <v>0.8625</v>
      </c>
      <c r="F91" s="14">
        <v>85.0</v>
      </c>
      <c r="G91" s="15">
        <v>0.18333333333333332</v>
      </c>
      <c r="H91" s="16">
        <v>0.2</v>
      </c>
      <c r="I91" s="11"/>
      <c r="J91" s="18"/>
      <c r="K91" s="38"/>
      <c r="L91" s="11"/>
      <c r="M91" s="18"/>
      <c r="N91" s="38"/>
      <c r="O91" s="11"/>
      <c r="P91" s="18"/>
      <c r="Q91" s="38"/>
      <c r="R91" s="11"/>
      <c r="S91" s="18"/>
      <c r="T91" s="38"/>
      <c r="U91" s="11"/>
      <c r="V91" s="18"/>
    </row>
    <row r="92" ht="15.75" customHeight="1">
      <c r="A92" s="7"/>
      <c r="B92" s="53">
        <v>585.0</v>
      </c>
      <c r="C92" s="20">
        <v>84.0</v>
      </c>
      <c r="D92" s="21">
        <v>0.8555555555555555</v>
      </c>
      <c r="E92" s="22">
        <v>0.8555555555555555</v>
      </c>
      <c r="F92" s="14">
        <v>60.0</v>
      </c>
      <c r="G92" s="15">
        <v>0.13194444444444445</v>
      </c>
      <c r="H92" s="16">
        <v>0.13541666666666666</v>
      </c>
      <c r="I92" s="11"/>
      <c r="J92" s="12"/>
      <c r="K92" s="13"/>
      <c r="L92" s="11"/>
      <c r="M92" s="12"/>
      <c r="N92" s="38"/>
      <c r="O92" s="11"/>
      <c r="P92" s="12"/>
      <c r="Q92" s="38"/>
      <c r="R92" s="11"/>
      <c r="S92" s="12"/>
      <c r="T92" s="38"/>
      <c r="U92" s="11"/>
      <c r="V92" s="12"/>
    </row>
    <row r="93" ht="15.75" customHeight="1">
      <c r="A93" s="7"/>
      <c r="B93" s="53">
        <v>575.0</v>
      </c>
      <c r="C93" s="20">
        <v>83.0</v>
      </c>
      <c r="D93" s="21">
        <v>0.8548611111111111</v>
      </c>
      <c r="E93" s="22">
        <v>0.8576388888888888</v>
      </c>
      <c r="F93" s="14">
        <v>63.0</v>
      </c>
      <c r="G93" s="15">
        <v>0.1326388888888889</v>
      </c>
      <c r="H93" s="16">
        <v>0.1375</v>
      </c>
      <c r="I93" s="11"/>
      <c r="J93" s="12"/>
      <c r="K93" s="38"/>
      <c r="L93" s="11"/>
      <c r="M93" s="12"/>
      <c r="N93" s="38"/>
      <c r="O93" s="11"/>
      <c r="P93" s="12"/>
      <c r="Q93" s="38"/>
      <c r="R93" s="11"/>
      <c r="S93" s="12"/>
      <c r="T93" s="38"/>
      <c r="U93" s="11"/>
      <c r="V93" s="12"/>
    </row>
    <row r="94" ht="15.75" customHeight="1">
      <c r="A94" s="7"/>
      <c r="B94" s="53">
        <v>519.0</v>
      </c>
      <c r="C94" s="20">
        <v>82.0</v>
      </c>
      <c r="D94" s="21">
        <v>0.8534722222222222</v>
      </c>
      <c r="E94" s="22">
        <v>0.8555555555555555</v>
      </c>
      <c r="F94" s="14">
        <v>78.0</v>
      </c>
      <c r="G94" s="15">
        <v>0.15486111111111112</v>
      </c>
      <c r="H94" s="16">
        <v>0.16319444444444445</v>
      </c>
      <c r="I94" s="11"/>
      <c r="J94" s="12"/>
      <c r="K94" s="13"/>
      <c r="L94" s="11"/>
      <c r="M94" s="12"/>
      <c r="N94" s="13"/>
      <c r="O94" s="11"/>
      <c r="P94" s="12"/>
      <c r="Q94" s="13"/>
      <c r="R94" s="11"/>
      <c r="S94" s="12"/>
      <c r="T94" s="13"/>
      <c r="U94" s="11"/>
      <c r="V94" s="12"/>
    </row>
    <row r="95" ht="15.75" customHeight="1">
      <c r="A95" s="7"/>
      <c r="B95" s="53">
        <v>581.0</v>
      </c>
      <c r="C95" s="20">
        <v>81.0</v>
      </c>
      <c r="D95" s="21">
        <v>0.8534722222222222</v>
      </c>
      <c r="E95" s="70" t="s">
        <v>178</v>
      </c>
      <c r="F95" s="68"/>
      <c r="G95" s="68"/>
      <c r="H95" s="69"/>
      <c r="I95" s="11"/>
      <c r="J95" s="12"/>
      <c r="K95" s="38"/>
      <c r="L95" s="11"/>
      <c r="M95" s="12"/>
      <c r="N95" s="38"/>
      <c r="O95" s="11"/>
      <c r="P95" s="12"/>
      <c r="Q95" s="38"/>
      <c r="R95" s="11"/>
      <c r="S95" s="12"/>
      <c r="T95" s="38"/>
      <c r="U95" s="11"/>
      <c r="V95" s="12"/>
    </row>
    <row r="96" ht="15.75" customHeight="1">
      <c r="A96" s="7"/>
      <c r="B96" s="53">
        <v>522.0</v>
      </c>
      <c r="C96" s="20">
        <v>80.0</v>
      </c>
      <c r="D96" s="21">
        <v>0.8534722222222222</v>
      </c>
      <c r="E96" s="22">
        <v>0.8569444444444444</v>
      </c>
      <c r="F96" s="14">
        <v>57.0</v>
      </c>
      <c r="G96" s="15">
        <v>0.11388888888888889</v>
      </c>
      <c r="H96" s="16">
        <v>0.12013888888888889</v>
      </c>
      <c r="I96" s="11"/>
      <c r="J96" s="12"/>
      <c r="K96" s="13"/>
      <c r="L96" s="11"/>
      <c r="M96" s="12"/>
      <c r="N96" s="13"/>
      <c r="O96" s="11"/>
      <c r="P96" s="12"/>
      <c r="Q96" s="13"/>
      <c r="R96" s="11"/>
      <c r="S96" s="12"/>
      <c r="T96" s="13"/>
      <c r="U96" s="11"/>
      <c r="V96" s="18"/>
    </row>
    <row r="97" ht="15.75" customHeight="1">
      <c r="A97" s="7"/>
      <c r="B97" s="53">
        <v>509.0</v>
      </c>
      <c r="C97" s="20">
        <v>79.0</v>
      </c>
      <c r="D97" s="21">
        <v>0.8534722222222222</v>
      </c>
      <c r="E97" s="22">
        <v>0.8548611111111111</v>
      </c>
      <c r="F97" s="14">
        <v>82.0</v>
      </c>
      <c r="G97" s="15">
        <v>0.17152777777777778</v>
      </c>
      <c r="H97" s="16">
        <v>0.1736111111111111</v>
      </c>
      <c r="I97" s="11"/>
      <c r="J97" s="12"/>
      <c r="K97" s="38"/>
      <c r="L97" s="11"/>
      <c r="M97" s="12"/>
      <c r="N97" s="38"/>
      <c r="O97" s="11"/>
      <c r="P97" s="12"/>
      <c r="Q97" s="38"/>
      <c r="R97" s="11"/>
      <c r="S97" s="12"/>
      <c r="T97" s="38"/>
      <c r="U97" s="11"/>
      <c r="V97" s="12"/>
    </row>
    <row r="98" ht="15.75" customHeight="1">
      <c r="A98" s="7"/>
      <c r="B98" s="53">
        <v>719.0</v>
      </c>
      <c r="C98" s="20">
        <v>78.0</v>
      </c>
      <c r="D98" s="21">
        <v>0.8520833333333333</v>
      </c>
      <c r="E98" s="22">
        <v>0.8534722222222222</v>
      </c>
      <c r="F98" s="14">
        <v>70.0</v>
      </c>
      <c r="G98" s="15">
        <v>0.14166666666666666</v>
      </c>
      <c r="H98" s="16">
        <v>0.14652777777777778</v>
      </c>
      <c r="I98" s="11"/>
      <c r="J98" s="12"/>
      <c r="K98" s="38"/>
      <c r="L98" s="11"/>
      <c r="M98" s="12"/>
      <c r="N98" s="38"/>
      <c r="O98" s="11"/>
      <c r="P98" s="12"/>
      <c r="Q98" s="38"/>
      <c r="R98" s="11"/>
      <c r="S98" s="12"/>
      <c r="T98" s="38"/>
      <c r="U98" s="11"/>
      <c r="V98" s="12"/>
    </row>
    <row r="99" ht="15.75" customHeight="1">
      <c r="A99" s="7"/>
      <c r="B99" s="53">
        <v>549.0</v>
      </c>
      <c r="C99" s="20">
        <v>77.0</v>
      </c>
      <c r="D99" s="21">
        <v>0.8513888888888889</v>
      </c>
      <c r="E99" s="22">
        <v>0.8451388888888889</v>
      </c>
      <c r="F99" s="14">
        <v>59.0</v>
      </c>
      <c r="G99" s="15">
        <v>0.12152777777777778</v>
      </c>
      <c r="H99" s="16">
        <v>0.12569444444444444</v>
      </c>
      <c r="I99" s="11"/>
      <c r="J99" s="12"/>
      <c r="K99" s="38"/>
      <c r="L99" s="11"/>
      <c r="M99" s="12"/>
      <c r="N99" s="38"/>
      <c r="O99" s="11"/>
      <c r="P99" s="12"/>
      <c r="Q99" s="38"/>
      <c r="R99" s="11"/>
      <c r="S99" s="12"/>
      <c r="T99" s="38"/>
      <c r="U99" s="11"/>
      <c r="V99" s="12"/>
    </row>
    <row r="100" ht="15.75" customHeight="1">
      <c r="A100" s="7"/>
      <c r="B100" s="53">
        <v>547.0</v>
      </c>
      <c r="C100" s="20">
        <v>76.0</v>
      </c>
      <c r="D100" s="21">
        <v>0.8402777777777778</v>
      </c>
      <c r="E100" s="22">
        <v>0.8451388888888889</v>
      </c>
      <c r="F100" s="14">
        <v>61.0</v>
      </c>
      <c r="G100" s="15">
        <v>0.13194444444444445</v>
      </c>
      <c r="H100" s="16">
        <v>0.13541666666666666</v>
      </c>
      <c r="I100" s="11"/>
      <c r="J100" s="12"/>
      <c r="K100" s="13"/>
      <c r="L100" s="11"/>
      <c r="M100" s="12"/>
      <c r="N100" s="13"/>
      <c r="O100" s="11"/>
      <c r="P100" s="12"/>
      <c r="Q100" s="13"/>
      <c r="R100" s="11"/>
      <c r="S100" s="12"/>
      <c r="T100" s="13"/>
      <c r="U100" s="11"/>
      <c r="V100" s="18"/>
    </row>
    <row r="101" ht="15.75" customHeight="1">
      <c r="A101" s="7"/>
      <c r="B101" s="53">
        <v>569.0</v>
      </c>
      <c r="C101" s="20">
        <v>75.0</v>
      </c>
      <c r="D101" s="21">
        <v>0.8402777777777778</v>
      </c>
      <c r="E101" s="22">
        <v>0.8444444444444444</v>
      </c>
      <c r="F101" s="14">
        <v>76.0</v>
      </c>
      <c r="G101" s="15">
        <v>0.15416666666666667</v>
      </c>
      <c r="H101" s="16">
        <v>0.15833333333333333</v>
      </c>
      <c r="I101" s="11"/>
      <c r="J101" s="12"/>
      <c r="K101" s="38"/>
      <c r="L101" s="11"/>
      <c r="M101" s="12"/>
      <c r="N101" s="38"/>
      <c r="O101" s="11"/>
      <c r="P101" s="12"/>
      <c r="Q101" s="38"/>
      <c r="R101" s="11"/>
      <c r="S101" s="12"/>
      <c r="T101" s="38"/>
      <c r="U101" s="11"/>
      <c r="V101" s="18"/>
    </row>
    <row r="102" ht="15.75" customHeight="1">
      <c r="A102" s="7"/>
      <c r="B102" s="53">
        <v>727.0</v>
      </c>
      <c r="C102" s="20">
        <v>74.0</v>
      </c>
      <c r="D102" s="21">
        <v>0.8402777777777778</v>
      </c>
      <c r="E102" s="22">
        <v>0.8430555555555556</v>
      </c>
      <c r="F102" s="14">
        <v>71.0</v>
      </c>
      <c r="G102" s="15">
        <v>0.14444444444444443</v>
      </c>
      <c r="H102" s="16">
        <v>0.14930555555555555</v>
      </c>
      <c r="I102" s="11"/>
      <c r="J102" s="12"/>
      <c r="K102" s="38"/>
      <c r="L102" s="11"/>
      <c r="M102" s="12"/>
      <c r="N102" s="38"/>
      <c r="O102" s="11"/>
      <c r="P102" s="12"/>
      <c r="Q102" s="38"/>
      <c r="R102" s="11"/>
      <c r="S102" s="12"/>
      <c r="T102" s="38"/>
      <c r="U102" s="11"/>
      <c r="V102" s="12"/>
    </row>
    <row r="103" ht="15.75" customHeight="1">
      <c r="A103" s="7"/>
      <c r="B103" s="53">
        <v>604.0</v>
      </c>
      <c r="C103" s="20">
        <v>73.0</v>
      </c>
      <c r="D103" s="21">
        <v>0.8395833333333333</v>
      </c>
      <c r="E103" s="22">
        <v>0.8416666666666667</v>
      </c>
      <c r="F103" s="14">
        <v>75.0</v>
      </c>
      <c r="G103" s="15">
        <v>0.15416666666666667</v>
      </c>
      <c r="H103" s="16">
        <v>0.15833333333333333</v>
      </c>
      <c r="I103" s="11"/>
      <c r="J103" s="18"/>
      <c r="K103" s="38"/>
      <c r="L103" s="11"/>
      <c r="M103" s="18"/>
      <c r="N103" s="38"/>
      <c r="O103" s="11"/>
      <c r="P103" s="18"/>
      <c r="Q103" s="38"/>
      <c r="R103" s="11"/>
      <c r="S103" s="18"/>
      <c r="T103" s="38"/>
      <c r="U103" s="11"/>
      <c r="V103" s="18"/>
    </row>
    <row r="104" ht="15.75" customHeight="1">
      <c r="A104" s="7"/>
      <c r="B104" s="53">
        <v>553.0</v>
      </c>
      <c r="C104" s="20">
        <v>72.0</v>
      </c>
      <c r="D104" s="21">
        <v>0.8388888888888889</v>
      </c>
      <c r="E104" s="22">
        <v>0.8444444444444444</v>
      </c>
      <c r="F104" s="14">
        <v>79.0</v>
      </c>
      <c r="G104" s="15">
        <v>0.15486111111111112</v>
      </c>
      <c r="H104" s="16">
        <v>0.16319444444444445</v>
      </c>
      <c r="I104" s="11"/>
      <c r="J104" s="12"/>
      <c r="K104" s="13"/>
      <c r="L104" s="11"/>
      <c r="M104" s="12"/>
      <c r="N104" s="13"/>
      <c r="O104" s="11"/>
      <c r="P104" s="12"/>
      <c r="Q104" s="13"/>
      <c r="R104" s="11"/>
      <c r="S104" s="12"/>
      <c r="T104" s="13"/>
      <c r="U104" s="11"/>
      <c r="V104" s="12"/>
    </row>
    <row r="105" ht="15.75" customHeight="1">
      <c r="A105" s="7"/>
      <c r="B105" s="53">
        <v>722.0</v>
      </c>
      <c r="C105" s="20">
        <v>71.0</v>
      </c>
      <c r="D105" s="21">
        <v>0.8388888888888889</v>
      </c>
      <c r="E105" s="22">
        <v>0.84375</v>
      </c>
      <c r="F105" s="14">
        <v>58.0</v>
      </c>
      <c r="G105" s="15">
        <v>0.11388888888888889</v>
      </c>
      <c r="H105" s="16">
        <v>0.11944444444444445</v>
      </c>
      <c r="I105" s="11"/>
      <c r="J105" s="12"/>
      <c r="K105" s="13"/>
      <c r="L105" s="11"/>
      <c r="M105" s="12"/>
      <c r="N105" s="13"/>
      <c r="O105" s="11"/>
      <c r="P105" s="12"/>
      <c r="Q105" s="13"/>
      <c r="R105" s="11"/>
      <c r="S105" s="12"/>
      <c r="T105" s="13"/>
      <c r="U105" s="11"/>
      <c r="V105" s="12"/>
    </row>
    <row r="106" ht="15.75" customHeight="1">
      <c r="A106" s="7"/>
      <c r="B106" s="53">
        <v>546.0</v>
      </c>
      <c r="C106" s="20">
        <v>70.0</v>
      </c>
      <c r="D106" s="21">
        <v>0.8388888888888889</v>
      </c>
      <c r="E106" s="22">
        <v>0.8430555555555556</v>
      </c>
      <c r="F106" s="14">
        <v>54.0</v>
      </c>
      <c r="G106" s="15">
        <v>0.11041666666666666</v>
      </c>
      <c r="H106" s="16">
        <v>0.11597222222222223</v>
      </c>
      <c r="I106" s="11"/>
      <c r="J106" s="12"/>
      <c r="K106" s="38"/>
      <c r="L106" s="11"/>
      <c r="M106" s="12"/>
      <c r="N106" s="13"/>
      <c r="O106" s="11"/>
      <c r="P106" s="12"/>
      <c r="Q106" s="13"/>
      <c r="R106" s="11"/>
      <c r="S106" s="12"/>
      <c r="T106" s="13"/>
      <c r="U106" s="11"/>
      <c r="V106" s="12"/>
    </row>
    <row r="107" ht="15.75" customHeight="1">
      <c r="A107" s="7"/>
      <c r="B107" s="53">
        <v>709.0</v>
      </c>
      <c r="C107" s="20">
        <v>69.0</v>
      </c>
      <c r="D107" s="21">
        <v>0.8388888888888889</v>
      </c>
      <c r="E107" s="22">
        <v>0.8430555555555556</v>
      </c>
      <c r="F107" s="14">
        <v>55.0</v>
      </c>
      <c r="G107" s="15">
        <v>0.11041666666666666</v>
      </c>
      <c r="H107" s="16">
        <v>0.11597222222222223</v>
      </c>
      <c r="I107" s="11"/>
      <c r="J107" s="12"/>
      <c r="K107" s="13"/>
      <c r="L107" s="11"/>
      <c r="M107" s="12"/>
      <c r="N107" s="13"/>
      <c r="O107" s="11"/>
      <c r="P107" s="12"/>
      <c r="Q107" s="13"/>
      <c r="R107" s="11"/>
      <c r="S107" s="12"/>
      <c r="T107" s="13"/>
      <c r="U107" s="11"/>
      <c r="V107" s="18"/>
    </row>
    <row r="108" ht="15.75" customHeight="1">
      <c r="A108" s="7"/>
      <c r="B108" s="53">
        <v>670.0</v>
      </c>
      <c r="C108" s="20">
        <v>68.0</v>
      </c>
      <c r="D108" s="21">
        <v>0.8381944444444445</v>
      </c>
      <c r="E108" s="22">
        <v>0.8423611111111111</v>
      </c>
      <c r="F108" s="14">
        <v>77.0</v>
      </c>
      <c r="G108" s="15">
        <v>0.15416666666666667</v>
      </c>
      <c r="H108" s="16">
        <v>0.16319444444444445</v>
      </c>
      <c r="I108" s="11"/>
      <c r="J108" s="18"/>
      <c r="K108" s="38"/>
      <c r="L108" s="11"/>
      <c r="M108" s="18"/>
      <c r="N108" s="38"/>
      <c r="O108" s="11"/>
      <c r="P108" s="18"/>
      <c r="Q108" s="38"/>
      <c r="R108" s="11"/>
      <c r="S108" s="18"/>
      <c r="T108" s="38"/>
      <c r="U108" s="11"/>
      <c r="V108" s="18"/>
    </row>
    <row r="109" ht="15.75" customHeight="1">
      <c r="A109" s="7"/>
      <c r="B109" s="53">
        <v>651.0</v>
      </c>
      <c r="C109" s="20">
        <v>67.0</v>
      </c>
      <c r="D109" s="21">
        <v>0.8375</v>
      </c>
      <c r="E109" s="22">
        <v>0.8395833333333333</v>
      </c>
      <c r="F109" s="14">
        <v>65.0</v>
      </c>
      <c r="G109" s="15">
        <v>0.13333333333333333</v>
      </c>
      <c r="H109" s="16">
        <v>0.13472222222222222</v>
      </c>
      <c r="I109" s="11"/>
      <c r="J109" s="12"/>
      <c r="K109" s="13"/>
      <c r="L109" s="11"/>
      <c r="M109" s="12"/>
      <c r="N109" s="13"/>
      <c r="O109" s="11"/>
      <c r="P109" s="12"/>
      <c r="Q109" s="13"/>
      <c r="R109" s="11"/>
      <c r="S109" s="12"/>
      <c r="T109" s="13"/>
      <c r="U109" s="11"/>
      <c r="V109" s="18"/>
    </row>
    <row r="110" ht="15.75" customHeight="1">
      <c r="A110" s="7"/>
      <c r="B110" s="53">
        <v>663.0</v>
      </c>
      <c r="C110" s="20">
        <v>66.0</v>
      </c>
      <c r="D110" s="21">
        <v>0.8368055555555556</v>
      </c>
      <c r="E110" s="22">
        <v>0.8388888888888889</v>
      </c>
      <c r="F110" s="14">
        <v>51.0</v>
      </c>
      <c r="G110" s="15">
        <v>0.10416666666666667</v>
      </c>
      <c r="H110" s="16">
        <v>0.10486111111111111</v>
      </c>
      <c r="I110" s="11"/>
      <c r="J110" s="18"/>
      <c r="K110" s="38"/>
      <c r="L110" s="11"/>
      <c r="M110" s="18"/>
      <c r="N110" s="38"/>
      <c r="O110" s="11"/>
      <c r="P110" s="18"/>
      <c r="Q110" s="38"/>
      <c r="R110" s="11"/>
      <c r="S110" s="18"/>
      <c r="T110" s="38"/>
      <c r="U110" s="11"/>
      <c r="V110" s="18"/>
    </row>
    <row r="111" ht="15.75" customHeight="1">
      <c r="A111" s="7"/>
      <c r="B111" s="53">
        <v>637.0</v>
      </c>
      <c r="C111" s="20">
        <v>65.0</v>
      </c>
      <c r="D111" s="21">
        <v>0.8326388888888889</v>
      </c>
      <c r="E111" s="22">
        <v>0.8402777777777778</v>
      </c>
      <c r="F111" s="14">
        <v>56.0</v>
      </c>
      <c r="G111" s="15">
        <v>0.1111111111111111</v>
      </c>
      <c r="H111" s="16">
        <v>0.11388888888888889</v>
      </c>
      <c r="I111" s="11"/>
      <c r="J111" s="12"/>
      <c r="K111" s="13"/>
      <c r="L111" s="11"/>
      <c r="M111" s="12"/>
      <c r="N111" s="13"/>
      <c r="O111" s="11"/>
      <c r="P111" s="12"/>
      <c r="Q111" s="13"/>
      <c r="R111" s="11"/>
      <c r="S111" s="12"/>
      <c r="T111" s="13"/>
      <c r="U111" s="11"/>
      <c r="V111" s="18"/>
    </row>
    <row r="112" ht="15.75" customHeight="1">
      <c r="A112" s="7"/>
      <c r="B112" s="53">
        <v>653.0</v>
      </c>
      <c r="C112" s="20">
        <v>64.0</v>
      </c>
      <c r="D112" s="21">
        <v>0.8277777777777777</v>
      </c>
      <c r="E112" s="22">
        <v>0.8326388888888889</v>
      </c>
      <c r="F112" s="14">
        <v>69.0</v>
      </c>
      <c r="G112" s="15">
        <v>0.14097222222222222</v>
      </c>
      <c r="H112" s="16">
        <v>0.1527777777777778</v>
      </c>
      <c r="I112" s="11"/>
      <c r="J112" s="12"/>
      <c r="K112" s="38"/>
      <c r="L112" s="11"/>
      <c r="M112" s="12"/>
      <c r="N112" s="38"/>
      <c r="O112" s="11"/>
      <c r="P112" s="12"/>
      <c r="Q112" s="38"/>
      <c r="R112" s="11"/>
      <c r="S112" s="12"/>
      <c r="T112" s="38"/>
      <c r="U112" s="11"/>
      <c r="V112" s="12"/>
    </row>
    <row r="113" ht="15.75" customHeight="1">
      <c r="A113" s="7"/>
      <c r="B113" s="53">
        <v>583.0</v>
      </c>
      <c r="C113" s="20">
        <v>63.0</v>
      </c>
      <c r="D113" s="21">
        <v>0.8222222222222222</v>
      </c>
      <c r="E113" s="22">
        <v>0.8263888888888888</v>
      </c>
      <c r="F113" s="14">
        <v>47.0</v>
      </c>
      <c r="G113" s="15">
        <v>0.09791666666666667</v>
      </c>
      <c r="H113" s="16">
        <v>0.09930555555555555</v>
      </c>
      <c r="I113" s="11"/>
      <c r="J113" s="18"/>
      <c r="K113" s="38"/>
      <c r="L113" s="11"/>
      <c r="M113" s="18"/>
      <c r="N113" s="38"/>
      <c r="O113" s="11"/>
      <c r="P113" s="18"/>
      <c r="Q113" s="38"/>
      <c r="R113" s="11"/>
      <c r="S113" s="18"/>
      <c r="T113" s="38"/>
      <c r="U113" s="11"/>
      <c r="V113" s="18"/>
    </row>
    <row r="114" ht="15.75" customHeight="1">
      <c r="A114" s="7"/>
      <c r="B114" s="53">
        <v>550.0</v>
      </c>
      <c r="C114" s="20">
        <v>62.0</v>
      </c>
      <c r="D114" s="21">
        <v>0.8222222222222222</v>
      </c>
      <c r="E114" s="22">
        <v>0.8236111111111111</v>
      </c>
      <c r="F114" s="14">
        <v>53.0</v>
      </c>
      <c r="G114" s="15">
        <v>0.10555555555555556</v>
      </c>
      <c r="H114" s="16">
        <v>0.1076388888888889</v>
      </c>
      <c r="I114" s="11"/>
      <c r="J114" s="12"/>
      <c r="K114" s="13"/>
      <c r="L114" s="11"/>
      <c r="M114" s="12"/>
      <c r="N114" s="13"/>
      <c r="O114" s="11"/>
      <c r="P114" s="12"/>
      <c r="Q114" s="13"/>
      <c r="R114" s="11"/>
      <c r="S114" s="12"/>
      <c r="T114" s="13"/>
      <c r="U114" s="11"/>
      <c r="V114" s="12"/>
    </row>
    <row r="115" ht="15.75" customHeight="1">
      <c r="A115" s="7"/>
      <c r="B115" s="53">
        <v>564.0</v>
      </c>
      <c r="C115" s="20">
        <v>61.0</v>
      </c>
      <c r="D115" s="21">
        <v>0.8194444444444444</v>
      </c>
      <c r="E115" s="22">
        <v>0.8215277777777777</v>
      </c>
      <c r="F115" s="14">
        <v>62.0</v>
      </c>
      <c r="G115" s="15">
        <v>0.13194444444444445</v>
      </c>
      <c r="H115" s="16">
        <v>0.1361111111111111</v>
      </c>
      <c r="I115" s="11"/>
      <c r="J115" s="12"/>
      <c r="K115" s="13"/>
      <c r="L115" s="11"/>
      <c r="M115" s="12"/>
      <c r="N115" s="13"/>
      <c r="O115" s="11"/>
      <c r="P115" s="12"/>
      <c r="Q115" s="13"/>
      <c r="R115" s="11"/>
      <c r="S115" s="12"/>
      <c r="T115" s="13"/>
      <c r="U115" s="11"/>
      <c r="V115" s="12"/>
    </row>
    <row r="116" ht="15.75" customHeight="1">
      <c r="A116" s="7"/>
      <c r="B116" s="53">
        <v>568.0</v>
      </c>
      <c r="C116" s="20">
        <v>60.0</v>
      </c>
      <c r="D116" s="21">
        <v>0.8180555555555555</v>
      </c>
      <c r="E116" s="22">
        <v>0.8263888888888888</v>
      </c>
      <c r="F116" s="14">
        <v>66.0</v>
      </c>
      <c r="G116" s="15">
        <v>0.13333333333333333</v>
      </c>
      <c r="H116" s="53" t="s">
        <v>178</v>
      </c>
      <c r="I116" s="11"/>
      <c r="J116" s="12"/>
      <c r="K116" s="38"/>
      <c r="L116" s="11"/>
      <c r="M116" s="12"/>
      <c r="N116" s="38"/>
      <c r="O116" s="11"/>
      <c r="P116" s="12"/>
      <c r="Q116" s="38"/>
      <c r="R116" s="11"/>
      <c r="S116" s="12"/>
      <c r="T116" s="38"/>
      <c r="U116" s="11"/>
      <c r="V116" s="18"/>
    </row>
    <row r="117" ht="15.75" customHeight="1">
      <c r="A117" s="7"/>
      <c r="B117" s="53">
        <v>631.0</v>
      </c>
      <c r="C117" s="20">
        <v>59.0</v>
      </c>
      <c r="D117" s="21">
        <v>0.8173611111111111</v>
      </c>
      <c r="E117" s="22">
        <v>0.8215277777777777</v>
      </c>
      <c r="F117" s="14">
        <v>64.0</v>
      </c>
      <c r="G117" s="15">
        <v>0.1326388888888889</v>
      </c>
      <c r="H117" s="16">
        <v>0.14305555555555555</v>
      </c>
      <c r="I117" s="11"/>
      <c r="J117" s="12"/>
      <c r="K117" s="13"/>
      <c r="L117" s="11"/>
      <c r="M117" s="12"/>
      <c r="N117" s="13"/>
      <c r="O117" s="11"/>
      <c r="P117" s="12"/>
      <c r="Q117" s="13"/>
      <c r="R117" s="11"/>
      <c r="S117" s="12"/>
      <c r="T117" s="13"/>
      <c r="U117" s="11"/>
      <c r="V117" s="12"/>
    </row>
    <row r="118" ht="15.75" customHeight="1">
      <c r="A118" s="7"/>
      <c r="B118" s="53">
        <v>642.0</v>
      </c>
      <c r="C118" s="20">
        <v>58.0</v>
      </c>
      <c r="D118" s="21">
        <v>0.8152777777777778</v>
      </c>
      <c r="E118" s="22">
        <v>0.8215277777777777</v>
      </c>
      <c r="F118" s="14">
        <v>46.0</v>
      </c>
      <c r="G118" s="15">
        <v>0.09652777777777778</v>
      </c>
      <c r="H118" s="16">
        <v>0.10555555555555556</v>
      </c>
      <c r="I118" s="11"/>
      <c r="J118" s="12"/>
      <c r="K118" s="13"/>
      <c r="L118" s="11"/>
      <c r="M118" s="12"/>
      <c r="N118" s="13"/>
      <c r="O118" s="11"/>
      <c r="P118" s="12"/>
      <c r="Q118" s="13"/>
      <c r="R118" s="11"/>
      <c r="S118" s="12"/>
      <c r="T118" s="13"/>
      <c r="U118" s="11"/>
      <c r="V118" s="12"/>
    </row>
    <row r="119" ht="15.75" customHeight="1">
      <c r="A119" s="7"/>
      <c r="B119" s="53">
        <v>692.0</v>
      </c>
      <c r="C119" s="20">
        <v>57.0</v>
      </c>
      <c r="D119" s="21">
        <v>0.8125</v>
      </c>
      <c r="E119" s="22">
        <v>0.8152777777777778</v>
      </c>
      <c r="F119" s="14">
        <v>38.0</v>
      </c>
      <c r="G119" s="15">
        <v>0.059027777777777776</v>
      </c>
      <c r="H119" s="16">
        <v>0.06527777777777778</v>
      </c>
      <c r="I119" s="11"/>
      <c r="J119" s="12"/>
      <c r="K119" s="38"/>
      <c r="L119" s="11"/>
      <c r="M119" s="12"/>
      <c r="N119" s="38"/>
      <c r="O119" s="11"/>
      <c r="P119" s="12"/>
      <c r="Q119" s="38"/>
      <c r="R119" s="11"/>
      <c r="S119" s="12"/>
      <c r="T119" s="38"/>
      <c r="U119" s="11"/>
      <c r="V119" s="12"/>
    </row>
    <row r="120" ht="15.75" customHeight="1">
      <c r="A120" s="7"/>
      <c r="B120" s="53">
        <v>578.0</v>
      </c>
      <c r="C120" s="20">
        <v>56.0</v>
      </c>
      <c r="D120" s="21">
        <v>0.8125</v>
      </c>
      <c r="E120" s="22">
        <v>0.8215277777777777</v>
      </c>
      <c r="F120" s="14">
        <v>67.0</v>
      </c>
      <c r="G120" s="15">
        <v>0.13402777777777777</v>
      </c>
      <c r="H120" s="53" t="s">
        <v>178</v>
      </c>
      <c r="I120" s="11"/>
      <c r="J120" s="12"/>
      <c r="K120" s="38"/>
      <c r="L120" s="11"/>
      <c r="M120" s="12"/>
      <c r="N120" s="38"/>
      <c r="O120" s="11"/>
      <c r="P120" s="12"/>
      <c r="Q120" s="38"/>
      <c r="R120" s="11"/>
      <c r="S120" s="12"/>
      <c r="T120" s="38"/>
      <c r="U120" s="11"/>
      <c r="V120" s="12"/>
    </row>
    <row r="121" ht="15.75" customHeight="1">
      <c r="A121" s="7"/>
      <c r="B121" s="53">
        <v>523.0</v>
      </c>
      <c r="C121" s="20">
        <v>55.0</v>
      </c>
      <c r="D121" s="21">
        <v>0.8125</v>
      </c>
      <c r="E121" s="22">
        <v>0.8208333333333333</v>
      </c>
      <c r="F121" s="14">
        <v>48.0</v>
      </c>
      <c r="G121" s="15">
        <v>0.09791666666666667</v>
      </c>
      <c r="H121" s="16">
        <v>0.10694444444444444</v>
      </c>
      <c r="I121" s="11"/>
      <c r="J121" s="12"/>
      <c r="K121" s="13"/>
      <c r="L121" s="11"/>
      <c r="M121" s="12"/>
      <c r="N121" s="13"/>
      <c r="O121" s="11"/>
      <c r="P121" s="12"/>
      <c r="Q121" s="13"/>
      <c r="R121" s="11"/>
      <c r="S121" s="12"/>
      <c r="T121" s="13"/>
      <c r="U121" s="11"/>
      <c r="V121" s="18"/>
    </row>
    <row r="122" ht="15.75" customHeight="1">
      <c r="A122" s="7"/>
      <c r="B122" s="53">
        <v>675.0</v>
      </c>
      <c r="C122" s="20">
        <v>54.0</v>
      </c>
      <c r="D122" s="21">
        <v>0.8125</v>
      </c>
      <c r="E122" s="22">
        <v>0.81875</v>
      </c>
      <c r="F122" s="14">
        <v>44.0</v>
      </c>
      <c r="G122" s="15">
        <v>0.08402777777777778</v>
      </c>
      <c r="H122" s="16">
        <v>0.08958333333333333</v>
      </c>
      <c r="I122" s="11"/>
      <c r="J122" s="12"/>
      <c r="K122" s="13"/>
      <c r="L122" s="11"/>
      <c r="M122" s="12"/>
      <c r="N122" s="13"/>
      <c r="O122" s="11"/>
      <c r="P122" s="12"/>
      <c r="Q122" s="13"/>
      <c r="R122" s="11"/>
      <c r="S122" s="12"/>
      <c r="T122" s="13"/>
      <c r="U122" s="11"/>
      <c r="V122" s="18"/>
    </row>
    <row r="123" ht="15.75" customHeight="1">
      <c r="A123" s="7"/>
      <c r="B123" s="53">
        <v>683.0</v>
      </c>
      <c r="C123" s="20">
        <v>53.0</v>
      </c>
      <c r="D123" s="21">
        <v>0.8125</v>
      </c>
      <c r="E123" s="22">
        <v>0.8201388888888889</v>
      </c>
      <c r="F123" s="14">
        <v>72.0</v>
      </c>
      <c r="G123" s="15">
        <v>0.14652777777777778</v>
      </c>
      <c r="H123" s="16">
        <v>0.15347222222222223</v>
      </c>
      <c r="I123" s="11"/>
      <c r="J123" s="18"/>
      <c r="K123" s="38"/>
      <c r="L123" s="11"/>
      <c r="M123" s="18"/>
      <c r="N123" s="38"/>
      <c r="O123" s="11"/>
      <c r="P123" s="18"/>
      <c r="Q123" s="38"/>
      <c r="R123" s="11"/>
      <c r="S123" s="18"/>
      <c r="T123" s="38"/>
      <c r="U123" s="11"/>
      <c r="V123" s="18"/>
    </row>
    <row r="124" ht="15.75" customHeight="1">
      <c r="A124" s="7"/>
      <c r="B124" s="53">
        <v>617.0</v>
      </c>
      <c r="C124" s="20">
        <v>52.0</v>
      </c>
      <c r="D124" s="21">
        <v>0.80625</v>
      </c>
      <c r="E124" s="22">
        <v>0.8125</v>
      </c>
      <c r="F124" s="14">
        <v>50.0</v>
      </c>
      <c r="G124" s="15">
        <v>0.10277777777777777</v>
      </c>
      <c r="H124" s="16">
        <v>0.10833333333333334</v>
      </c>
      <c r="I124" s="11"/>
      <c r="J124" s="12"/>
      <c r="K124" s="13"/>
      <c r="L124" s="11"/>
      <c r="M124" s="12"/>
      <c r="N124" s="13"/>
      <c r="O124" s="11"/>
      <c r="P124" s="12"/>
      <c r="Q124" s="13"/>
      <c r="R124" s="11"/>
      <c r="S124" s="12"/>
      <c r="T124" s="13"/>
      <c r="U124" s="11"/>
      <c r="V124" s="18"/>
    </row>
    <row r="125" ht="15.75" customHeight="1">
      <c r="A125" s="7"/>
      <c r="B125" s="53">
        <v>713.0</v>
      </c>
      <c r="C125" s="20">
        <v>51.0</v>
      </c>
      <c r="D125" s="21">
        <v>0.80625</v>
      </c>
      <c r="E125" s="22">
        <v>0.8104166666666667</v>
      </c>
      <c r="F125" s="14">
        <v>43.0</v>
      </c>
      <c r="G125" s="15">
        <v>0.07708333333333334</v>
      </c>
      <c r="H125" s="16">
        <v>0.08055555555555556</v>
      </c>
      <c r="I125" s="11"/>
      <c r="J125" s="18"/>
      <c r="K125" s="38"/>
      <c r="L125" s="11"/>
      <c r="M125" s="18"/>
      <c r="N125" s="38"/>
      <c r="O125" s="11"/>
      <c r="P125" s="18"/>
      <c r="Q125" s="38"/>
      <c r="R125" s="11"/>
      <c r="S125" s="18"/>
      <c r="T125" s="38"/>
      <c r="U125" s="11"/>
      <c r="V125" s="12"/>
    </row>
    <row r="126" ht="15.75" customHeight="1">
      <c r="A126" s="7"/>
      <c r="B126" s="53">
        <v>511.0</v>
      </c>
      <c r="C126" s="20">
        <v>50.0</v>
      </c>
      <c r="D126" s="21">
        <v>0.8027777777777778</v>
      </c>
      <c r="E126" s="22">
        <v>0.8076388888888889</v>
      </c>
      <c r="F126" s="14">
        <v>42.0</v>
      </c>
      <c r="G126" s="15">
        <v>0.0763888888888889</v>
      </c>
      <c r="H126" s="16">
        <v>0.08055555555555556</v>
      </c>
      <c r="I126" s="11"/>
      <c r="J126" s="12"/>
      <c r="K126" s="13"/>
      <c r="L126" s="11"/>
      <c r="M126" s="12"/>
      <c r="N126" s="13"/>
      <c r="O126" s="11"/>
      <c r="P126" s="12"/>
      <c r="Q126" s="13"/>
      <c r="R126" s="11"/>
      <c r="S126" s="12"/>
      <c r="T126" s="13"/>
      <c r="U126" s="11"/>
      <c r="V126" s="12"/>
    </row>
    <row r="127" ht="15.75" customHeight="1">
      <c r="A127" s="7"/>
      <c r="B127" s="53">
        <v>530.0</v>
      </c>
      <c r="C127" s="20">
        <v>49.0</v>
      </c>
      <c r="D127" s="21">
        <v>0.8</v>
      </c>
      <c r="E127" s="22">
        <v>0.8020833333333334</v>
      </c>
      <c r="F127" s="14">
        <v>41.0</v>
      </c>
      <c r="G127" s="15">
        <v>0.07430555555555556</v>
      </c>
      <c r="H127" s="16">
        <v>0.07569444444444444</v>
      </c>
      <c r="I127" s="11"/>
      <c r="J127" s="12"/>
      <c r="K127" s="38"/>
      <c r="L127" s="11"/>
      <c r="M127" s="12"/>
      <c r="N127" s="38"/>
      <c r="O127" s="11"/>
      <c r="P127" s="12"/>
      <c r="Q127" s="38"/>
      <c r="R127" s="11"/>
      <c r="S127" s="12"/>
      <c r="T127" s="38"/>
      <c r="U127" s="11"/>
      <c r="V127" s="12"/>
    </row>
    <row r="128" ht="15.75" customHeight="1">
      <c r="A128" s="7"/>
      <c r="B128" s="53">
        <v>591.0</v>
      </c>
      <c r="C128" s="20">
        <v>48.0</v>
      </c>
      <c r="D128" s="21">
        <v>0.7958333333333333</v>
      </c>
      <c r="E128" s="22">
        <v>0.7979166666666667</v>
      </c>
      <c r="F128" s="14">
        <v>30.0</v>
      </c>
      <c r="G128" s="15">
        <v>0.034722222222222224</v>
      </c>
      <c r="H128" s="16">
        <v>0.03819444444444445</v>
      </c>
      <c r="I128" s="11"/>
      <c r="J128" s="12"/>
      <c r="K128" s="13"/>
      <c r="L128" s="11"/>
      <c r="M128" s="12"/>
      <c r="N128" s="13"/>
      <c r="O128" s="11"/>
      <c r="P128" s="12"/>
      <c r="Q128" s="38"/>
      <c r="R128" s="11"/>
      <c r="S128" s="12"/>
      <c r="T128" s="38"/>
      <c r="U128" s="11"/>
      <c r="V128" s="12"/>
    </row>
    <row r="129" ht="15.75" customHeight="1">
      <c r="A129" s="7"/>
      <c r="B129" s="53">
        <v>721.0</v>
      </c>
      <c r="C129" s="20">
        <v>47.0</v>
      </c>
      <c r="D129" s="21">
        <v>0.7944444444444444</v>
      </c>
      <c r="E129" s="22">
        <v>0.7979166666666667</v>
      </c>
      <c r="F129" s="14">
        <v>81.0</v>
      </c>
      <c r="G129" s="15">
        <v>0.17152777777777778</v>
      </c>
      <c r="H129" s="16">
        <v>0.21666666666666667</v>
      </c>
      <c r="I129" s="11"/>
      <c r="J129" s="12"/>
      <c r="K129" s="38"/>
      <c r="L129" s="11"/>
      <c r="M129" s="12"/>
      <c r="N129" s="38"/>
      <c r="O129" s="11"/>
      <c r="P129" s="12"/>
      <c r="Q129" s="38"/>
      <c r="R129" s="11"/>
      <c r="S129" s="12"/>
      <c r="T129" s="38"/>
      <c r="U129" s="11"/>
      <c r="V129" s="12"/>
    </row>
    <row r="130" ht="15.75" customHeight="1">
      <c r="A130" s="7"/>
      <c r="B130" s="53">
        <v>507.0</v>
      </c>
      <c r="C130" s="20">
        <v>46.0</v>
      </c>
      <c r="D130" s="21">
        <v>0.79375</v>
      </c>
      <c r="E130" s="22">
        <v>0.8</v>
      </c>
      <c r="F130" s="14">
        <v>40.0</v>
      </c>
      <c r="G130" s="15">
        <v>0.07291666666666667</v>
      </c>
      <c r="H130" s="16">
        <v>0.08055555555555556</v>
      </c>
      <c r="I130" s="11"/>
      <c r="J130" s="12"/>
      <c r="K130" s="38"/>
      <c r="L130" s="11"/>
      <c r="M130" s="12"/>
      <c r="N130" s="38"/>
      <c r="O130" s="11"/>
      <c r="P130" s="12"/>
      <c r="Q130" s="38"/>
      <c r="R130" s="11"/>
      <c r="S130" s="12"/>
      <c r="T130" s="38"/>
      <c r="U130" s="11"/>
      <c r="V130" s="12"/>
    </row>
    <row r="131" ht="15.75" customHeight="1">
      <c r="A131" s="7"/>
      <c r="B131" s="53">
        <v>729.0</v>
      </c>
      <c r="C131" s="20">
        <v>45.0</v>
      </c>
      <c r="D131" s="21">
        <v>0.7902777777777777</v>
      </c>
      <c r="E131" s="22">
        <v>0.7923611111111111</v>
      </c>
      <c r="F131" s="14">
        <v>39.0</v>
      </c>
      <c r="G131" s="15">
        <v>0.0625</v>
      </c>
      <c r="H131" s="16">
        <v>0.06597222222222222</v>
      </c>
      <c r="I131" s="11"/>
      <c r="J131" s="12"/>
      <c r="K131" s="38"/>
      <c r="L131" s="11"/>
      <c r="M131" s="12"/>
      <c r="N131" s="38"/>
      <c r="O131" s="11"/>
      <c r="P131" s="12"/>
      <c r="Q131" s="38"/>
      <c r="R131" s="11"/>
      <c r="S131" s="12"/>
      <c r="T131" s="38"/>
      <c r="U131" s="11"/>
      <c r="V131" s="12"/>
    </row>
    <row r="132" ht="15.75" customHeight="1">
      <c r="A132" s="7"/>
      <c r="B132" s="53">
        <v>645.0</v>
      </c>
      <c r="C132" s="20">
        <v>44.0</v>
      </c>
      <c r="D132" s="21">
        <v>0.7902777777777777</v>
      </c>
      <c r="E132" s="22">
        <v>0.79375</v>
      </c>
      <c r="F132" s="14">
        <v>36.0</v>
      </c>
      <c r="G132" s="15">
        <v>0.04513888888888889</v>
      </c>
      <c r="H132" s="16">
        <v>0.050694444444444445</v>
      </c>
      <c r="I132" s="11"/>
      <c r="J132" s="12"/>
      <c r="K132" s="13"/>
      <c r="L132" s="11"/>
      <c r="M132" s="12"/>
      <c r="N132" s="13"/>
      <c r="O132" s="11"/>
      <c r="P132" s="12"/>
      <c r="Q132" s="13"/>
      <c r="R132" s="11"/>
      <c r="S132" s="12"/>
      <c r="T132" s="13"/>
      <c r="U132" s="11"/>
      <c r="V132" s="12"/>
    </row>
    <row r="133" ht="15.75" customHeight="1">
      <c r="A133" s="7"/>
      <c r="B133" s="53">
        <v>588.0</v>
      </c>
      <c r="C133" s="20">
        <v>43.0</v>
      </c>
      <c r="D133" s="21">
        <v>0.7868055555555555</v>
      </c>
      <c r="E133" s="70" t="s">
        <v>178</v>
      </c>
      <c r="F133" s="68"/>
      <c r="G133" s="68"/>
      <c r="H133" s="69"/>
      <c r="I133" s="11"/>
      <c r="J133" s="12"/>
      <c r="K133" s="13"/>
      <c r="L133" s="11"/>
      <c r="M133" s="12"/>
      <c r="N133" s="13"/>
      <c r="O133" s="11"/>
      <c r="P133" s="12"/>
      <c r="Q133" s="13"/>
      <c r="R133" s="11"/>
      <c r="S133" s="12"/>
      <c r="T133" s="13"/>
      <c r="U133" s="11"/>
      <c r="V133" s="18"/>
    </row>
    <row r="134" ht="15.75" customHeight="1">
      <c r="A134" s="7"/>
      <c r="B134" s="53">
        <v>686.0</v>
      </c>
      <c r="C134" s="20">
        <v>42.0</v>
      </c>
      <c r="D134" s="21">
        <v>0.7854166666666667</v>
      </c>
      <c r="E134" s="22">
        <v>0.7875</v>
      </c>
      <c r="F134" s="14">
        <v>28.0</v>
      </c>
      <c r="G134" s="15">
        <v>0.03125</v>
      </c>
      <c r="H134" s="16">
        <v>0.03263888888888889</v>
      </c>
      <c r="I134" s="11"/>
      <c r="J134" s="12"/>
      <c r="K134" s="13"/>
      <c r="L134" s="11"/>
      <c r="M134" s="12"/>
      <c r="N134" s="13"/>
      <c r="O134" s="11"/>
      <c r="P134" s="12"/>
      <c r="Q134" s="13"/>
      <c r="R134" s="11"/>
      <c r="S134" s="12"/>
      <c r="T134" s="13"/>
      <c r="U134" s="11"/>
      <c r="V134" s="18"/>
    </row>
    <row r="135" ht="15.75" customHeight="1">
      <c r="A135" s="7"/>
      <c r="B135" s="53">
        <v>562.0</v>
      </c>
      <c r="C135" s="20">
        <v>41.0</v>
      </c>
      <c r="D135" s="21">
        <v>0.7840277777777778</v>
      </c>
      <c r="E135" s="22">
        <v>0.7861111111111111</v>
      </c>
      <c r="F135" s="14">
        <v>33.0</v>
      </c>
      <c r="G135" s="15">
        <v>0.035416666666666666</v>
      </c>
      <c r="H135" s="16">
        <v>0.03819444444444445</v>
      </c>
      <c r="I135" s="11"/>
      <c r="J135" s="12"/>
      <c r="K135" s="13"/>
      <c r="L135" s="11"/>
      <c r="M135" s="12"/>
      <c r="N135" s="13"/>
      <c r="O135" s="11"/>
      <c r="P135" s="12"/>
      <c r="Q135" s="13"/>
      <c r="R135" s="11"/>
      <c r="S135" s="12"/>
      <c r="T135" s="13"/>
      <c r="U135" s="11"/>
      <c r="V135" s="12"/>
    </row>
    <row r="136" ht="15.75" customHeight="1">
      <c r="A136" s="7"/>
      <c r="B136" s="53">
        <v>687.0</v>
      </c>
      <c r="C136" s="20">
        <v>40.0</v>
      </c>
      <c r="D136" s="21">
        <v>0.7819444444444444</v>
      </c>
      <c r="E136" s="22">
        <v>0.7868055555555555</v>
      </c>
      <c r="F136" s="14">
        <v>45.0</v>
      </c>
      <c r="G136" s="15">
        <v>0.08611111111111111</v>
      </c>
      <c r="H136" s="16">
        <v>0.09027777777777778</v>
      </c>
      <c r="I136" s="11"/>
      <c r="J136" s="12"/>
      <c r="K136" s="13"/>
      <c r="L136" s="11"/>
      <c r="M136" s="12"/>
      <c r="N136" s="13"/>
      <c r="O136" s="11"/>
      <c r="P136" s="12"/>
      <c r="Q136" s="13"/>
      <c r="R136" s="11"/>
      <c r="S136" s="12"/>
      <c r="T136" s="13"/>
      <c r="U136" s="11"/>
      <c r="V136" s="12"/>
    </row>
    <row r="137" ht="15.75" customHeight="1">
      <c r="A137" s="7"/>
      <c r="B137" s="53">
        <v>703.0</v>
      </c>
      <c r="C137" s="20">
        <v>39.0</v>
      </c>
      <c r="D137" s="21">
        <v>0.7819444444444444</v>
      </c>
      <c r="E137" s="22">
        <v>0.7868055555555555</v>
      </c>
      <c r="F137" s="14">
        <v>74.0</v>
      </c>
      <c r="G137" s="15">
        <v>0.14722222222222223</v>
      </c>
      <c r="H137" s="16">
        <v>0.15486111111111112</v>
      </c>
      <c r="I137" s="11"/>
      <c r="J137" s="18"/>
      <c r="K137" s="38"/>
      <c r="L137" s="11"/>
      <c r="M137" s="18"/>
      <c r="N137" s="38"/>
      <c r="O137" s="11"/>
      <c r="P137" s="18"/>
      <c r="Q137" s="38"/>
      <c r="R137" s="11"/>
      <c r="S137" s="18"/>
      <c r="T137" s="38"/>
      <c r="U137" s="11"/>
      <c r="V137" s="12"/>
    </row>
    <row r="138" ht="15.75" customHeight="1">
      <c r="A138" s="7"/>
      <c r="B138" s="53">
        <v>567.0</v>
      </c>
      <c r="C138" s="20">
        <v>38.0</v>
      </c>
      <c r="D138" s="21">
        <v>0.78125</v>
      </c>
      <c r="E138" s="22">
        <v>0.7833333333333333</v>
      </c>
      <c r="F138" s="14">
        <v>29.0</v>
      </c>
      <c r="G138" s="15">
        <v>0.03125</v>
      </c>
      <c r="H138" s="16">
        <v>0.034722222222222224</v>
      </c>
      <c r="I138" s="11"/>
      <c r="J138" s="12"/>
      <c r="K138" s="13"/>
      <c r="L138" s="11"/>
      <c r="M138" s="12"/>
      <c r="N138" s="13"/>
      <c r="O138" s="11"/>
      <c r="P138" s="12"/>
      <c r="Q138" s="13"/>
      <c r="R138" s="11"/>
      <c r="S138" s="12"/>
      <c r="T138" s="13"/>
      <c r="U138" s="11"/>
      <c r="V138" s="12"/>
    </row>
    <row r="139" ht="15.75" customHeight="1">
      <c r="A139" s="7"/>
      <c r="B139" s="53">
        <v>711.0</v>
      </c>
      <c r="C139" s="20">
        <v>37.0</v>
      </c>
      <c r="D139" s="21">
        <v>0.7756944444444445</v>
      </c>
      <c r="E139" s="22">
        <v>0.7791666666666667</v>
      </c>
      <c r="F139" s="14">
        <v>27.0</v>
      </c>
      <c r="G139" s="15">
        <v>0.022222222222222223</v>
      </c>
      <c r="H139" s="16">
        <v>0.034722222222222224</v>
      </c>
      <c r="I139" s="11"/>
      <c r="J139" s="12"/>
      <c r="K139" s="38"/>
      <c r="L139" s="11"/>
      <c r="M139" s="12"/>
      <c r="N139" s="38"/>
      <c r="O139" s="11"/>
      <c r="P139" s="12"/>
      <c r="Q139" s="38"/>
      <c r="R139" s="11"/>
      <c r="S139" s="12"/>
      <c r="T139" s="38"/>
      <c r="U139" s="11"/>
      <c r="V139" s="12"/>
    </row>
    <row r="140" ht="15.75" customHeight="1">
      <c r="A140" s="7"/>
      <c r="B140" s="53">
        <v>684.0</v>
      </c>
      <c r="C140" s="20">
        <v>36.0</v>
      </c>
      <c r="D140" s="21">
        <v>0.7756944444444445</v>
      </c>
      <c r="E140" s="22">
        <v>0.78125</v>
      </c>
      <c r="F140" s="14">
        <v>31.0</v>
      </c>
      <c r="G140" s="15">
        <v>0.034722222222222224</v>
      </c>
      <c r="H140" s="16">
        <v>0.03888888888888889</v>
      </c>
      <c r="I140" s="11"/>
      <c r="J140" s="12"/>
      <c r="K140" s="13"/>
      <c r="L140" s="11"/>
      <c r="M140" s="12"/>
      <c r="N140" s="13"/>
      <c r="O140" s="11"/>
      <c r="P140" s="12"/>
      <c r="Q140" s="13"/>
      <c r="R140" s="11"/>
      <c r="S140" s="12"/>
      <c r="T140" s="13"/>
      <c r="U140" s="11"/>
      <c r="V140" s="12"/>
    </row>
    <row r="141" ht="15.75" customHeight="1">
      <c r="A141" s="7"/>
      <c r="B141" s="53">
        <v>589.0</v>
      </c>
      <c r="C141" s="20">
        <v>35.0</v>
      </c>
      <c r="D141" s="21">
        <v>0.7729166666666667</v>
      </c>
      <c r="E141" s="22">
        <v>0.7854166666666667</v>
      </c>
      <c r="F141" s="68"/>
      <c r="G141" s="68"/>
      <c r="H141" s="69"/>
      <c r="I141" s="11"/>
      <c r="J141" s="12"/>
      <c r="K141" s="13"/>
      <c r="L141" s="11"/>
      <c r="M141" s="12"/>
      <c r="N141" s="13"/>
      <c r="O141" s="11"/>
      <c r="P141" s="12"/>
      <c r="Q141" s="13"/>
      <c r="R141" s="11"/>
      <c r="S141" s="12"/>
      <c r="T141" s="13"/>
      <c r="U141" s="11"/>
      <c r="V141" s="12"/>
    </row>
    <row r="142" ht="15.75" customHeight="1">
      <c r="A142" s="7"/>
      <c r="B142" s="53">
        <v>611.0</v>
      </c>
      <c r="C142" s="20">
        <v>34.0</v>
      </c>
      <c r="D142" s="21">
        <v>0.7701388888888889</v>
      </c>
      <c r="E142" s="22">
        <v>0.7729166666666667</v>
      </c>
      <c r="F142" s="14">
        <v>37.0</v>
      </c>
      <c r="G142" s="15">
        <v>0.04722222222222222</v>
      </c>
      <c r="H142" s="16">
        <v>0.05277777777777778</v>
      </c>
      <c r="I142" s="11"/>
      <c r="J142" s="12"/>
      <c r="K142" s="13"/>
      <c r="L142" s="11"/>
      <c r="M142" s="12"/>
      <c r="N142" s="38"/>
      <c r="O142" s="11"/>
      <c r="P142" s="18"/>
      <c r="Q142" s="38"/>
      <c r="R142" s="11"/>
      <c r="S142" s="18"/>
      <c r="T142" s="38"/>
      <c r="U142" s="11"/>
      <c r="V142" s="18"/>
    </row>
    <row r="143" ht="15.75" customHeight="1">
      <c r="A143" s="7"/>
      <c r="B143" s="53">
        <v>715.0</v>
      </c>
      <c r="C143" s="20">
        <v>33.0</v>
      </c>
      <c r="D143" s="21">
        <v>0.7701388888888889</v>
      </c>
      <c r="E143" s="22">
        <v>0.7729166666666667</v>
      </c>
      <c r="F143" s="14">
        <v>32.0</v>
      </c>
      <c r="G143" s="15">
        <v>0.035416666666666666</v>
      </c>
      <c r="H143" s="16">
        <v>0.03819444444444445</v>
      </c>
      <c r="I143" s="11"/>
      <c r="J143" s="12"/>
      <c r="K143" s="38"/>
      <c r="L143" s="11"/>
      <c r="M143" s="12"/>
      <c r="N143" s="38"/>
      <c r="O143" s="11"/>
      <c r="P143" s="12"/>
      <c r="Q143" s="38"/>
      <c r="R143" s="11"/>
      <c r="S143" s="12"/>
      <c r="T143" s="38"/>
      <c r="U143" s="11"/>
      <c r="V143" s="12"/>
    </row>
    <row r="144" ht="15.75" customHeight="1">
      <c r="A144" s="7"/>
      <c r="B144" s="53">
        <v>536.0</v>
      </c>
      <c r="C144" s="20">
        <v>32.0</v>
      </c>
      <c r="D144" s="21">
        <v>0.7694444444444445</v>
      </c>
      <c r="E144" s="22">
        <v>0.7736111111111111</v>
      </c>
      <c r="F144" s="14">
        <v>49.0</v>
      </c>
      <c r="G144" s="15">
        <v>0.09861111111111111</v>
      </c>
      <c r="H144" s="16">
        <v>0.10694444444444444</v>
      </c>
      <c r="I144" s="11"/>
      <c r="J144" s="12"/>
      <c r="K144" s="38"/>
      <c r="L144" s="11"/>
      <c r="M144" s="12"/>
      <c r="N144" s="38"/>
      <c r="O144" s="11"/>
      <c r="P144" s="12"/>
      <c r="Q144" s="38"/>
      <c r="R144" s="11"/>
      <c r="S144" s="12"/>
      <c r="T144" s="38"/>
      <c r="U144" s="11"/>
      <c r="V144" s="12"/>
    </row>
    <row r="145" ht="15.75" customHeight="1">
      <c r="A145" s="7"/>
      <c r="B145" s="53">
        <v>527.0</v>
      </c>
      <c r="C145" s="20">
        <v>31.0</v>
      </c>
      <c r="D145" s="21">
        <v>0.7680555555555556</v>
      </c>
      <c r="E145" s="22">
        <v>0.7715277777777778</v>
      </c>
      <c r="F145" s="14">
        <v>35.0</v>
      </c>
      <c r="G145" s="15">
        <v>0.041666666666666664</v>
      </c>
      <c r="H145" s="16">
        <v>0.04652777777777778</v>
      </c>
      <c r="I145" s="11"/>
      <c r="J145" s="12"/>
      <c r="K145" s="13"/>
      <c r="L145" s="11"/>
      <c r="M145" s="12"/>
      <c r="N145" s="13"/>
      <c r="O145" s="11"/>
      <c r="P145" s="12"/>
      <c r="Q145" s="13"/>
      <c r="R145" s="11"/>
      <c r="S145" s="12"/>
      <c r="T145" s="13"/>
      <c r="U145" s="11"/>
      <c r="V145" s="18"/>
    </row>
    <row r="146" ht="15.75" customHeight="1">
      <c r="A146" s="7"/>
      <c r="B146" s="53">
        <v>662.0</v>
      </c>
      <c r="C146" s="20">
        <v>30.0</v>
      </c>
      <c r="D146" s="21">
        <v>0.7666666666666667</v>
      </c>
      <c r="E146" s="22">
        <v>0.7694444444444445</v>
      </c>
      <c r="F146" s="14">
        <v>26.0</v>
      </c>
      <c r="G146" s="15">
        <v>0.021527777777777778</v>
      </c>
      <c r="H146" s="16">
        <v>0.025</v>
      </c>
      <c r="I146" s="11"/>
      <c r="J146" s="12"/>
      <c r="K146" s="38"/>
      <c r="L146" s="11"/>
      <c r="M146" s="12"/>
      <c r="N146" s="38"/>
      <c r="O146" s="11"/>
      <c r="P146" s="12"/>
      <c r="Q146" s="38"/>
      <c r="R146" s="11"/>
      <c r="S146" s="12"/>
      <c r="T146" s="38"/>
      <c r="U146" s="11"/>
      <c r="V146" s="12"/>
    </row>
    <row r="147" ht="15.75" customHeight="1">
      <c r="A147" s="7"/>
      <c r="B147" s="53">
        <v>623.0</v>
      </c>
      <c r="C147" s="20">
        <v>29.0</v>
      </c>
      <c r="D147" s="21">
        <v>0.7631944444444444</v>
      </c>
      <c r="E147" s="22">
        <v>0.7659722222222223</v>
      </c>
      <c r="F147" s="68"/>
      <c r="G147" s="68"/>
      <c r="H147" s="69"/>
      <c r="I147" s="11"/>
      <c r="J147" s="12"/>
      <c r="K147" s="38"/>
      <c r="L147" s="11"/>
      <c r="M147" s="12"/>
      <c r="N147" s="38"/>
      <c r="O147" s="11"/>
      <c r="P147" s="12"/>
      <c r="Q147" s="38"/>
      <c r="R147" s="11"/>
      <c r="S147" s="12"/>
      <c r="T147" s="38"/>
      <c r="U147" s="11"/>
      <c r="V147" s="12"/>
    </row>
    <row r="148" ht="15.75" customHeight="1">
      <c r="A148" s="7"/>
      <c r="B148" s="53">
        <v>708.0</v>
      </c>
      <c r="C148" s="20">
        <v>28.0</v>
      </c>
      <c r="D148" s="21">
        <v>0.7569444444444444</v>
      </c>
      <c r="E148" s="22">
        <v>0.7611111111111111</v>
      </c>
      <c r="F148" s="68"/>
      <c r="G148" s="68"/>
      <c r="H148" s="69"/>
      <c r="I148" s="11"/>
      <c r="J148" s="12"/>
      <c r="K148" s="38"/>
      <c r="L148" s="11"/>
      <c r="M148" s="12"/>
      <c r="N148" s="38"/>
      <c r="O148" s="11"/>
      <c r="P148" s="12"/>
      <c r="Q148" s="38"/>
      <c r="R148" s="11"/>
      <c r="S148" s="12"/>
      <c r="T148" s="38"/>
      <c r="U148" s="11"/>
      <c r="V148" s="12"/>
    </row>
    <row r="149" ht="15.75" customHeight="1">
      <c r="A149" s="7"/>
      <c r="B149" s="53">
        <v>728.0</v>
      </c>
      <c r="C149" s="20">
        <v>27.0</v>
      </c>
      <c r="D149" s="21">
        <v>0.7569444444444444</v>
      </c>
      <c r="E149" s="22">
        <v>0.7611111111111111</v>
      </c>
      <c r="F149" s="14">
        <v>23.0</v>
      </c>
      <c r="G149" s="15">
        <v>0.9979166666666667</v>
      </c>
      <c r="H149" s="16">
        <v>0.001388888888888889</v>
      </c>
      <c r="I149" s="11"/>
      <c r="J149" s="12"/>
      <c r="K149" s="38"/>
      <c r="L149" s="11"/>
      <c r="M149" s="12"/>
      <c r="N149" s="38"/>
      <c r="O149" s="11"/>
      <c r="P149" s="12"/>
      <c r="Q149" s="38"/>
      <c r="R149" s="11"/>
      <c r="S149" s="12"/>
      <c r="T149" s="38"/>
      <c r="U149" s="11"/>
      <c r="V149" s="12"/>
    </row>
    <row r="150" ht="15.75" customHeight="1">
      <c r="A150" s="7"/>
      <c r="B150" s="53">
        <v>644.0</v>
      </c>
      <c r="C150" s="20">
        <v>26.0</v>
      </c>
      <c r="D150" s="21">
        <v>0.7520833333333333</v>
      </c>
      <c r="E150" s="22">
        <v>0.7541666666666667</v>
      </c>
      <c r="F150" s="14">
        <v>24.0</v>
      </c>
      <c r="G150" s="15">
        <v>0.0</v>
      </c>
      <c r="H150" s="16">
        <v>0.002777777777777778</v>
      </c>
      <c r="I150" s="11"/>
      <c r="J150" s="18"/>
      <c r="K150" s="38"/>
      <c r="L150" s="11"/>
      <c r="M150" s="18"/>
      <c r="N150" s="38"/>
      <c r="O150" s="11"/>
      <c r="P150" s="18"/>
      <c r="Q150" s="38"/>
      <c r="R150" s="11"/>
      <c r="S150" s="18"/>
      <c r="T150" s="38"/>
      <c r="U150" s="11"/>
      <c r="V150" s="18"/>
    </row>
    <row r="151" ht="15.75" customHeight="1">
      <c r="A151" s="7"/>
      <c r="B151" s="53">
        <v>565.0</v>
      </c>
      <c r="C151" s="20">
        <v>25.0</v>
      </c>
      <c r="D151" s="21">
        <v>0.75</v>
      </c>
      <c r="E151" s="22">
        <v>0.7541666666666667</v>
      </c>
      <c r="F151" s="14">
        <v>52.0</v>
      </c>
      <c r="G151" s="15">
        <v>0.10416666666666667</v>
      </c>
      <c r="H151" s="16">
        <v>0.10833333333333334</v>
      </c>
      <c r="I151" s="11"/>
      <c r="J151" s="12"/>
      <c r="K151" s="38"/>
      <c r="L151" s="11"/>
      <c r="M151" s="12"/>
      <c r="N151" s="38"/>
      <c r="O151" s="11"/>
      <c r="P151" s="12"/>
      <c r="Q151" s="38"/>
      <c r="R151" s="11"/>
      <c r="S151" s="12"/>
      <c r="T151" s="38"/>
      <c r="U151" s="11"/>
      <c r="V151" s="12"/>
    </row>
    <row r="152" ht="15.75" customHeight="1">
      <c r="A152" s="7"/>
      <c r="B152" s="53">
        <v>602.0</v>
      </c>
      <c r="C152" s="20">
        <v>24.0</v>
      </c>
      <c r="D152" s="21">
        <v>0.7493055555555556</v>
      </c>
      <c r="E152" s="22">
        <v>0.7520833333333333</v>
      </c>
      <c r="F152" s="14">
        <v>18.0</v>
      </c>
      <c r="G152" s="15">
        <v>0.9791666666666666</v>
      </c>
      <c r="H152" s="16">
        <v>0.9819444444444444</v>
      </c>
      <c r="I152" s="11"/>
      <c r="J152" s="18"/>
      <c r="K152" s="38"/>
      <c r="L152" s="11"/>
      <c r="M152" s="18"/>
      <c r="N152" s="38"/>
      <c r="O152" s="11"/>
      <c r="P152" s="18"/>
      <c r="Q152" s="38"/>
      <c r="R152" s="11"/>
      <c r="S152" s="18"/>
      <c r="T152" s="38"/>
      <c r="U152" s="11"/>
      <c r="V152" s="18"/>
    </row>
    <row r="153" ht="15.75" customHeight="1">
      <c r="A153" s="7"/>
      <c r="B153" s="53">
        <v>561.0</v>
      </c>
      <c r="C153" s="20">
        <v>23.0</v>
      </c>
      <c r="D153" s="21">
        <v>0.7493055555555556</v>
      </c>
      <c r="E153" s="22">
        <v>0.7520833333333333</v>
      </c>
      <c r="F153" s="14">
        <v>17.0</v>
      </c>
      <c r="G153" s="15">
        <v>0.9770833333333333</v>
      </c>
      <c r="H153" s="16">
        <v>0.9805555555555555</v>
      </c>
      <c r="I153" s="11"/>
      <c r="J153" s="12"/>
      <c r="K153" s="13"/>
      <c r="L153" s="11"/>
      <c r="M153" s="12"/>
      <c r="N153" s="13"/>
      <c r="O153" s="11"/>
      <c r="P153" s="12"/>
      <c r="Q153" s="13"/>
      <c r="R153" s="11"/>
      <c r="S153" s="12"/>
      <c r="T153" s="13"/>
      <c r="U153" s="11"/>
      <c r="V153" s="18"/>
    </row>
    <row r="154" ht="15.75" customHeight="1">
      <c r="A154" s="7"/>
      <c r="B154" s="53">
        <v>655.0</v>
      </c>
      <c r="C154" s="20">
        <v>22.0</v>
      </c>
      <c r="D154" s="21">
        <v>0.7486111111111111</v>
      </c>
      <c r="E154" s="22">
        <v>0.7534722222222222</v>
      </c>
      <c r="F154" s="14">
        <v>20.0</v>
      </c>
      <c r="G154" s="15">
        <v>0.9902777777777778</v>
      </c>
      <c r="H154" s="16">
        <v>0.9930555555555556</v>
      </c>
      <c r="I154" s="11"/>
      <c r="J154" s="12"/>
      <c r="K154" s="38"/>
      <c r="L154" s="11"/>
      <c r="M154" s="12"/>
      <c r="N154" s="38"/>
      <c r="O154" s="11"/>
      <c r="P154" s="12"/>
      <c r="Q154" s="38"/>
      <c r="R154" s="11"/>
      <c r="S154" s="12"/>
      <c r="T154" s="38"/>
      <c r="U154" s="11"/>
      <c r="V154" s="12"/>
    </row>
    <row r="155" ht="15.75" customHeight="1">
      <c r="A155" s="7"/>
      <c r="B155" s="53">
        <v>685.0</v>
      </c>
      <c r="C155" s="20">
        <v>21.0</v>
      </c>
      <c r="D155" s="21">
        <v>0.7486111111111111</v>
      </c>
      <c r="E155" s="22">
        <v>0.7534722222222222</v>
      </c>
      <c r="F155" s="14">
        <v>14.0</v>
      </c>
      <c r="G155" s="15">
        <v>0.9673611111111111</v>
      </c>
      <c r="H155" s="16">
        <v>0.9715277777777778</v>
      </c>
      <c r="I155" s="11"/>
      <c r="J155" s="12"/>
      <c r="K155" s="38"/>
      <c r="L155" s="11"/>
      <c r="M155" s="12"/>
      <c r="N155" s="38"/>
      <c r="O155" s="11"/>
      <c r="P155" s="12"/>
      <c r="Q155" s="38"/>
      <c r="R155" s="11"/>
      <c r="S155" s="12"/>
      <c r="T155" s="38"/>
      <c r="U155" s="11"/>
      <c r="V155" s="12"/>
    </row>
    <row r="156" ht="15.75" customHeight="1">
      <c r="A156" s="7"/>
      <c r="B156" s="53">
        <v>629.0</v>
      </c>
      <c r="C156" s="20">
        <v>20.0</v>
      </c>
      <c r="D156" s="21">
        <v>0.7465277777777778</v>
      </c>
      <c r="E156" s="22">
        <v>0.7506944444444444</v>
      </c>
      <c r="F156" s="14">
        <v>19.0</v>
      </c>
      <c r="G156" s="15">
        <v>0.9826388888888888</v>
      </c>
      <c r="H156" s="16">
        <v>0.9881944444444445</v>
      </c>
      <c r="I156" s="11"/>
      <c r="J156" s="12"/>
      <c r="K156" s="13"/>
      <c r="L156" s="11"/>
      <c r="M156" s="12"/>
      <c r="N156" s="13"/>
      <c r="O156" s="11"/>
      <c r="P156" s="12"/>
      <c r="Q156" s="13"/>
      <c r="R156" s="11"/>
      <c r="S156" s="12"/>
      <c r="T156" s="13"/>
      <c r="U156" s="11"/>
      <c r="V156" s="12"/>
    </row>
    <row r="157" ht="15.75" customHeight="1">
      <c r="A157" s="7"/>
      <c r="B157" s="53">
        <v>601.0</v>
      </c>
      <c r="C157" s="20">
        <v>19.0</v>
      </c>
      <c r="D157" s="21">
        <v>0.7451388888888889</v>
      </c>
      <c r="E157" s="22">
        <v>0.7472222222222222</v>
      </c>
      <c r="F157" s="14">
        <v>16.0</v>
      </c>
      <c r="G157" s="15">
        <v>0.9694444444444444</v>
      </c>
      <c r="H157" s="16">
        <v>0.9722222222222222</v>
      </c>
      <c r="I157" s="11"/>
      <c r="J157" s="18"/>
      <c r="K157" s="38"/>
      <c r="L157" s="11"/>
      <c r="M157" s="18"/>
      <c r="N157" s="38"/>
      <c r="O157" s="11"/>
      <c r="P157" s="18"/>
      <c r="Q157" s="38"/>
      <c r="R157" s="11"/>
      <c r="S157" s="18"/>
      <c r="T157" s="38"/>
      <c r="U157" s="11"/>
      <c r="V157" s="18"/>
    </row>
    <row r="158" ht="15.75" customHeight="1">
      <c r="A158" s="7"/>
      <c r="B158" s="53">
        <v>529.0</v>
      </c>
      <c r="C158" s="20">
        <v>18.0</v>
      </c>
      <c r="D158" s="21">
        <v>0.7444444444444445</v>
      </c>
      <c r="E158" s="22">
        <v>0.7458333333333333</v>
      </c>
      <c r="F158" s="14">
        <v>15.0</v>
      </c>
      <c r="G158" s="15">
        <v>0.96875</v>
      </c>
      <c r="H158" s="16">
        <v>0.9722222222222222</v>
      </c>
      <c r="I158" s="11"/>
      <c r="J158" s="12"/>
      <c r="K158" s="38"/>
      <c r="L158" s="11"/>
      <c r="M158" s="12"/>
      <c r="N158" s="38"/>
      <c r="O158" s="11"/>
      <c r="P158" s="12"/>
      <c r="Q158" s="38"/>
      <c r="R158" s="11"/>
      <c r="S158" s="12"/>
      <c r="T158" s="38"/>
      <c r="U158" s="11"/>
      <c r="V158" s="12"/>
    </row>
    <row r="159" ht="15.75" customHeight="1">
      <c r="A159" s="7"/>
      <c r="B159" s="53">
        <v>650.0</v>
      </c>
      <c r="C159" s="20">
        <v>17.0</v>
      </c>
      <c r="D159" s="21">
        <v>0.7430555555555556</v>
      </c>
      <c r="E159" s="22">
        <v>0.7458333333333333</v>
      </c>
      <c r="F159" s="14">
        <v>21.0</v>
      </c>
      <c r="G159" s="15">
        <v>0.9965277777777778</v>
      </c>
      <c r="H159" s="16">
        <v>0.9986111111111111</v>
      </c>
      <c r="I159" s="11"/>
      <c r="J159" s="12"/>
      <c r="K159" s="13"/>
      <c r="L159" s="11"/>
      <c r="M159" s="12"/>
      <c r="N159" s="13"/>
      <c r="O159" s="11"/>
      <c r="P159" s="12"/>
      <c r="Q159" s="13"/>
      <c r="R159" s="11"/>
      <c r="S159" s="12"/>
      <c r="T159" s="13"/>
      <c r="U159" s="11"/>
      <c r="V159" s="18"/>
    </row>
    <row r="160" ht="15.75" customHeight="1">
      <c r="A160" s="7"/>
      <c r="B160" s="53">
        <v>697.0</v>
      </c>
      <c r="C160" s="20">
        <v>16.0</v>
      </c>
      <c r="D160" s="21">
        <v>0.7430555555555556</v>
      </c>
      <c r="E160" s="22">
        <v>0.7458333333333333</v>
      </c>
      <c r="F160" s="14">
        <v>22.0</v>
      </c>
      <c r="G160" s="15">
        <v>0.9965277777777778</v>
      </c>
      <c r="H160" s="16">
        <v>0.002777777777777778</v>
      </c>
      <c r="I160" s="11"/>
      <c r="J160" s="12"/>
      <c r="K160" s="13"/>
      <c r="L160" s="11"/>
      <c r="M160" s="12"/>
      <c r="N160" s="13"/>
      <c r="O160" s="11"/>
      <c r="P160" s="12"/>
      <c r="Q160" s="13"/>
      <c r="R160" s="11"/>
      <c r="S160" s="12"/>
      <c r="T160" s="13"/>
      <c r="U160" s="11"/>
      <c r="V160" s="18"/>
    </row>
    <row r="161" ht="15.75" customHeight="1">
      <c r="A161" s="7"/>
      <c r="B161" s="53">
        <v>702.0</v>
      </c>
      <c r="C161" s="20">
        <v>15.0</v>
      </c>
      <c r="D161" s="21">
        <v>0.7402777777777778</v>
      </c>
      <c r="E161" s="22">
        <v>0.7430555555555556</v>
      </c>
      <c r="F161" s="14">
        <v>11.0</v>
      </c>
      <c r="G161" s="15">
        <v>0.9618055555555556</v>
      </c>
      <c r="H161" s="16">
        <v>0.9652777777777778</v>
      </c>
      <c r="I161" s="11"/>
      <c r="J161" s="12"/>
      <c r="K161" s="13"/>
      <c r="L161" s="11"/>
      <c r="M161" s="12"/>
      <c r="N161" s="13"/>
      <c r="O161" s="11"/>
      <c r="P161" s="12"/>
      <c r="Q161" s="13"/>
      <c r="R161" s="11"/>
      <c r="S161" s="12"/>
      <c r="T161" s="13"/>
      <c r="U161" s="11"/>
      <c r="V161" s="12"/>
    </row>
    <row r="162" ht="15.75" customHeight="1">
      <c r="A162" s="7"/>
      <c r="B162" s="53">
        <v>543.0</v>
      </c>
      <c r="C162" s="20">
        <v>14.0</v>
      </c>
      <c r="D162" s="21">
        <v>0.7402777777777778</v>
      </c>
      <c r="E162" s="22">
        <v>0.7430555555555556</v>
      </c>
      <c r="F162" s="14">
        <v>10.0</v>
      </c>
      <c r="G162" s="15">
        <v>0.9465277777777777</v>
      </c>
      <c r="H162" s="16">
        <v>0.9520833333333333</v>
      </c>
      <c r="I162" s="11"/>
      <c r="J162" s="12"/>
      <c r="K162" s="13"/>
      <c r="L162" s="11"/>
      <c r="M162" s="12"/>
      <c r="N162" s="13"/>
      <c r="O162" s="11"/>
      <c r="P162" s="12"/>
      <c r="Q162" s="13"/>
      <c r="R162" s="11"/>
      <c r="S162" s="12"/>
      <c r="T162" s="13"/>
      <c r="U162" s="11"/>
      <c r="V162" s="12"/>
    </row>
    <row r="163" ht="15.75" customHeight="1">
      <c r="A163" s="7"/>
      <c r="B163" s="53">
        <v>736.0</v>
      </c>
      <c r="C163" s="85">
        <v>13.0</v>
      </c>
      <c r="D163" s="21">
        <v>0.7381944444444445</v>
      </c>
      <c r="E163" s="22">
        <v>0.7472222222222222</v>
      </c>
      <c r="F163" s="14">
        <v>25.0</v>
      </c>
      <c r="G163" s="15">
        <v>0.0020833333333333333</v>
      </c>
      <c r="H163" s="53" t="s">
        <v>178</v>
      </c>
      <c r="I163" s="11"/>
      <c r="J163" s="12"/>
      <c r="K163" s="13"/>
      <c r="L163" s="11"/>
      <c r="M163" s="12"/>
      <c r="N163" s="13"/>
      <c r="O163" s="11"/>
      <c r="P163" s="12"/>
      <c r="Q163" s="13"/>
      <c r="R163" s="11"/>
      <c r="S163" s="12"/>
      <c r="T163" s="38"/>
      <c r="U163" s="11"/>
      <c r="V163" s="18"/>
    </row>
    <row r="164" ht="15.75" customHeight="1">
      <c r="A164" s="7"/>
      <c r="B164" s="53">
        <v>731.0</v>
      </c>
      <c r="C164" s="20">
        <v>12.0</v>
      </c>
      <c r="D164" s="21">
        <v>0.7368055555555556</v>
      </c>
      <c r="E164" s="22">
        <v>0.7375</v>
      </c>
      <c r="F164" s="14">
        <v>12.0</v>
      </c>
      <c r="G164" s="15">
        <v>0.9618055555555556</v>
      </c>
      <c r="H164" s="16">
        <v>0.9638888888888889</v>
      </c>
      <c r="I164" s="11"/>
      <c r="J164" s="12"/>
      <c r="K164" s="13"/>
      <c r="L164" s="11"/>
      <c r="M164" s="12"/>
      <c r="N164" s="13"/>
      <c r="O164" s="11"/>
      <c r="P164" s="12"/>
      <c r="Q164" s="13"/>
      <c r="R164" s="11"/>
      <c r="S164" s="12"/>
      <c r="T164" s="13"/>
      <c r="U164" s="11"/>
      <c r="V164" s="12"/>
    </row>
    <row r="165" ht="15.75" customHeight="1">
      <c r="A165" s="7"/>
      <c r="B165" s="53">
        <v>599.0</v>
      </c>
      <c r="C165" s="20">
        <v>11.0</v>
      </c>
      <c r="D165" s="21">
        <v>0.7347222222222223</v>
      </c>
      <c r="E165" s="22">
        <v>0.7361111111111112</v>
      </c>
      <c r="F165" s="14">
        <v>34.0</v>
      </c>
      <c r="G165" s="15">
        <v>0.04097222222222222</v>
      </c>
      <c r="H165" s="53" t="s">
        <v>178</v>
      </c>
      <c r="I165" s="11"/>
      <c r="J165" s="18"/>
      <c r="K165" s="38"/>
      <c r="L165" s="11"/>
      <c r="M165" s="18"/>
      <c r="N165" s="38"/>
      <c r="O165" s="11"/>
      <c r="P165" s="18"/>
      <c r="Q165" s="38"/>
      <c r="R165" s="11"/>
      <c r="S165" s="18"/>
      <c r="T165" s="38"/>
      <c r="U165" s="11"/>
      <c r="V165" s="12"/>
    </row>
    <row r="166" ht="15.75" customHeight="1">
      <c r="A166" s="7"/>
      <c r="B166" s="53">
        <v>689.0</v>
      </c>
      <c r="C166" s="20">
        <v>10.0</v>
      </c>
      <c r="D166" s="21">
        <v>0.7173611111111111</v>
      </c>
      <c r="E166" s="22">
        <v>0.7194444444444444</v>
      </c>
      <c r="F166" s="14">
        <v>6.0</v>
      </c>
      <c r="G166" s="15">
        <v>0.9229166666666667</v>
      </c>
      <c r="H166" s="16">
        <v>0.925</v>
      </c>
      <c r="I166" s="11"/>
      <c r="J166" s="12"/>
      <c r="K166" s="13"/>
      <c r="L166" s="11"/>
      <c r="M166" s="12"/>
      <c r="N166" s="13"/>
      <c r="O166" s="11"/>
      <c r="P166" s="12"/>
      <c r="Q166" s="13"/>
      <c r="R166" s="11"/>
      <c r="S166" s="12"/>
      <c r="T166" s="13"/>
      <c r="U166" s="11"/>
      <c r="V166" s="18"/>
    </row>
    <row r="167" ht="15.75" customHeight="1">
      <c r="A167" s="7"/>
      <c r="B167" s="53">
        <v>515.0</v>
      </c>
      <c r="C167" s="20">
        <v>9.0</v>
      </c>
      <c r="D167" s="21">
        <v>0.7131944444444445</v>
      </c>
      <c r="E167" s="22">
        <v>0.7145833333333333</v>
      </c>
      <c r="F167" s="14">
        <v>9.0</v>
      </c>
      <c r="G167" s="15">
        <v>0.9381944444444444</v>
      </c>
      <c r="H167" s="16">
        <v>0.9402777777777778</v>
      </c>
      <c r="I167" s="11"/>
      <c r="J167" s="12"/>
      <c r="K167" s="38"/>
      <c r="L167" s="11"/>
      <c r="M167" s="12"/>
      <c r="N167" s="38"/>
      <c r="O167" s="11"/>
      <c r="P167" s="12"/>
      <c r="Q167" s="38"/>
      <c r="R167" s="11"/>
      <c r="S167" s="12"/>
      <c r="T167" s="38"/>
      <c r="U167" s="11"/>
      <c r="V167" s="12"/>
    </row>
    <row r="168" ht="15.75" customHeight="1">
      <c r="A168" s="7"/>
      <c r="B168" s="53">
        <v>513.0</v>
      </c>
      <c r="C168" s="20">
        <v>8.0</v>
      </c>
      <c r="D168" s="21">
        <v>0.70625</v>
      </c>
      <c r="E168" s="22">
        <v>0.7097222222222223</v>
      </c>
      <c r="F168" s="14">
        <v>5.0</v>
      </c>
      <c r="G168" s="15">
        <v>0.9118055555555555</v>
      </c>
      <c r="H168" s="16">
        <v>0.9173611111111111</v>
      </c>
      <c r="I168" s="11"/>
      <c r="J168" s="12"/>
      <c r="K168" s="13"/>
      <c r="L168" s="11"/>
      <c r="M168" s="12"/>
      <c r="N168" s="13"/>
      <c r="O168" s="11"/>
      <c r="P168" s="12"/>
      <c r="Q168" s="13"/>
      <c r="R168" s="11"/>
      <c r="S168" s="12"/>
      <c r="T168" s="13"/>
      <c r="U168" s="11"/>
      <c r="V168" s="12"/>
    </row>
    <row r="169" ht="15.75" customHeight="1">
      <c r="A169" s="7"/>
      <c r="B169" s="53">
        <v>603.0</v>
      </c>
      <c r="C169" s="20">
        <v>7.0</v>
      </c>
      <c r="D169" s="21">
        <v>0.7006944444444444</v>
      </c>
      <c r="E169" s="22">
        <v>0.7069444444444445</v>
      </c>
      <c r="F169" s="14">
        <v>7.0</v>
      </c>
      <c r="G169" s="15">
        <v>0.9243055555555556</v>
      </c>
      <c r="H169" s="16">
        <v>0.9270833333333334</v>
      </c>
      <c r="I169" s="11"/>
      <c r="J169" s="18"/>
      <c r="K169" s="38"/>
      <c r="L169" s="11"/>
      <c r="M169" s="18"/>
      <c r="N169" s="38"/>
      <c r="O169" s="11"/>
      <c r="P169" s="18"/>
      <c r="Q169" s="38"/>
      <c r="R169" s="11"/>
      <c r="S169" s="18"/>
      <c r="T169" s="38"/>
      <c r="U169" s="11"/>
      <c r="V169" s="12"/>
    </row>
    <row r="170" ht="15.75" customHeight="1">
      <c r="A170" s="7"/>
      <c r="B170" s="53">
        <v>563.0</v>
      </c>
      <c r="C170" s="20">
        <v>6.0</v>
      </c>
      <c r="D170" s="21">
        <v>0.6916666666666667</v>
      </c>
      <c r="E170" s="22">
        <v>0.69375</v>
      </c>
      <c r="F170" s="14">
        <v>8.0</v>
      </c>
      <c r="G170" s="15">
        <v>0.9298611111111111</v>
      </c>
      <c r="H170" s="16">
        <v>0.9326388888888889</v>
      </c>
      <c r="I170" s="11"/>
      <c r="J170" s="12"/>
      <c r="K170" s="38"/>
      <c r="L170" s="11"/>
      <c r="M170" s="12"/>
      <c r="N170" s="38"/>
      <c r="O170" s="11"/>
      <c r="P170" s="12"/>
      <c r="Q170" s="38"/>
      <c r="R170" s="11"/>
      <c r="S170" s="12"/>
      <c r="T170" s="38"/>
      <c r="U170" s="11"/>
      <c r="V170" s="12"/>
    </row>
    <row r="171" ht="15.75" customHeight="1">
      <c r="A171" s="7"/>
      <c r="B171" s="53">
        <v>620.0</v>
      </c>
      <c r="C171" s="20">
        <v>5.0</v>
      </c>
      <c r="D171" s="21">
        <v>0.6916666666666667</v>
      </c>
      <c r="E171" s="22">
        <v>0.69375</v>
      </c>
      <c r="F171" s="14">
        <v>4.0</v>
      </c>
      <c r="G171" s="15">
        <v>0.9027777777777778</v>
      </c>
      <c r="H171" s="16">
        <v>0.9048611111111111</v>
      </c>
      <c r="I171" s="11"/>
      <c r="J171" s="12"/>
      <c r="K171" s="38"/>
      <c r="L171" s="11"/>
      <c r="M171" s="12"/>
      <c r="N171" s="38"/>
      <c r="O171" s="11"/>
      <c r="P171" s="12"/>
      <c r="Q171" s="38"/>
      <c r="R171" s="11"/>
      <c r="S171" s="12"/>
      <c r="T171" s="38"/>
      <c r="U171" s="11"/>
      <c r="V171" s="12"/>
    </row>
    <row r="172" ht="15.75" customHeight="1">
      <c r="A172" s="7"/>
      <c r="B172" s="53">
        <v>609.0</v>
      </c>
      <c r="C172" s="20">
        <v>4.0</v>
      </c>
      <c r="D172" s="21">
        <v>0.6895833333333333</v>
      </c>
      <c r="E172" s="22">
        <v>0.6909722222222222</v>
      </c>
      <c r="F172" s="14">
        <v>13.0</v>
      </c>
      <c r="G172" s="15">
        <v>0.9631944444444445</v>
      </c>
      <c r="H172" s="53" t="s">
        <v>178</v>
      </c>
      <c r="I172" s="11"/>
      <c r="J172" s="18"/>
      <c r="K172" s="38"/>
      <c r="L172" s="11"/>
      <c r="M172" s="18"/>
      <c r="N172" s="38"/>
      <c r="O172" s="11"/>
      <c r="P172" s="18"/>
      <c r="Q172" s="38"/>
      <c r="R172" s="11"/>
      <c r="S172" s="18"/>
      <c r="T172" s="38"/>
      <c r="U172" s="11"/>
      <c r="V172" s="18"/>
    </row>
    <row r="173" ht="15.75" customHeight="1">
      <c r="A173" s="7"/>
      <c r="B173" s="53">
        <v>618.0</v>
      </c>
      <c r="C173" s="20">
        <v>3.0</v>
      </c>
      <c r="D173" s="21">
        <v>0.675</v>
      </c>
      <c r="E173" s="22">
        <v>0.6784722222222223</v>
      </c>
      <c r="F173" s="14">
        <v>3.0</v>
      </c>
      <c r="G173" s="15">
        <v>0.9006944444444445</v>
      </c>
      <c r="H173" s="16">
        <v>0.9069444444444444</v>
      </c>
      <c r="I173" s="11"/>
      <c r="J173" s="12"/>
      <c r="K173" s="13"/>
      <c r="L173" s="11"/>
      <c r="M173" s="12"/>
      <c r="N173" s="13"/>
      <c r="O173" s="11"/>
      <c r="P173" s="12"/>
      <c r="Q173" s="13"/>
      <c r="R173" s="11"/>
      <c r="S173" s="12"/>
      <c r="T173" s="13"/>
      <c r="U173" s="11"/>
      <c r="V173" s="18"/>
    </row>
    <row r="174" ht="15.75" customHeight="1">
      <c r="A174" s="7"/>
      <c r="B174" s="53">
        <v>596.0</v>
      </c>
      <c r="C174" s="20">
        <v>2.0</v>
      </c>
      <c r="D174" s="21">
        <v>0.6673611111111111</v>
      </c>
      <c r="E174" s="22">
        <v>0.6701388888888888</v>
      </c>
      <c r="F174" s="14">
        <v>2.0</v>
      </c>
      <c r="G174" s="15">
        <v>0.8715277777777778</v>
      </c>
      <c r="H174" s="16">
        <v>0.8736111111111111</v>
      </c>
      <c r="I174" s="11"/>
      <c r="J174" s="12"/>
      <c r="K174" s="13"/>
      <c r="L174" s="11"/>
      <c r="M174" s="12"/>
      <c r="N174" s="13"/>
      <c r="O174" s="11"/>
      <c r="P174" s="12"/>
      <c r="Q174" s="13"/>
      <c r="R174" s="11"/>
      <c r="S174" s="12"/>
      <c r="T174" s="13"/>
      <c r="U174" s="11"/>
      <c r="V174" s="12"/>
    </row>
    <row r="175" ht="15.75" customHeight="1">
      <c r="A175" s="7"/>
      <c r="B175" s="53">
        <v>537.0</v>
      </c>
      <c r="C175" s="20">
        <v>1.0</v>
      </c>
      <c r="D175" s="21">
        <v>0.6152777777777778</v>
      </c>
      <c r="E175" s="22">
        <v>0.6166666666666667</v>
      </c>
      <c r="F175" s="14">
        <v>1.0</v>
      </c>
      <c r="G175" s="15">
        <v>0.7868055555555555</v>
      </c>
      <c r="H175" s="16">
        <v>0.7895833333333333</v>
      </c>
      <c r="I175" s="11"/>
      <c r="J175" s="12"/>
      <c r="K175" s="13"/>
      <c r="L175" s="11"/>
      <c r="M175" s="12"/>
      <c r="N175" s="13"/>
      <c r="O175" s="11"/>
      <c r="P175" s="12"/>
      <c r="Q175" s="13"/>
      <c r="R175" s="11"/>
      <c r="S175" s="12"/>
      <c r="T175" s="13"/>
      <c r="U175" s="11"/>
      <c r="V175" s="18"/>
    </row>
    <row r="176" ht="15.75" customHeight="1">
      <c r="A176" s="7"/>
      <c r="B176" s="53">
        <v>506.0</v>
      </c>
      <c r="C176" s="20"/>
      <c r="D176" s="20"/>
      <c r="E176" s="70"/>
      <c r="F176" s="68"/>
      <c r="G176" s="68"/>
      <c r="H176" s="69"/>
      <c r="I176" s="11"/>
      <c r="J176" s="18"/>
      <c r="K176" s="38"/>
      <c r="L176" s="11"/>
      <c r="M176" s="18"/>
      <c r="N176" s="38"/>
      <c r="O176" s="11"/>
      <c r="P176" s="18"/>
      <c r="Q176" s="38"/>
      <c r="R176" s="11"/>
      <c r="S176" s="18"/>
      <c r="T176" s="38"/>
      <c r="U176" s="11"/>
      <c r="V176" s="12"/>
    </row>
    <row r="177" ht="15.75" customHeight="1">
      <c r="A177" s="7"/>
      <c r="B177" s="53">
        <v>508.0</v>
      </c>
      <c r="C177" s="20"/>
      <c r="D177" s="71"/>
      <c r="E177" s="56"/>
      <c r="F177" s="68"/>
      <c r="G177" s="68"/>
      <c r="H177" s="69"/>
      <c r="I177" s="11"/>
      <c r="J177" s="12"/>
      <c r="K177" s="13"/>
      <c r="L177" s="11"/>
      <c r="M177" s="12"/>
      <c r="N177" s="13"/>
      <c r="O177" s="11"/>
      <c r="P177" s="12"/>
      <c r="Q177" s="13"/>
      <c r="R177" s="11"/>
      <c r="S177" s="12"/>
      <c r="T177" s="13"/>
      <c r="U177" s="11"/>
      <c r="V177" s="12"/>
    </row>
    <row r="178" ht="15.75" customHeight="1">
      <c r="A178" s="7"/>
      <c r="B178" s="53">
        <v>532.0</v>
      </c>
      <c r="C178" s="20"/>
      <c r="D178" s="71"/>
      <c r="E178" s="70"/>
      <c r="F178" s="68"/>
      <c r="G178" s="68"/>
      <c r="H178" s="69"/>
      <c r="I178" s="11"/>
      <c r="J178" s="12"/>
      <c r="K178" s="13"/>
      <c r="L178" s="11"/>
      <c r="M178" s="12"/>
      <c r="N178" s="13"/>
      <c r="O178" s="11"/>
      <c r="P178" s="12"/>
      <c r="Q178" s="13"/>
      <c r="R178" s="11"/>
      <c r="S178" s="12"/>
      <c r="T178" s="13"/>
      <c r="U178" s="11"/>
      <c r="V178" s="18"/>
    </row>
    <row r="179" ht="15.75" customHeight="1">
      <c r="A179" s="7"/>
      <c r="B179" s="53">
        <v>539.0</v>
      </c>
      <c r="C179" s="20"/>
      <c r="D179" s="20"/>
      <c r="E179" s="70"/>
      <c r="F179" s="68"/>
      <c r="G179" s="68"/>
      <c r="H179" s="69"/>
      <c r="I179" s="11"/>
      <c r="J179" s="12"/>
      <c r="K179" s="13"/>
      <c r="L179" s="11"/>
      <c r="M179" s="12"/>
      <c r="N179" s="13"/>
      <c r="O179" s="11"/>
      <c r="P179" s="12"/>
      <c r="Q179" s="13"/>
      <c r="R179" s="11"/>
      <c r="S179" s="12"/>
      <c r="T179" s="13"/>
      <c r="U179" s="11"/>
      <c r="V179" s="18"/>
    </row>
    <row r="180" ht="15.75" customHeight="1">
      <c r="A180" s="7"/>
      <c r="B180" s="53">
        <v>541.0</v>
      </c>
      <c r="C180" s="20"/>
      <c r="D180" s="71"/>
      <c r="E180" s="56"/>
      <c r="F180" s="68"/>
      <c r="G180" s="68"/>
      <c r="H180" s="69"/>
      <c r="I180" s="11"/>
      <c r="J180" s="12"/>
      <c r="K180" s="13"/>
      <c r="L180" s="11"/>
      <c r="M180" s="12"/>
      <c r="N180" s="13"/>
      <c r="O180" s="11"/>
      <c r="P180" s="12"/>
      <c r="Q180" s="13"/>
      <c r="R180" s="11"/>
      <c r="S180" s="12"/>
      <c r="T180" s="13"/>
      <c r="U180" s="11"/>
      <c r="V180" s="12"/>
    </row>
    <row r="181" ht="15.75" customHeight="1">
      <c r="A181" s="7"/>
      <c r="B181" s="53">
        <v>542.0</v>
      </c>
      <c r="C181" s="20"/>
      <c r="D181" s="71"/>
      <c r="E181" s="70"/>
      <c r="F181" s="68"/>
      <c r="G181" s="68"/>
      <c r="H181" s="69"/>
      <c r="I181" s="11"/>
      <c r="J181" s="18"/>
      <c r="K181" s="38"/>
      <c r="L181" s="11"/>
      <c r="M181" s="18"/>
      <c r="N181" s="38"/>
      <c r="O181" s="11"/>
      <c r="P181" s="18"/>
      <c r="Q181" s="38"/>
      <c r="R181" s="11"/>
      <c r="S181" s="18"/>
      <c r="T181" s="38"/>
      <c r="U181" s="11"/>
      <c r="V181" s="18"/>
    </row>
    <row r="182" ht="15.75" customHeight="1">
      <c r="A182" s="7"/>
      <c r="B182" s="53"/>
      <c r="C182" s="20"/>
      <c r="D182" s="20"/>
      <c r="E182" s="56"/>
      <c r="F182" s="14"/>
      <c r="G182" s="14"/>
      <c r="H182" s="53"/>
      <c r="I182" s="11"/>
      <c r="J182" s="12"/>
      <c r="K182" s="13"/>
      <c r="L182" s="11"/>
      <c r="M182" s="12"/>
      <c r="N182" s="13"/>
      <c r="O182" s="11"/>
      <c r="P182" s="12"/>
      <c r="Q182" s="13"/>
      <c r="R182" s="11"/>
      <c r="S182" s="12"/>
      <c r="T182" s="13"/>
      <c r="U182" s="11"/>
      <c r="V182" s="12"/>
    </row>
    <row r="183" ht="15.75" customHeight="1">
      <c r="A183" s="7"/>
      <c r="B183" s="53">
        <v>552.0</v>
      </c>
      <c r="C183" s="20"/>
      <c r="D183" s="20"/>
      <c r="E183" s="56"/>
      <c r="F183" s="68"/>
      <c r="G183" s="68"/>
      <c r="H183" s="69"/>
      <c r="I183" s="11"/>
      <c r="J183" s="12"/>
      <c r="K183" s="13"/>
      <c r="L183" s="11"/>
      <c r="M183" s="12"/>
      <c r="N183" s="13"/>
      <c r="O183" s="11"/>
      <c r="P183" s="12"/>
      <c r="Q183" s="13"/>
      <c r="R183" s="11"/>
      <c r="S183" s="12"/>
      <c r="T183" s="13"/>
      <c r="U183" s="11"/>
      <c r="V183" s="18"/>
    </row>
    <row r="184" ht="15.75" customHeight="1">
      <c r="A184" s="7"/>
      <c r="B184" s="53">
        <v>557.0</v>
      </c>
      <c r="C184" s="20"/>
      <c r="D184" s="20"/>
      <c r="E184" s="56"/>
      <c r="F184" s="68"/>
      <c r="G184" s="68"/>
      <c r="H184" s="69"/>
      <c r="I184" s="11"/>
      <c r="J184" s="12"/>
      <c r="K184" s="13"/>
      <c r="L184" s="11"/>
      <c r="M184" s="12"/>
      <c r="N184" s="13"/>
      <c r="O184" s="11"/>
      <c r="P184" s="12"/>
      <c r="Q184" s="13"/>
      <c r="R184" s="11"/>
      <c r="S184" s="12"/>
      <c r="T184" s="13"/>
      <c r="U184" s="11"/>
      <c r="V184" s="12"/>
    </row>
    <row r="185" ht="15.75" customHeight="1">
      <c r="A185" s="7"/>
      <c r="B185" s="53">
        <v>558.0</v>
      </c>
      <c r="C185" s="20"/>
      <c r="D185" s="71"/>
      <c r="E185" s="56"/>
      <c r="F185" s="68"/>
      <c r="G185" s="68"/>
      <c r="H185" s="69"/>
      <c r="I185" s="11"/>
      <c r="J185" s="18"/>
      <c r="K185" s="38"/>
      <c r="L185" s="11"/>
      <c r="M185" s="18"/>
      <c r="N185" s="38"/>
      <c r="O185" s="11"/>
      <c r="P185" s="18"/>
      <c r="Q185" s="38"/>
      <c r="R185" s="11"/>
      <c r="S185" s="18"/>
      <c r="T185" s="38"/>
      <c r="U185" s="11"/>
      <c r="V185" s="18"/>
    </row>
    <row r="186" ht="15.75" customHeight="1">
      <c r="A186" s="7"/>
      <c r="B186" s="53">
        <v>566.0</v>
      </c>
      <c r="C186" s="71"/>
      <c r="D186" s="20"/>
      <c r="E186" s="70"/>
      <c r="F186" s="68"/>
      <c r="G186" s="68"/>
      <c r="H186" s="69"/>
      <c r="I186" s="11"/>
      <c r="J186" s="12"/>
      <c r="K186" s="13"/>
      <c r="L186" s="11"/>
      <c r="M186" s="12"/>
      <c r="N186" s="13"/>
      <c r="O186" s="11"/>
      <c r="P186" s="12"/>
      <c r="Q186" s="13"/>
      <c r="R186" s="11"/>
      <c r="S186" s="12"/>
      <c r="T186" s="13"/>
      <c r="U186" s="11"/>
      <c r="V186" s="18"/>
    </row>
    <row r="187" ht="15.75" customHeight="1">
      <c r="A187" s="7"/>
      <c r="B187" s="53">
        <v>572.0</v>
      </c>
      <c r="C187" s="20"/>
      <c r="D187" s="71"/>
      <c r="E187" s="56"/>
      <c r="F187" s="68"/>
      <c r="G187" s="68"/>
      <c r="H187" s="69"/>
      <c r="I187" s="11"/>
      <c r="J187" s="12"/>
      <c r="K187" s="13"/>
      <c r="L187" s="11"/>
      <c r="M187" s="12"/>
      <c r="N187" s="13"/>
      <c r="O187" s="11"/>
      <c r="P187" s="12"/>
      <c r="Q187" s="13"/>
      <c r="R187" s="11"/>
      <c r="S187" s="12"/>
      <c r="T187" s="13"/>
      <c r="U187" s="11"/>
      <c r="V187" s="12"/>
    </row>
    <row r="188" ht="15.75" customHeight="1">
      <c r="A188" s="7"/>
      <c r="B188" s="53">
        <v>574.0</v>
      </c>
      <c r="C188" s="20"/>
      <c r="D188" s="20"/>
      <c r="E188" s="70"/>
      <c r="F188" s="68"/>
      <c r="G188" s="68"/>
      <c r="H188" s="69"/>
      <c r="I188" s="11"/>
      <c r="J188" s="12"/>
      <c r="K188" s="13"/>
      <c r="L188" s="11"/>
      <c r="M188" s="12"/>
      <c r="N188" s="13"/>
      <c r="O188" s="11"/>
      <c r="P188" s="12"/>
      <c r="Q188" s="13"/>
      <c r="R188" s="11"/>
      <c r="S188" s="12"/>
      <c r="T188" s="13"/>
      <c r="U188" s="11"/>
      <c r="V188" s="18"/>
    </row>
    <row r="189" ht="15.75" customHeight="1">
      <c r="A189" s="7"/>
      <c r="B189" s="53">
        <v>576.0</v>
      </c>
      <c r="C189" s="20"/>
      <c r="D189" s="71"/>
      <c r="E189" s="70"/>
      <c r="F189" s="68"/>
      <c r="G189" s="68"/>
      <c r="H189" s="69"/>
      <c r="I189" s="11"/>
      <c r="J189" s="18"/>
      <c r="K189" s="38"/>
      <c r="L189" s="11"/>
      <c r="M189" s="18"/>
      <c r="N189" s="38"/>
      <c r="O189" s="11"/>
      <c r="P189" s="18"/>
      <c r="Q189" s="38"/>
      <c r="R189" s="11"/>
      <c r="S189" s="18"/>
      <c r="T189" s="38"/>
      <c r="U189" s="11"/>
      <c r="V189" s="18"/>
    </row>
    <row r="190" ht="15.75" customHeight="1">
      <c r="A190" s="7"/>
      <c r="B190" s="53"/>
      <c r="C190" s="20"/>
      <c r="D190" s="20"/>
      <c r="E190" s="56"/>
      <c r="F190" s="14"/>
      <c r="G190" s="14"/>
      <c r="H190" s="53"/>
      <c r="I190" s="11"/>
      <c r="J190" s="18"/>
      <c r="K190" s="38"/>
      <c r="L190" s="11"/>
      <c r="M190" s="18"/>
      <c r="N190" s="38"/>
      <c r="O190" s="11"/>
      <c r="P190" s="18"/>
      <c r="Q190" s="38"/>
      <c r="R190" s="11"/>
      <c r="S190" s="18"/>
      <c r="T190" s="38"/>
      <c r="U190" s="11"/>
      <c r="V190" s="18"/>
    </row>
    <row r="191" ht="15.75" customHeight="1">
      <c r="A191" s="7"/>
      <c r="B191" s="53">
        <v>600.0</v>
      </c>
      <c r="C191" s="20"/>
      <c r="D191" s="20"/>
      <c r="E191" s="70"/>
      <c r="F191" s="68"/>
      <c r="G191" s="68"/>
      <c r="H191" s="69"/>
      <c r="I191" s="11"/>
      <c r="J191" s="12"/>
      <c r="K191" s="13"/>
      <c r="L191" s="11"/>
      <c r="M191" s="12"/>
      <c r="N191" s="13"/>
      <c r="O191" s="11"/>
      <c r="P191" s="12"/>
      <c r="Q191" s="13"/>
      <c r="R191" s="11"/>
      <c r="S191" s="12"/>
      <c r="T191" s="13"/>
      <c r="U191" s="11"/>
      <c r="V191" s="12"/>
    </row>
    <row r="192" ht="15.75" customHeight="1">
      <c r="A192" s="7"/>
      <c r="B192" s="53">
        <v>608.0</v>
      </c>
      <c r="C192" s="20"/>
      <c r="D192" s="71"/>
      <c r="E192" s="56"/>
      <c r="F192" s="68"/>
      <c r="G192" s="68"/>
      <c r="H192" s="69"/>
      <c r="I192" s="11"/>
      <c r="J192" s="12"/>
      <c r="K192" s="38"/>
      <c r="L192" s="11"/>
      <c r="M192" s="12"/>
      <c r="N192" s="38"/>
      <c r="O192" s="11"/>
      <c r="P192" s="12"/>
      <c r="Q192" s="38"/>
      <c r="R192" s="11"/>
      <c r="S192" s="12"/>
      <c r="T192" s="38"/>
      <c r="U192" s="11"/>
      <c r="V192" s="12"/>
    </row>
    <row r="193" ht="15.75" customHeight="1">
      <c r="A193" s="7"/>
      <c r="B193" s="53">
        <v>613.0</v>
      </c>
      <c r="C193" s="20"/>
      <c r="D193" s="20"/>
      <c r="E193" s="70"/>
      <c r="F193" s="68"/>
      <c r="G193" s="68"/>
      <c r="H193" s="69"/>
      <c r="I193" s="11"/>
      <c r="J193" s="12"/>
      <c r="K193" s="38"/>
      <c r="L193" s="11"/>
      <c r="M193" s="12"/>
      <c r="N193" s="38"/>
      <c r="O193" s="11"/>
      <c r="P193" s="12"/>
      <c r="Q193" s="38"/>
      <c r="R193" s="11"/>
      <c r="S193" s="12"/>
      <c r="T193" s="38"/>
      <c r="U193" s="11"/>
      <c r="V193" s="12"/>
    </row>
    <row r="194" ht="15.75" customHeight="1">
      <c r="A194" s="7"/>
      <c r="B194" s="53">
        <v>616.0</v>
      </c>
      <c r="C194" s="20"/>
      <c r="D194" s="71"/>
      <c r="E194" s="56"/>
      <c r="F194" s="68"/>
      <c r="G194" s="68"/>
      <c r="H194" s="69"/>
      <c r="I194" s="11"/>
      <c r="J194" s="12"/>
      <c r="K194" s="38"/>
      <c r="L194" s="11"/>
      <c r="M194" s="12"/>
      <c r="N194" s="38"/>
      <c r="O194" s="11"/>
      <c r="P194" s="18"/>
      <c r="Q194" s="38"/>
      <c r="R194" s="11"/>
      <c r="S194" s="18"/>
      <c r="T194" s="38"/>
      <c r="U194" s="11"/>
      <c r="V194" s="18"/>
    </row>
    <row r="195" ht="15.75" customHeight="1">
      <c r="A195" s="7"/>
      <c r="B195" s="53">
        <v>624.0</v>
      </c>
      <c r="C195" s="20"/>
      <c r="D195" s="71"/>
      <c r="E195" s="70"/>
      <c r="F195" s="68"/>
      <c r="G195" s="68"/>
      <c r="H195" s="69"/>
      <c r="I195" s="11"/>
      <c r="J195" s="18"/>
      <c r="K195" s="38"/>
      <c r="L195" s="11"/>
      <c r="M195" s="18"/>
      <c r="N195" s="38"/>
      <c r="O195" s="11"/>
      <c r="P195" s="18"/>
      <c r="Q195" s="38"/>
      <c r="R195" s="11"/>
      <c r="S195" s="18"/>
      <c r="T195" s="38"/>
      <c r="U195" s="11"/>
      <c r="V195" s="18"/>
    </row>
    <row r="196" ht="15.75" customHeight="1">
      <c r="A196" s="7"/>
      <c r="B196" s="53">
        <v>640.0</v>
      </c>
      <c r="C196" s="20"/>
      <c r="D196" s="20"/>
      <c r="E196" s="70"/>
      <c r="F196" s="68"/>
      <c r="G196" s="68"/>
      <c r="H196" s="69"/>
      <c r="I196" s="11"/>
      <c r="J196" s="12"/>
      <c r="K196" s="13"/>
      <c r="L196" s="11"/>
      <c r="M196" s="12"/>
      <c r="N196" s="13"/>
      <c r="O196" s="11"/>
      <c r="P196" s="12"/>
      <c r="Q196" s="13"/>
      <c r="R196" s="11"/>
      <c r="S196" s="12"/>
      <c r="T196" s="13"/>
      <c r="U196" s="11"/>
      <c r="V196" s="12"/>
    </row>
    <row r="197" ht="15.75" customHeight="1">
      <c r="A197" s="7"/>
      <c r="B197" s="53">
        <v>641.0</v>
      </c>
      <c r="C197" s="20"/>
      <c r="D197" s="71"/>
      <c r="E197" s="56"/>
      <c r="F197" s="68"/>
      <c r="G197" s="68"/>
      <c r="H197" s="69"/>
      <c r="I197" s="11"/>
      <c r="J197" s="12"/>
      <c r="K197" s="38"/>
      <c r="L197" s="11"/>
      <c r="M197" s="12"/>
      <c r="N197" s="38"/>
      <c r="O197" s="11"/>
      <c r="P197" s="12"/>
      <c r="Q197" s="38"/>
      <c r="R197" s="11"/>
      <c r="S197" s="12"/>
      <c r="T197" s="38"/>
      <c r="U197" s="11"/>
      <c r="V197" s="12"/>
    </row>
    <row r="198" ht="15.75" customHeight="1">
      <c r="A198" s="7"/>
      <c r="B198" s="53">
        <v>654.0</v>
      </c>
      <c r="C198" s="20"/>
      <c r="D198" s="20"/>
      <c r="E198" s="70"/>
      <c r="F198" s="68"/>
      <c r="G198" s="68"/>
      <c r="H198" s="69"/>
      <c r="I198" s="11"/>
      <c r="J198" s="18"/>
      <c r="K198" s="38"/>
      <c r="L198" s="11"/>
      <c r="M198" s="18"/>
      <c r="N198" s="38"/>
      <c r="O198" s="11"/>
      <c r="P198" s="18"/>
      <c r="Q198" s="38"/>
      <c r="R198" s="11"/>
      <c r="S198" s="18"/>
      <c r="T198" s="38"/>
      <c r="U198" s="11"/>
      <c r="V198" s="18"/>
    </row>
    <row r="199" ht="15.75" customHeight="1">
      <c r="A199" s="7"/>
      <c r="B199" s="53">
        <v>667.0</v>
      </c>
      <c r="C199" s="20"/>
      <c r="D199" s="71"/>
      <c r="E199" s="56"/>
      <c r="F199" s="68"/>
      <c r="G199" s="68"/>
      <c r="H199" s="69"/>
      <c r="I199" s="11"/>
      <c r="J199" s="12"/>
      <c r="K199" s="38"/>
      <c r="L199" s="11"/>
      <c r="M199" s="12"/>
      <c r="N199" s="38"/>
      <c r="O199" s="11"/>
      <c r="P199" s="12"/>
      <c r="Q199" s="38"/>
      <c r="R199" s="11"/>
      <c r="S199" s="12"/>
      <c r="T199" s="38"/>
      <c r="U199" s="11"/>
      <c r="V199" s="18"/>
    </row>
    <row r="200" ht="15.75" customHeight="1">
      <c r="A200" s="7"/>
      <c r="B200" s="53">
        <v>674.0</v>
      </c>
      <c r="C200" s="20"/>
      <c r="D200" s="68"/>
      <c r="E200" s="70"/>
      <c r="F200" s="68"/>
      <c r="G200" s="68"/>
      <c r="H200" s="69"/>
      <c r="I200" s="11"/>
      <c r="J200" s="12"/>
      <c r="K200" s="38"/>
      <c r="L200" s="11"/>
      <c r="M200" s="12"/>
      <c r="N200" s="38"/>
      <c r="O200" s="11"/>
      <c r="P200" s="12"/>
      <c r="Q200" s="38"/>
      <c r="R200" s="11"/>
      <c r="S200" s="12"/>
      <c r="T200" s="38"/>
      <c r="U200" s="11"/>
      <c r="V200" s="12"/>
    </row>
    <row r="201" ht="15.75" customHeight="1">
      <c r="A201" s="7"/>
      <c r="B201" s="53">
        <v>678.0</v>
      </c>
      <c r="C201" s="20"/>
      <c r="D201" s="71"/>
      <c r="E201" s="70"/>
      <c r="F201" s="68"/>
      <c r="G201" s="68"/>
      <c r="H201" s="69"/>
      <c r="I201" s="18"/>
      <c r="J201" s="12"/>
      <c r="K201" s="12"/>
      <c r="L201" s="18"/>
      <c r="M201" s="12"/>
      <c r="N201" s="12"/>
      <c r="O201" s="18"/>
      <c r="P201" s="12"/>
      <c r="Q201" s="18"/>
      <c r="R201" s="18"/>
      <c r="S201" s="12"/>
      <c r="T201" s="12"/>
      <c r="U201" s="18"/>
      <c r="V201" s="12"/>
    </row>
    <row r="202" ht="15.75" customHeight="1">
      <c r="A202" s="7"/>
      <c r="B202" s="14">
        <v>689.0</v>
      </c>
      <c r="C202" s="68"/>
      <c r="D202" s="20"/>
      <c r="E202" s="68"/>
      <c r="F202" s="68"/>
      <c r="G202" s="68"/>
      <c r="H202" s="69"/>
      <c r="I202" s="11"/>
      <c r="J202" s="12"/>
      <c r="K202" s="13"/>
      <c r="L202" s="11"/>
      <c r="M202" s="12"/>
      <c r="N202" s="13"/>
      <c r="O202" s="11"/>
      <c r="P202" s="12"/>
      <c r="Q202" s="13"/>
      <c r="R202" s="11"/>
      <c r="S202" s="12"/>
      <c r="T202" s="13"/>
      <c r="U202" s="11"/>
      <c r="V202" s="12"/>
    </row>
    <row r="203" ht="15.75" customHeight="1">
      <c r="A203" s="7"/>
      <c r="B203" s="53">
        <v>700.0</v>
      </c>
      <c r="C203" s="20"/>
      <c r="D203" s="20"/>
      <c r="E203" s="70"/>
      <c r="F203" s="68"/>
      <c r="G203" s="68"/>
      <c r="H203" s="69"/>
      <c r="I203" s="11"/>
      <c r="J203" s="18"/>
      <c r="K203" s="38"/>
      <c r="L203" s="11"/>
      <c r="M203" s="18"/>
      <c r="N203" s="38"/>
      <c r="O203" s="11"/>
      <c r="P203" s="18"/>
      <c r="Q203" s="38"/>
      <c r="R203" s="11"/>
      <c r="S203" s="18"/>
      <c r="T203" s="38"/>
      <c r="U203" s="11"/>
      <c r="V203" s="12"/>
    </row>
    <row r="204" ht="15.75" customHeight="1">
      <c r="A204" s="7"/>
      <c r="B204" s="53">
        <v>707.0</v>
      </c>
      <c r="C204" s="20"/>
      <c r="D204" s="71"/>
      <c r="E204" s="56"/>
      <c r="F204" s="68"/>
      <c r="G204" s="68"/>
      <c r="H204" s="69"/>
      <c r="I204" s="11"/>
      <c r="J204" s="12"/>
      <c r="K204" s="38"/>
      <c r="L204" s="11"/>
      <c r="M204" s="12"/>
      <c r="N204" s="38"/>
      <c r="O204" s="11"/>
      <c r="P204" s="12"/>
      <c r="Q204" s="38"/>
      <c r="R204" s="11"/>
      <c r="S204" s="12"/>
      <c r="T204" s="38"/>
      <c r="U204" s="11"/>
      <c r="V204" s="12"/>
    </row>
    <row r="205" ht="15.75" customHeight="1">
      <c r="A205" s="7"/>
      <c r="B205" s="53">
        <v>726.0</v>
      </c>
      <c r="C205" s="20"/>
      <c r="D205" s="71"/>
      <c r="E205" s="70"/>
      <c r="F205" s="68"/>
      <c r="G205" s="68"/>
      <c r="H205" s="69"/>
      <c r="I205" s="11"/>
      <c r="J205" s="12"/>
      <c r="K205" s="38"/>
      <c r="L205" s="11"/>
      <c r="M205" s="12"/>
      <c r="N205" s="38"/>
      <c r="O205" s="11"/>
      <c r="P205" s="12"/>
      <c r="Q205" s="38"/>
      <c r="R205" s="11"/>
      <c r="S205" s="12"/>
      <c r="T205" s="38"/>
      <c r="U205" s="11"/>
      <c r="V205" s="12"/>
    </row>
    <row r="206" ht="15.75" customHeight="1">
      <c r="A206" s="7"/>
      <c r="B206" s="74"/>
      <c r="C206" s="18"/>
      <c r="D206" s="18"/>
      <c r="E206" s="18"/>
      <c r="F206" s="18"/>
      <c r="G206" s="18"/>
      <c r="H206" s="18"/>
      <c r="I206" s="11"/>
      <c r="J206" s="18"/>
      <c r="K206" s="38"/>
      <c r="L206" s="11"/>
      <c r="M206" s="18"/>
      <c r="N206" s="38"/>
      <c r="O206" s="11"/>
      <c r="P206" s="18"/>
      <c r="Q206" s="38"/>
      <c r="R206" s="11"/>
      <c r="S206" s="18"/>
      <c r="T206" s="38"/>
      <c r="U206" s="11"/>
      <c r="V206" s="18"/>
    </row>
    <row r="207" ht="15.75" customHeight="1">
      <c r="A207" s="7"/>
      <c r="B207" s="74"/>
      <c r="C207" s="18"/>
      <c r="D207" s="18"/>
      <c r="E207" s="18"/>
      <c r="F207" s="18"/>
      <c r="G207" s="18"/>
      <c r="H207" s="18"/>
      <c r="I207" s="11"/>
      <c r="J207" s="18"/>
      <c r="K207" s="38"/>
      <c r="L207" s="11"/>
      <c r="M207" s="18"/>
      <c r="N207" s="38"/>
      <c r="O207" s="11"/>
      <c r="P207" s="18"/>
      <c r="Q207" s="38"/>
      <c r="R207" s="11"/>
      <c r="S207" s="18"/>
      <c r="T207" s="38"/>
      <c r="U207" s="11"/>
      <c r="V207" s="18"/>
    </row>
    <row r="208" ht="15.75" customHeight="1">
      <c r="A208" s="7"/>
      <c r="B208" s="74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ht="15.75" customHeight="1">
      <c r="A209" s="7"/>
      <c r="B209" s="74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ht="15.75" customHeight="1">
      <c r="A210" s="7"/>
      <c r="B210" s="74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ht="15.75" customHeight="1">
      <c r="A211" s="7"/>
      <c r="B211" s="74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ht="15.75" customHeight="1">
      <c r="A212" s="7"/>
      <c r="B212" s="74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ht="15.75" customHeight="1">
      <c r="A213" s="7"/>
      <c r="B213" s="74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ht="15.75" customHeight="1">
      <c r="A214" s="7"/>
      <c r="B214" s="74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ht="15.75" customHeight="1">
      <c r="A215" s="7"/>
      <c r="B215" s="74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ht="15.75" customHeight="1">
      <c r="A216" s="7"/>
      <c r="B216" s="74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ht="15.75" customHeight="1">
      <c r="A217" s="7"/>
      <c r="B217" s="74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ht="15.75" customHeight="1">
      <c r="A218" s="7"/>
      <c r="B218" s="74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ht="15.75" customHeight="1">
      <c r="A219" s="7"/>
      <c r="B219" s="74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ht="15.75" customHeight="1">
      <c r="A220" s="7"/>
      <c r="B220" s="74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ht="15.75" customHeight="1">
      <c r="A221" s="7"/>
      <c r="B221" s="74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ht="15.75" customHeight="1">
      <c r="A222" s="7"/>
      <c r="B222" s="74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ht="15.75" customHeight="1">
      <c r="A223" s="7"/>
      <c r="B223" s="74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ht="15.75" customHeight="1">
      <c r="A224" s="7"/>
      <c r="B224" s="74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ht="15.75" customHeight="1">
      <c r="A225" s="7"/>
      <c r="B225" s="74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ht="15.75" customHeight="1">
      <c r="A226" s="7"/>
      <c r="B226" s="74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ht="15.75" customHeight="1">
      <c r="A227" s="7"/>
      <c r="B227" s="74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ht="15.75" customHeight="1">
      <c r="A228" s="7"/>
      <c r="B228" s="74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ht="15.75" customHeight="1">
      <c r="A229" s="7"/>
      <c r="B229" s="74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ht="15.75" customHeight="1">
      <c r="A230" s="7"/>
      <c r="B230" s="74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ht="15.75" customHeight="1">
      <c r="A231" s="7"/>
      <c r="B231" s="74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ht="15.75" customHeight="1">
      <c r="A232" s="7"/>
      <c r="B232" s="74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ht="15.75" customHeight="1">
      <c r="A233" s="7"/>
      <c r="B233" s="74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ht="15.75" customHeight="1">
      <c r="A234" s="7"/>
      <c r="B234" s="7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ht="15.75" customHeight="1">
      <c r="A235" s="7"/>
      <c r="B235" s="7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ht="15.75" customHeight="1">
      <c r="A236" s="7"/>
      <c r="B236" s="7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ht="15.75" customHeight="1">
      <c r="A237" s="7"/>
      <c r="B237" s="7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ht="15.75" customHeight="1">
      <c r="A238" s="7"/>
      <c r="B238" s="7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ht="15.75" customHeight="1">
      <c r="A239" s="7"/>
      <c r="B239" s="7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ht="15.75" customHeight="1">
      <c r="A240" s="7"/>
      <c r="B240" s="74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ht="15.75" customHeight="1">
      <c r="A241" s="7"/>
      <c r="B241" s="74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ht="15.75" customHeight="1">
      <c r="A242" s="7"/>
      <c r="B242" s="74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ht="15.75" customHeight="1">
      <c r="A243" s="7"/>
      <c r="B243" s="74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ht="15.75" customHeight="1">
      <c r="A244" s="7"/>
      <c r="B244" s="74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ht="15.75" customHeight="1">
      <c r="A245" s="7"/>
      <c r="B245" s="74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ht="15.75" customHeight="1">
      <c r="A246" s="7"/>
      <c r="B246" s="74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ht="15.75" customHeight="1">
      <c r="A247" s="7"/>
      <c r="B247" s="74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ht="15.75" customHeight="1">
      <c r="A248" s="7"/>
      <c r="B248" s="74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ht="15.75" customHeight="1">
      <c r="A249" s="7"/>
      <c r="B249" s="74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ht="15.75" customHeight="1">
      <c r="A250" s="7"/>
      <c r="B250" s="74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ht="15.75" customHeight="1">
      <c r="A251" s="7"/>
      <c r="B251" s="74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ht="15.75" customHeight="1">
      <c r="A252" s="7"/>
      <c r="B252" s="74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ht="15.75" customHeight="1">
      <c r="A253" s="7"/>
      <c r="B253" s="74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ht="15.75" customHeight="1">
      <c r="A254" s="7"/>
      <c r="B254" s="74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ht="15.75" customHeight="1">
      <c r="A255" s="7"/>
      <c r="B255" s="74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ht="15.75" customHeight="1">
      <c r="A256" s="7"/>
      <c r="B256" s="74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ht="15.75" customHeight="1">
      <c r="A257" s="7"/>
      <c r="B257" s="74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ht="15.75" customHeight="1">
      <c r="A258" s="7"/>
      <c r="B258" s="74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ht="15.75" customHeight="1">
      <c r="A259" s="7"/>
      <c r="B259" s="74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ht="15.75" customHeight="1">
      <c r="A260" s="7"/>
      <c r="B260" s="74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ht="15.75" customHeight="1">
      <c r="A261" s="7"/>
      <c r="B261" s="74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ht="15.75" customHeight="1">
      <c r="A262" s="7"/>
      <c r="B262" s="74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ht="15.75" customHeight="1">
      <c r="A263" s="7"/>
      <c r="B263" s="74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ht="15.75" customHeight="1">
      <c r="A264" s="7"/>
      <c r="B264" s="74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ht="15.75" customHeight="1">
      <c r="A265" s="7"/>
      <c r="B265" s="74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ht="15.75" customHeight="1">
      <c r="A266" s="7"/>
      <c r="B266" s="74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ht="15.75" customHeight="1">
      <c r="A267" s="7"/>
      <c r="B267" s="74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ht="15.75" customHeight="1">
      <c r="A268" s="7"/>
      <c r="B268" s="74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ht="15.75" customHeight="1">
      <c r="A269" s="7"/>
      <c r="B269" s="74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ht="15.75" customHeight="1">
      <c r="A270" s="7"/>
      <c r="B270" s="74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ht="15.75" customHeight="1">
      <c r="A271" s="7"/>
      <c r="B271" s="74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ht="15.75" customHeight="1">
      <c r="A272" s="7"/>
      <c r="B272" s="74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ht="15.75" customHeight="1">
      <c r="A273" s="7"/>
      <c r="B273" s="74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ht="15.75" customHeight="1">
      <c r="A274" s="7"/>
      <c r="B274" s="74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ht="15.75" customHeight="1">
      <c r="A275" s="7"/>
      <c r="B275" s="74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ht="15.75" customHeight="1">
      <c r="A276" s="7"/>
      <c r="B276" s="74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ht="15.75" customHeight="1">
      <c r="A277" s="7"/>
      <c r="B277" s="74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ht="15.75" customHeight="1">
      <c r="A278" s="7"/>
      <c r="B278" s="74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ht="15.75" customHeight="1">
      <c r="A279" s="7"/>
      <c r="B279" s="74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ht="15.75" customHeight="1">
      <c r="A280" s="7"/>
      <c r="B280" s="74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ht="15.75" customHeight="1">
      <c r="A281" s="7"/>
      <c r="B281" s="74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ht="15.75" customHeight="1">
      <c r="A282" s="7"/>
      <c r="B282" s="74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ht="15.75" customHeight="1">
      <c r="A283" s="7"/>
      <c r="B283" s="74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ht="15.75" customHeight="1">
      <c r="A284" s="7"/>
      <c r="B284" s="74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ht="15.75" customHeight="1">
      <c r="A285" s="7"/>
      <c r="B285" s="74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ht="15.75" customHeight="1">
      <c r="A286" s="7"/>
      <c r="B286" s="74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ht="15.75" customHeight="1">
      <c r="A287" s="7"/>
      <c r="B287" s="74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ht="15.75" customHeight="1">
      <c r="A288" s="7"/>
      <c r="B288" s="74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ht="15.75" customHeight="1">
      <c r="A289" s="7"/>
      <c r="B289" s="74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ht="15.75" customHeight="1">
      <c r="A290" s="7"/>
      <c r="B290" s="74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ht="15.75" customHeight="1">
      <c r="A291" s="7"/>
      <c r="B291" s="74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ht="15.75" customHeight="1">
      <c r="A292" s="7"/>
      <c r="B292" s="74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ht="15.75" customHeight="1">
      <c r="A293" s="7"/>
      <c r="B293" s="74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ht="15.75" customHeight="1">
      <c r="A294" s="7"/>
      <c r="B294" s="74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ht="15.75" customHeight="1">
      <c r="A295" s="7"/>
      <c r="B295" s="74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ht="15.75" customHeight="1">
      <c r="A296" s="7"/>
      <c r="B296" s="74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ht="15.75" customHeight="1">
      <c r="A297" s="7"/>
      <c r="B297" s="74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ht="15.75" customHeight="1">
      <c r="A298" s="7"/>
      <c r="B298" s="74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ht="15.75" customHeight="1">
      <c r="A299" s="7"/>
      <c r="B299" s="74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ht="15.75" customHeight="1">
      <c r="A300" s="7"/>
      <c r="B300" s="74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ht="15.75" customHeight="1">
      <c r="A301" s="7"/>
      <c r="B301" s="74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ht="15.75" customHeight="1">
      <c r="A302" s="7"/>
      <c r="B302" s="74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ht="15.75" customHeight="1">
      <c r="A303" s="7"/>
      <c r="B303" s="74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ht="15.75" customHeight="1">
      <c r="A304" s="7"/>
      <c r="B304" s="74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ht="15.75" customHeight="1">
      <c r="A305" s="7"/>
      <c r="B305" s="74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ht="15.75" customHeight="1">
      <c r="A306" s="7"/>
      <c r="B306" s="74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ht="15.75" customHeight="1">
      <c r="A307" s="7"/>
      <c r="B307" s="74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ht="15.75" customHeight="1">
      <c r="A308" s="7"/>
      <c r="B308" s="74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ht="15.75" customHeight="1">
      <c r="A309" s="7"/>
      <c r="B309" s="74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ht="15.75" customHeight="1">
      <c r="A310" s="7"/>
      <c r="B310" s="74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ht="15.75" customHeight="1">
      <c r="A311" s="7"/>
      <c r="B311" s="74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ht="15.75" customHeight="1">
      <c r="A312" s="7"/>
      <c r="B312" s="74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ht="15.75" customHeight="1">
      <c r="A313" s="7"/>
      <c r="B313" s="74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ht="15.75" customHeight="1">
      <c r="A314" s="7"/>
      <c r="B314" s="74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ht="15.75" customHeight="1">
      <c r="A315" s="7"/>
      <c r="B315" s="74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ht="15.75" customHeight="1">
      <c r="A316" s="7"/>
      <c r="B316" s="74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ht="15.75" customHeight="1">
      <c r="A317" s="7"/>
      <c r="B317" s="74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ht="15.75" customHeight="1">
      <c r="A318" s="7"/>
      <c r="B318" s="74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ht="15.75" customHeight="1">
      <c r="A319" s="7"/>
      <c r="B319" s="74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ht="15.75" customHeight="1">
      <c r="A320" s="7"/>
      <c r="B320" s="74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ht="15.75" customHeight="1">
      <c r="A321" s="7"/>
      <c r="B321" s="74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ht="15.75" customHeight="1">
      <c r="A322" s="7"/>
      <c r="B322" s="74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ht="15.75" customHeight="1">
      <c r="A323" s="7"/>
      <c r="B323" s="74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ht="15.75" customHeight="1">
      <c r="A324" s="7"/>
      <c r="B324" s="74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ht="15.75" customHeight="1">
      <c r="A325" s="7"/>
      <c r="B325" s="74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ht="15.75" customHeight="1">
      <c r="A326" s="7"/>
      <c r="B326" s="74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ht="15.75" customHeight="1">
      <c r="A327" s="7"/>
      <c r="B327" s="74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ht="15.75" customHeight="1">
      <c r="A328" s="7"/>
      <c r="B328" s="74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ht="15.75" customHeight="1">
      <c r="A329" s="7"/>
      <c r="B329" s="74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ht="15.75" customHeight="1">
      <c r="A330" s="7"/>
      <c r="B330" s="74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ht="15.75" customHeight="1">
      <c r="A331" s="7"/>
      <c r="B331" s="74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ht="15.75" customHeight="1">
      <c r="A332" s="7"/>
      <c r="B332" s="74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ht="15.75" customHeight="1">
      <c r="A333" s="7"/>
      <c r="B333" s="74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ht="15.75" customHeight="1">
      <c r="A334" s="7"/>
      <c r="B334" s="74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ht="15.75" customHeight="1">
      <c r="A335" s="7"/>
      <c r="B335" s="74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ht="15.75" customHeight="1">
      <c r="A336" s="7"/>
      <c r="B336" s="74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ht="15.75" customHeight="1">
      <c r="A337" s="7"/>
      <c r="B337" s="74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ht="15.75" customHeight="1">
      <c r="A338" s="7"/>
      <c r="B338" s="74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ht="15.75" customHeight="1">
      <c r="A339" s="7"/>
      <c r="B339" s="74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ht="15.75" customHeight="1">
      <c r="A340" s="7"/>
      <c r="B340" s="74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ht="15.75" customHeight="1">
      <c r="A341" s="7"/>
      <c r="B341" s="74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ht="15.75" customHeight="1">
      <c r="A342" s="7"/>
      <c r="B342" s="74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ht="15.75" customHeight="1">
      <c r="A343" s="7"/>
      <c r="B343" s="74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ht="15.75" customHeight="1">
      <c r="A344" s="7"/>
      <c r="B344" s="74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ht="15.75" customHeight="1">
      <c r="A345" s="7"/>
      <c r="B345" s="74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ht="15.75" customHeight="1">
      <c r="A346" s="7"/>
      <c r="B346" s="74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ht="15.75" customHeight="1">
      <c r="A347" s="7"/>
      <c r="B347" s="74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ht="15.75" customHeight="1">
      <c r="A348" s="7"/>
      <c r="B348" s="74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ht="15.75" customHeight="1">
      <c r="A349" s="7"/>
      <c r="B349" s="74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ht="15.75" customHeight="1">
      <c r="A350" s="7"/>
      <c r="B350" s="74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ht="15.75" customHeight="1">
      <c r="A351" s="7"/>
      <c r="B351" s="74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ht="15.75" customHeight="1">
      <c r="A352" s="7"/>
      <c r="B352" s="74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ht="15.75" customHeight="1">
      <c r="A353" s="7"/>
      <c r="B353" s="74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ht="15.75" customHeight="1">
      <c r="A354" s="7"/>
      <c r="B354" s="74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ht="15.75" customHeight="1">
      <c r="A355" s="7"/>
      <c r="B355" s="74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ht="15.75" customHeight="1">
      <c r="A356" s="7"/>
      <c r="B356" s="74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ht="15.75" customHeight="1">
      <c r="A357" s="7"/>
      <c r="B357" s="74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ht="15.75" customHeight="1">
      <c r="A358" s="7"/>
      <c r="B358" s="74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ht="15.75" customHeight="1">
      <c r="A359" s="7"/>
      <c r="B359" s="74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ht="15.75" customHeight="1">
      <c r="A360" s="7"/>
      <c r="B360" s="74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ht="15.75" customHeight="1">
      <c r="A361" s="7"/>
      <c r="B361" s="74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ht="15.75" customHeight="1">
      <c r="A362" s="7"/>
      <c r="B362" s="74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ht="15.75" customHeight="1">
      <c r="A363" s="7"/>
      <c r="B363" s="74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ht="15.75" customHeight="1">
      <c r="A364" s="7"/>
      <c r="B364" s="74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ht="15.75" customHeight="1">
      <c r="A365" s="7"/>
      <c r="B365" s="74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ht="15.75" customHeight="1">
      <c r="A366" s="7"/>
      <c r="B366" s="74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ht="15.75" customHeight="1">
      <c r="A367" s="7"/>
      <c r="B367" s="74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ht="15.75" customHeight="1">
      <c r="A368" s="7"/>
      <c r="B368" s="74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ht="15.75" customHeight="1">
      <c r="A369" s="7"/>
      <c r="B369" s="74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ht="15.75" customHeight="1">
      <c r="A370" s="7"/>
      <c r="B370" s="74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ht="15.75" customHeight="1">
      <c r="A371" s="7"/>
      <c r="B371" s="74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ht="15.75" customHeight="1">
      <c r="A372" s="7"/>
      <c r="B372" s="74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ht="15.75" customHeight="1">
      <c r="A373" s="7"/>
      <c r="B373" s="74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ht="15.75" customHeight="1">
      <c r="A374" s="7"/>
      <c r="B374" s="74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ht="15.75" customHeight="1">
      <c r="A375" s="7"/>
      <c r="B375" s="74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ht="15.75" customHeight="1">
      <c r="A376" s="7"/>
      <c r="B376" s="74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ht="15.75" customHeight="1">
      <c r="A377" s="7"/>
      <c r="B377" s="74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ht="15.75" customHeight="1">
      <c r="A378" s="7"/>
      <c r="B378" s="74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ht="15.75" customHeight="1">
      <c r="A379" s="7"/>
      <c r="B379" s="74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ht="15.75" customHeight="1">
      <c r="A380" s="7"/>
      <c r="B380" s="74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ht="15.75" customHeight="1">
      <c r="A381" s="7"/>
      <c r="B381" s="74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ht="15.75" customHeight="1">
      <c r="A382" s="7"/>
      <c r="B382" s="74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ht="15.75" customHeight="1">
      <c r="A383" s="7"/>
      <c r="B383" s="74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ht="15.75" customHeight="1">
      <c r="A384" s="7"/>
      <c r="B384" s="74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ht="15.75" customHeight="1">
      <c r="A385" s="7"/>
      <c r="B385" s="74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ht="15.75" customHeight="1">
      <c r="A386" s="7"/>
      <c r="B386" s="74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ht="15.75" customHeight="1">
      <c r="A387" s="7"/>
      <c r="B387" s="74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ht="15.75" customHeight="1">
      <c r="A388" s="7"/>
      <c r="B388" s="74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ht="15.75" customHeight="1">
      <c r="A389" s="7"/>
      <c r="B389" s="74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ht="15.75" customHeight="1">
      <c r="A390" s="7"/>
      <c r="B390" s="74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ht="15.75" customHeight="1">
      <c r="A391" s="7"/>
      <c r="B391" s="74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ht="15.75" customHeight="1">
      <c r="A392" s="7"/>
      <c r="B392" s="74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ht="15.75" customHeight="1">
      <c r="A393" s="7"/>
      <c r="B393" s="74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ht="15.75" customHeight="1">
      <c r="A394" s="7"/>
      <c r="B394" s="74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ht="15.75" customHeight="1">
      <c r="A395" s="7"/>
      <c r="B395" s="74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ht="15.75" customHeight="1">
      <c r="A396" s="7"/>
      <c r="B396" s="74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ht="15.75" customHeight="1">
      <c r="A397" s="7"/>
      <c r="B397" s="74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ht="15.75" customHeight="1">
      <c r="A398" s="7"/>
      <c r="B398" s="74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ht="15.75" customHeight="1">
      <c r="A399" s="7"/>
      <c r="B399" s="74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ht="15.75" customHeight="1">
      <c r="A400" s="7"/>
      <c r="B400" s="74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ht="15.75" customHeight="1">
      <c r="A401" s="7"/>
      <c r="B401" s="74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ht="15.75" customHeight="1">
      <c r="A402" s="7"/>
      <c r="B402" s="74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ht="15.75" customHeight="1">
      <c r="A403" s="7"/>
      <c r="B403" s="74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ht="15.75" customHeight="1">
      <c r="A404" s="7"/>
      <c r="B404" s="74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ht="15.75" customHeight="1">
      <c r="A405" s="7"/>
      <c r="B405" s="74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205">
    <sortState ref="A1:V205">
      <sortCondition descending="1" ref="C1:C205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0" width="7.25"/>
    <col customWidth="1" min="11" max="12" width="5.13"/>
    <col customWidth="1" min="13" max="13" width="7.25"/>
    <col customWidth="1" min="14" max="14" width="6.88"/>
    <col customWidth="1" min="15" max="15" width="7.63"/>
    <col customWidth="1" min="16" max="16" width="5.0"/>
    <col customWidth="1" min="17" max="17" width="5.13"/>
    <col customWidth="1" min="18" max="18" width="7.25"/>
    <col customWidth="1" min="19" max="19" width="6.88"/>
    <col customWidth="1" min="20" max="20" width="7.63"/>
    <col customWidth="1" min="21" max="21" width="5.0"/>
    <col customWidth="1" min="22" max="22" width="5.13"/>
    <col customWidth="1" min="23" max="23" width="7.25"/>
    <col customWidth="1" min="24" max="24" width="6.88"/>
    <col customWidth="1" min="25" max="25" width="7.63"/>
    <col customWidth="1" min="26" max="26" width="4.88"/>
    <col customWidth="1" min="27" max="27" width="5.13"/>
    <col customWidth="1" min="28" max="28" width="7.25"/>
    <col customWidth="1" min="29" max="29" width="9.38"/>
    <col customWidth="1" min="30" max="30" width="10.25"/>
    <col customWidth="1" min="31" max="31" width="3.88"/>
  </cols>
  <sheetData>
    <row r="1" ht="15.75" customHeight="1">
      <c r="A1" s="1" t="s">
        <v>1</v>
      </c>
      <c r="B1" s="3" t="s">
        <v>3</v>
      </c>
      <c r="C1" s="1" t="s">
        <v>4</v>
      </c>
      <c r="D1" s="4" t="s">
        <v>5</v>
      </c>
      <c r="E1" s="75" t="s">
        <v>6</v>
      </c>
      <c r="F1" s="76" t="s">
        <v>7</v>
      </c>
      <c r="G1" s="77" t="s">
        <v>8</v>
      </c>
      <c r="H1" s="3" t="s">
        <v>9</v>
      </c>
      <c r="I1" s="1" t="s">
        <v>10</v>
      </c>
      <c r="J1" s="4" t="s">
        <v>11</v>
      </c>
      <c r="K1" s="1"/>
      <c r="L1" s="3" t="s">
        <v>185</v>
      </c>
      <c r="M1" s="4" t="s">
        <v>186</v>
      </c>
      <c r="N1" s="1" t="s">
        <v>13</v>
      </c>
      <c r="O1" s="4" t="s">
        <v>14</v>
      </c>
      <c r="Q1" s="3" t="s">
        <v>185</v>
      </c>
      <c r="R1" s="4" t="s">
        <v>186</v>
      </c>
      <c r="S1" s="1" t="s">
        <v>16</v>
      </c>
      <c r="T1" s="4" t="s">
        <v>17</v>
      </c>
      <c r="V1" s="3" t="s">
        <v>185</v>
      </c>
      <c r="W1" s="4" t="s">
        <v>186</v>
      </c>
      <c r="X1" s="1" t="s">
        <v>19</v>
      </c>
      <c r="Y1" s="4" t="s">
        <v>20</v>
      </c>
      <c r="AA1" s="3" t="s">
        <v>185</v>
      </c>
      <c r="AB1" s="4" t="s">
        <v>186</v>
      </c>
      <c r="AC1" s="1" t="s">
        <v>22</v>
      </c>
      <c r="AD1" s="4" t="s">
        <v>23</v>
      </c>
    </row>
    <row r="2" ht="15.75" customHeight="1">
      <c r="A2" s="86">
        <v>500.0</v>
      </c>
      <c r="B2" s="87">
        <v>189.0</v>
      </c>
      <c r="C2" s="88">
        <v>0.2798611111111111</v>
      </c>
      <c r="D2" s="89">
        <v>0.28055555555555556</v>
      </c>
      <c r="E2" s="90">
        <v>181.0</v>
      </c>
      <c r="F2" s="91">
        <v>0.34444444444444444</v>
      </c>
      <c r="G2" s="92">
        <v>0.34444444444444444</v>
      </c>
      <c r="H2" s="87">
        <v>181.0</v>
      </c>
      <c r="I2" s="88">
        <v>0.4263888888888889</v>
      </c>
      <c r="J2" s="89">
        <v>0.4388888888888889</v>
      </c>
      <c r="K2" s="18"/>
      <c r="L2" s="11">
        <v>500.0</v>
      </c>
      <c r="M2" s="67">
        <v>169.0</v>
      </c>
      <c r="N2" s="12">
        <v>0.5305555555555556</v>
      </c>
      <c r="O2" s="13">
        <v>0.5340277777777778</v>
      </c>
      <c r="Q2" s="67">
        <v>500.0</v>
      </c>
      <c r="R2" s="67">
        <v>165.0</v>
      </c>
      <c r="S2" s="79">
        <v>0.10833333333333334</v>
      </c>
      <c r="T2" s="79">
        <v>0.1125</v>
      </c>
      <c r="V2" s="67">
        <v>500.0</v>
      </c>
      <c r="W2" s="67">
        <v>160.0</v>
      </c>
      <c r="X2" s="79">
        <v>0.18611111111111112</v>
      </c>
      <c r="Y2" s="79">
        <v>0.19027777777777777</v>
      </c>
      <c r="AA2" s="67">
        <v>500.0</v>
      </c>
      <c r="AB2" s="67">
        <v>156.0</v>
      </c>
      <c r="AC2" s="79">
        <v>0.24305555555555555</v>
      </c>
      <c r="AD2" s="79">
        <v>0.2638888888888889</v>
      </c>
      <c r="AF2" s="67">
        <f t="shared" ref="AF2:AF208" si="1">A2-AA2</f>
        <v>0</v>
      </c>
    </row>
    <row r="3" ht="15.75" customHeight="1">
      <c r="A3" s="47">
        <v>501.0</v>
      </c>
      <c r="B3" s="11">
        <v>178.0</v>
      </c>
      <c r="C3" s="12">
        <v>0.2763888888888889</v>
      </c>
      <c r="D3" s="13">
        <v>0.27708333333333335</v>
      </c>
      <c r="E3" s="64">
        <v>180.0</v>
      </c>
      <c r="F3" s="65">
        <v>0.34444444444444444</v>
      </c>
      <c r="G3" s="66">
        <v>0.34444444444444444</v>
      </c>
      <c r="H3" s="11">
        <v>188.0</v>
      </c>
      <c r="I3" s="12">
        <v>0.4305555555555556</v>
      </c>
      <c r="J3" s="13">
        <v>0.4375</v>
      </c>
      <c r="K3" s="18"/>
      <c r="L3" s="11">
        <v>501.0</v>
      </c>
      <c r="M3" s="67">
        <v>170.0</v>
      </c>
      <c r="N3" s="12">
        <v>0.5305555555555556</v>
      </c>
      <c r="O3" s="13">
        <v>0.5347222222222222</v>
      </c>
      <c r="Q3" s="67">
        <v>501.0</v>
      </c>
      <c r="R3" s="67">
        <v>170.0</v>
      </c>
      <c r="S3" s="79">
        <v>0.11180555555555556</v>
      </c>
      <c r="T3" s="79">
        <v>0.11736111111111111</v>
      </c>
      <c r="V3" s="67">
        <v>501.0</v>
      </c>
      <c r="W3" s="67">
        <v>166.0</v>
      </c>
      <c r="X3" s="79">
        <v>0.19444444444444445</v>
      </c>
      <c r="Y3" s="79">
        <v>0.1986111111111111</v>
      </c>
      <c r="AA3" s="67">
        <v>501.0</v>
      </c>
      <c r="AB3" s="67">
        <v>165.0</v>
      </c>
      <c r="AC3" s="79">
        <v>0.25069444444444444</v>
      </c>
      <c r="AD3" s="79">
        <v>0.26458333333333334</v>
      </c>
      <c r="AF3" s="67">
        <f t="shared" si="1"/>
        <v>0</v>
      </c>
    </row>
    <row r="4" ht="15.75" customHeight="1">
      <c r="A4" s="47">
        <v>502.0</v>
      </c>
      <c r="B4" s="11">
        <v>103.0</v>
      </c>
      <c r="C4" s="12">
        <v>0.26875</v>
      </c>
      <c r="D4" s="13">
        <v>0.26944444444444443</v>
      </c>
      <c r="E4" s="64">
        <v>136.0</v>
      </c>
      <c r="F4" s="65">
        <v>0.33402777777777776</v>
      </c>
      <c r="G4" s="66">
        <v>0.33402777777777776</v>
      </c>
      <c r="H4" s="11">
        <v>168.0</v>
      </c>
      <c r="I4" s="12">
        <v>0.4215277777777778</v>
      </c>
      <c r="J4" s="13">
        <v>0.4326388888888889</v>
      </c>
      <c r="K4" s="18"/>
      <c r="L4" s="11">
        <v>502.0</v>
      </c>
      <c r="M4" s="67">
        <v>182.0</v>
      </c>
      <c r="N4" s="12">
        <v>0.5395833333333333</v>
      </c>
      <c r="O4" s="13">
        <v>0.043055555555555555</v>
      </c>
      <c r="Q4" s="67">
        <v>502.0</v>
      </c>
      <c r="R4" s="67">
        <v>184.0</v>
      </c>
      <c r="S4" s="79">
        <v>0.125</v>
      </c>
      <c r="T4" s="79">
        <v>0.1284722222222222</v>
      </c>
      <c r="V4" s="67">
        <v>502.0</v>
      </c>
      <c r="W4" s="67">
        <v>177.0</v>
      </c>
      <c r="X4" s="79">
        <v>0.20902777777777778</v>
      </c>
      <c r="Y4" s="79">
        <v>0.2125</v>
      </c>
      <c r="AA4" s="67">
        <v>502.0</v>
      </c>
      <c r="AB4" s="67">
        <v>181.0</v>
      </c>
      <c r="AC4" s="79">
        <v>0.27847222222222223</v>
      </c>
      <c r="AD4" s="79">
        <v>0.29375</v>
      </c>
      <c r="AF4" s="67">
        <f t="shared" si="1"/>
        <v>0</v>
      </c>
    </row>
    <row r="5" ht="15.75" customHeight="1">
      <c r="A5" s="47">
        <v>504.0</v>
      </c>
      <c r="B5" s="11">
        <v>15.0</v>
      </c>
      <c r="C5" s="12">
        <v>0.25555555555555554</v>
      </c>
      <c r="D5" s="13">
        <v>0.25555555555555554</v>
      </c>
      <c r="E5" s="64">
        <v>18.0</v>
      </c>
      <c r="F5" s="65">
        <v>0.30486111111111114</v>
      </c>
      <c r="G5" s="66">
        <v>0.30486111111111114</v>
      </c>
      <c r="H5" s="11">
        <v>42.0</v>
      </c>
      <c r="I5" s="12">
        <v>0.3729166666666667</v>
      </c>
      <c r="J5" s="13">
        <v>0.3784722222222222</v>
      </c>
      <c r="K5" s="18"/>
      <c r="L5" s="11">
        <v>504.0</v>
      </c>
      <c r="M5" s="67">
        <v>59.0</v>
      </c>
      <c r="N5" s="12">
        <v>0.46319444444444446</v>
      </c>
      <c r="O5" s="13">
        <v>0.46805555555555556</v>
      </c>
      <c r="Q5" s="67">
        <v>504.0</v>
      </c>
      <c r="R5" s="67">
        <v>72.0</v>
      </c>
      <c r="S5" s="79">
        <v>0.04375</v>
      </c>
      <c r="T5" s="79">
        <v>0.050694444444444445</v>
      </c>
      <c r="V5" s="67">
        <v>504.0</v>
      </c>
      <c r="W5" s="67">
        <v>81.0</v>
      </c>
      <c r="X5" s="79">
        <v>0.12013888888888889</v>
      </c>
      <c r="Y5" s="79">
        <v>0.12569444444444444</v>
      </c>
      <c r="AA5" s="67">
        <v>504.0</v>
      </c>
      <c r="AB5" s="67">
        <v>75.0</v>
      </c>
      <c r="AC5" s="79">
        <v>0.16597222222222222</v>
      </c>
      <c r="AD5" s="79">
        <v>0.17916666666666667</v>
      </c>
      <c r="AF5" s="67">
        <f t="shared" si="1"/>
        <v>0</v>
      </c>
    </row>
    <row r="6" ht="15.75" customHeight="1">
      <c r="A6" s="47">
        <v>506.0</v>
      </c>
      <c r="B6" s="11">
        <v>88.0</v>
      </c>
      <c r="C6" s="12">
        <v>0.2673611111111111</v>
      </c>
      <c r="D6" s="13">
        <v>0.26805555555555555</v>
      </c>
      <c r="E6" s="64">
        <v>93.0</v>
      </c>
      <c r="F6" s="65">
        <v>0.32430555555555557</v>
      </c>
      <c r="G6" s="66">
        <v>0.32430555555555557</v>
      </c>
      <c r="H6" s="11">
        <v>133.0</v>
      </c>
      <c r="I6" s="12">
        <v>0.4076388888888889</v>
      </c>
      <c r="J6" s="13">
        <v>0.41180555555555554</v>
      </c>
      <c r="K6" s="18"/>
      <c r="L6" s="11">
        <v>506.0</v>
      </c>
      <c r="M6" s="67">
        <v>142.0</v>
      </c>
      <c r="N6" s="12">
        <v>0.5083333333333333</v>
      </c>
      <c r="O6" s="13">
        <v>0.5138888888888888</v>
      </c>
      <c r="Q6" s="67">
        <v>506.0</v>
      </c>
      <c r="R6" s="67">
        <v>148.0</v>
      </c>
      <c r="S6" s="79">
        <v>0.09375</v>
      </c>
      <c r="T6" s="79">
        <v>0.09930555555555555</v>
      </c>
      <c r="V6" s="67">
        <v>506.0</v>
      </c>
      <c r="W6" s="67">
        <v>156.0</v>
      </c>
      <c r="X6" s="79">
        <v>0.18541666666666667</v>
      </c>
      <c r="Y6" s="79">
        <v>0.2013888888888889</v>
      </c>
      <c r="AA6" s="67">
        <v>506.0</v>
      </c>
      <c r="AB6" s="67">
        <v>168.0</v>
      </c>
      <c r="AC6" s="79">
        <v>0.25625</v>
      </c>
      <c r="AD6" s="79">
        <v>0.26805555555555555</v>
      </c>
      <c r="AF6" s="67">
        <f t="shared" si="1"/>
        <v>0</v>
      </c>
    </row>
    <row r="7" ht="15.75" customHeight="1">
      <c r="A7" s="47">
        <v>507.0</v>
      </c>
      <c r="B7" s="11">
        <v>44.0</v>
      </c>
      <c r="C7" s="12">
        <v>0.2611111111111111</v>
      </c>
      <c r="D7" s="13">
        <v>0.26180555555555557</v>
      </c>
      <c r="E7" s="64">
        <v>33.0</v>
      </c>
      <c r="F7" s="65">
        <v>0.3111111111111111</v>
      </c>
      <c r="G7" s="66">
        <v>0.3111111111111111</v>
      </c>
      <c r="H7" s="11">
        <v>41.0</v>
      </c>
      <c r="I7" s="12">
        <v>0.3715277777777778</v>
      </c>
      <c r="J7" s="13">
        <v>0.3784722222222222</v>
      </c>
      <c r="K7" s="18"/>
      <c r="L7" s="11">
        <v>507.0</v>
      </c>
      <c r="M7" s="67">
        <v>52.0</v>
      </c>
      <c r="N7" s="12">
        <v>0.4597222222222222</v>
      </c>
      <c r="O7" s="13">
        <v>0.46111111111111114</v>
      </c>
      <c r="Q7" s="67">
        <v>507.0</v>
      </c>
      <c r="R7" s="67">
        <v>50.0</v>
      </c>
      <c r="S7" s="79">
        <v>0.5215277777777778</v>
      </c>
      <c r="T7" s="79">
        <v>0.525</v>
      </c>
      <c r="V7" s="67">
        <v>507.0</v>
      </c>
      <c r="W7" s="67">
        <v>49.0</v>
      </c>
      <c r="X7" s="79">
        <v>0.08541666666666667</v>
      </c>
      <c r="Y7" s="79">
        <v>0.08819444444444445</v>
      </c>
      <c r="AA7" s="67">
        <v>507.0</v>
      </c>
      <c r="AB7" s="67">
        <v>47.0</v>
      </c>
      <c r="AC7" s="79">
        <v>0.12777777777777777</v>
      </c>
      <c r="AD7" s="79">
        <v>0.1326388888888889</v>
      </c>
      <c r="AF7" s="67">
        <f t="shared" si="1"/>
        <v>0</v>
      </c>
    </row>
    <row r="8" ht="15.75" customHeight="1">
      <c r="A8" s="47">
        <v>508.0</v>
      </c>
      <c r="B8" s="11">
        <v>187.0</v>
      </c>
      <c r="C8" s="12">
        <v>0.2798611111111111</v>
      </c>
      <c r="D8" s="13">
        <v>0.28055555555555556</v>
      </c>
      <c r="E8" s="64">
        <v>196.0</v>
      </c>
      <c r="F8" s="65">
        <v>0.35555555555555557</v>
      </c>
      <c r="G8" s="66">
        <v>0.35555555555555557</v>
      </c>
      <c r="H8" s="11">
        <v>197.0</v>
      </c>
      <c r="I8" s="12">
        <v>0.4465277777777778</v>
      </c>
      <c r="J8" s="13">
        <v>0.4534722222222222</v>
      </c>
      <c r="K8" s="18"/>
      <c r="L8" s="11">
        <v>508.0</v>
      </c>
      <c r="M8" s="67">
        <v>190.0</v>
      </c>
      <c r="N8" s="12">
        <v>0.06180555555555556</v>
      </c>
      <c r="O8" s="13">
        <v>0.06527777777777778</v>
      </c>
      <c r="Q8" s="67">
        <v>508.0</v>
      </c>
      <c r="R8" s="67">
        <v>192.0</v>
      </c>
      <c r="S8" s="81"/>
      <c r="T8" s="79">
        <v>0.16041666666666668</v>
      </c>
      <c r="V8" s="67">
        <v>508.0</v>
      </c>
      <c r="W8" s="67">
        <v>190.0</v>
      </c>
      <c r="X8" s="79">
        <v>0.24444444444444444</v>
      </c>
      <c r="Y8" s="79">
        <v>0.24930555555555556</v>
      </c>
      <c r="AA8" s="67">
        <v>508.0</v>
      </c>
      <c r="AB8" s="67">
        <v>187.0</v>
      </c>
      <c r="AC8" s="79">
        <v>0.3013888888888889</v>
      </c>
      <c r="AD8" s="79">
        <v>0.3215277777777778</v>
      </c>
      <c r="AF8" s="67">
        <f t="shared" si="1"/>
        <v>0</v>
      </c>
    </row>
    <row r="9" ht="15.75" customHeight="1">
      <c r="A9" s="47">
        <v>509.0</v>
      </c>
      <c r="B9" s="11">
        <v>69.0</v>
      </c>
      <c r="C9" s="12">
        <v>0.2638888888888889</v>
      </c>
      <c r="D9" s="13">
        <v>0.26458333333333334</v>
      </c>
      <c r="E9" s="64">
        <v>56.0</v>
      </c>
      <c r="F9" s="65">
        <v>0.3145833333333333</v>
      </c>
      <c r="G9" s="66">
        <v>0.3145833333333333</v>
      </c>
      <c r="H9" s="11">
        <v>52.0</v>
      </c>
      <c r="I9" s="12">
        <v>0.3763888888888889</v>
      </c>
      <c r="J9" s="13">
        <v>0.3798611111111111</v>
      </c>
      <c r="K9" s="18"/>
      <c r="L9" s="11">
        <v>509.0</v>
      </c>
      <c r="M9" s="67">
        <v>55.0</v>
      </c>
      <c r="N9" s="12">
        <v>0.4618055555555556</v>
      </c>
      <c r="O9" s="13">
        <v>0.46319444444444446</v>
      </c>
      <c r="Q9" s="67">
        <v>509.0</v>
      </c>
      <c r="R9" s="67">
        <v>58.0</v>
      </c>
      <c r="S9" s="79">
        <v>0.5277777777777778</v>
      </c>
      <c r="T9" s="79">
        <v>0.5305555555555556</v>
      </c>
      <c r="V9" s="67">
        <v>509.0</v>
      </c>
      <c r="W9" s="67">
        <v>60.0</v>
      </c>
      <c r="X9" s="79">
        <v>0.09722222222222222</v>
      </c>
      <c r="Y9" s="79">
        <v>0.09930555555555555</v>
      </c>
      <c r="AA9" s="67">
        <v>509.0</v>
      </c>
      <c r="AB9" s="67">
        <v>57.0</v>
      </c>
      <c r="AC9" s="79">
        <v>0.14166666666666666</v>
      </c>
      <c r="AD9" s="79">
        <v>0.15347222222222223</v>
      </c>
      <c r="AF9" s="67">
        <f t="shared" si="1"/>
        <v>0</v>
      </c>
    </row>
    <row r="10" ht="15.75" customHeight="1">
      <c r="A10" s="47">
        <v>510.0</v>
      </c>
      <c r="B10" s="11">
        <v>177.0</v>
      </c>
      <c r="C10" s="12">
        <v>0.275</v>
      </c>
      <c r="D10" s="13">
        <v>0.27569444444444446</v>
      </c>
      <c r="E10" s="64">
        <v>168.0</v>
      </c>
      <c r="F10" s="65">
        <v>0.3388888888888889</v>
      </c>
      <c r="G10" s="66">
        <v>0.3388888888888889</v>
      </c>
      <c r="H10" s="11">
        <v>163.0</v>
      </c>
      <c r="I10" s="12">
        <v>0.4173611111111111</v>
      </c>
      <c r="J10" s="13">
        <v>0.42291666666666666</v>
      </c>
      <c r="K10" s="18"/>
      <c r="L10" s="11">
        <v>510.0</v>
      </c>
      <c r="M10" s="67">
        <v>146.0</v>
      </c>
      <c r="N10" s="12">
        <v>0.5131944444444444</v>
      </c>
      <c r="O10" s="13">
        <v>0.5145833333333333</v>
      </c>
      <c r="Q10" s="67">
        <v>510.0</v>
      </c>
      <c r="R10" s="67">
        <v>141.0</v>
      </c>
      <c r="S10" s="79">
        <v>0.08888888888888889</v>
      </c>
      <c r="T10" s="79">
        <v>0.09097222222222222</v>
      </c>
      <c r="V10" s="67">
        <v>510.0</v>
      </c>
      <c r="W10" s="67">
        <v>142.0</v>
      </c>
      <c r="X10" s="79">
        <v>0.1673611111111111</v>
      </c>
      <c r="Y10" s="79">
        <v>0.16944444444444445</v>
      </c>
      <c r="AA10" s="67">
        <v>510.0</v>
      </c>
      <c r="AB10" s="67">
        <v>144.0</v>
      </c>
      <c r="AC10" s="79">
        <v>0.22847222222222222</v>
      </c>
      <c r="AD10" s="79">
        <v>0.23819444444444443</v>
      </c>
      <c r="AF10" s="67">
        <f t="shared" si="1"/>
        <v>0</v>
      </c>
    </row>
    <row r="11" ht="15.75" customHeight="1">
      <c r="A11" s="47">
        <v>511.0</v>
      </c>
      <c r="B11" s="11">
        <v>37.0</v>
      </c>
      <c r="C11" s="12">
        <v>0.2604166666666667</v>
      </c>
      <c r="D11" s="13">
        <v>0.26180555555555557</v>
      </c>
      <c r="E11" s="64">
        <v>23.0</v>
      </c>
      <c r="F11" s="65">
        <v>0.30625</v>
      </c>
      <c r="G11" s="66">
        <v>0.30625</v>
      </c>
      <c r="H11" s="11">
        <v>27.0</v>
      </c>
      <c r="I11" s="12">
        <v>0.3659722222222222</v>
      </c>
      <c r="J11" s="13">
        <v>0.3701388888888889</v>
      </c>
      <c r="K11" s="18"/>
      <c r="L11" s="11">
        <v>511.0</v>
      </c>
      <c r="M11" s="67">
        <v>36.0</v>
      </c>
      <c r="N11" s="12">
        <v>0.4465277777777778</v>
      </c>
      <c r="O11" s="13">
        <v>0.4479166666666667</v>
      </c>
      <c r="Q11" s="67">
        <v>511.0</v>
      </c>
      <c r="R11" s="67">
        <v>45.0</v>
      </c>
      <c r="S11" s="79">
        <v>0.5131944444444444</v>
      </c>
      <c r="T11" s="79">
        <v>0.5152777777777777</v>
      </c>
      <c r="V11" s="67">
        <v>511.0</v>
      </c>
      <c r="W11" s="67">
        <v>46.0</v>
      </c>
      <c r="X11" s="79">
        <v>0.0798611111111111</v>
      </c>
      <c r="Y11" s="79">
        <v>0.08125</v>
      </c>
      <c r="AA11" s="67">
        <v>511.0</v>
      </c>
      <c r="AB11" s="67">
        <v>45.0</v>
      </c>
      <c r="AC11" s="79">
        <v>0.12222222222222222</v>
      </c>
      <c r="AD11" s="79">
        <v>0.13194444444444445</v>
      </c>
      <c r="AF11" s="67">
        <f t="shared" si="1"/>
        <v>0</v>
      </c>
    </row>
    <row r="12" ht="15.75" customHeight="1">
      <c r="A12" s="47">
        <v>513.0</v>
      </c>
      <c r="B12" s="11">
        <v>9.0</v>
      </c>
      <c r="C12" s="12">
        <v>0.2520833333333333</v>
      </c>
      <c r="D12" s="13">
        <v>0.25277777777777777</v>
      </c>
      <c r="E12" s="64">
        <v>7.0</v>
      </c>
      <c r="F12" s="65">
        <v>0.2923611111111111</v>
      </c>
      <c r="G12" s="66">
        <v>0.2923611111111111</v>
      </c>
      <c r="H12" s="11">
        <v>9.0</v>
      </c>
      <c r="I12" s="12">
        <v>0.3458333333333333</v>
      </c>
      <c r="J12" s="13">
        <v>0.34791666666666665</v>
      </c>
      <c r="K12" s="18"/>
      <c r="L12" s="11">
        <v>513.0</v>
      </c>
      <c r="M12" s="67">
        <v>8.0</v>
      </c>
      <c r="N12" s="12">
        <v>0.4166666666666667</v>
      </c>
      <c r="O12" s="13">
        <v>0.41875</v>
      </c>
      <c r="Q12" s="67">
        <v>513.0</v>
      </c>
      <c r="R12" s="67">
        <v>8.0</v>
      </c>
      <c r="S12" s="79">
        <v>0.47291666666666665</v>
      </c>
      <c r="T12" s="79">
        <v>0.47430555555555554</v>
      </c>
      <c r="V12" s="67">
        <v>513.0</v>
      </c>
      <c r="W12" s="67">
        <v>10.0</v>
      </c>
      <c r="X12" s="79">
        <v>0.5305555555555556</v>
      </c>
      <c r="Y12" s="79">
        <v>0.5326388888888889</v>
      </c>
      <c r="AA12" s="67">
        <v>513.0</v>
      </c>
      <c r="AB12" s="67">
        <v>12.0</v>
      </c>
      <c r="AC12" s="79">
        <v>0.07430555555555556</v>
      </c>
      <c r="AD12" s="79">
        <v>0.07777777777777778</v>
      </c>
      <c r="AF12" s="67">
        <f t="shared" si="1"/>
        <v>0</v>
      </c>
    </row>
    <row r="13" ht="15.75" customHeight="1">
      <c r="A13" s="47">
        <v>515.0</v>
      </c>
      <c r="B13" s="11">
        <v>16.0</v>
      </c>
      <c r="C13" s="12">
        <v>0.2569444444444444</v>
      </c>
      <c r="D13" s="13">
        <v>0.2569444444444444</v>
      </c>
      <c r="E13" s="64">
        <v>17.0</v>
      </c>
      <c r="F13" s="65">
        <v>0.3020833333333333</v>
      </c>
      <c r="G13" s="66">
        <v>0.3020833333333333</v>
      </c>
      <c r="H13" s="11">
        <v>14.0</v>
      </c>
      <c r="I13" s="12">
        <v>0.3590277777777778</v>
      </c>
      <c r="J13" s="13">
        <v>0.3597222222222222</v>
      </c>
      <c r="K13" s="18"/>
      <c r="L13" s="11">
        <v>515.0</v>
      </c>
      <c r="M13" s="67">
        <v>13.0</v>
      </c>
      <c r="N13" s="12">
        <v>0.42777777777777776</v>
      </c>
      <c r="O13" s="13">
        <v>0.4284722222222222</v>
      </c>
      <c r="Q13" s="67">
        <v>515.0</v>
      </c>
      <c r="R13" s="67">
        <v>12.0</v>
      </c>
      <c r="S13" s="79">
        <v>0.4826388888888889</v>
      </c>
      <c r="T13" s="79">
        <v>0.48333333333333334</v>
      </c>
      <c r="V13" s="67">
        <v>515.0</v>
      </c>
      <c r="W13" s="67">
        <v>12.0</v>
      </c>
      <c r="X13" s="79">
        <v>0.5340277777777778</v>
      </c>
      <c r="Y13" s="79">
        <v>0.5347222222222222</v>
      </c>
      <c r="AA13" s="67">
        <v>515.0</v>
      </c>
      <c r="AB13" s="67">
        <v>9.0</v>
      </c>
      <c r="AC13" s="79">
        <v>0.07013888888888889</v>
      </c>
      <c r="AD13" s="79">
        <v>0.07152777777777777</v>
      </c>
      <c r="AF13" s="67">
        <f t="shared" si="1"/>
        <v>0</v>
      </c>
    </row>
    <row r="14" ht="15.75" customHeight="1">
      <c r="A14" s="47">
        <v>516.0</v>
      </c>
      <c r="B14" s="11">
        <v>105.0</v>
      </c>
      <c r="C14" s="12">
        <v>0.26875</v>
      </c>
      <c r="D14" s="13">
        <v>0.26944444444444443</v>
      </c>
      <c r="E14" s="64">
        <v>114.0</v>
      </c>
      <c r="F14" s="65">
        <v>0.32916666666666666</v>
      </c>
      <c r="G14" s="66">
        <v>0.32916666666666666</v>
      </c>
      <c r="H14" s="11">
        <v>128.0</v>
      </c>
      <c r="I14" s="12">
        <v>0.40555555555555556</v>
      </c>
      <c r="J14" s="13">
        <v>0.4125</v>
      </c>
      <c r="K14" s="18"/>
      <c r="L14" s="11">
        <v>516.0</v>
      </c>
      <c r="M14" s="67">
        <v>127.0</v>
      </c>
      <c r="N14" s="12">
        <v>0.5041666666666667</v>
      </c>
      <c r="O14" s="13">
        <v>0.5083333333333333</v>
      </c>
      <c r="Q14" s="67">
        <v>516.0</v>
      </c>
      <c r="R14" s="67">
        <v>135.0</v>
      </c>
      <c r="S14" s="79">
        <v>0.08125</v>
      </c>
      <c r="T14" s="79">
        <v>0.08611111111111111</v>
      </c>
      <c r="V14" s="67">
        <v>516.0</v>
      </c>
      <c r="W14" s="67">
        <v>117.0</v>
      </c>
      <c r="X14" s="79">
        <v>0.1527777777777778</v>
      </c>
      <c r="Y14" s="79">
        <v>0.15625</v>
      </c>
      <c r="AA14" s="67">
        <v>516.0</v>
      </c>
      <c r="AB14" s="67">
        <v>128.0</v>
      </c>
      <c r="AC14" s="79">
        <v>0.21319444444444444</v>
      </c>
      <c r="AD14" s="79">
        <v>0.22708333333333333</v>
      </c>
      <c r="AF14" s="67">
        <f t="shared" si="1"/>
        <v>0</v>
      </c>
    </row>
    <row r="15" ht="15.75" customHeight="1">
      <c r="A15" s="47">
        <v>517.0</v>
      </c>
      <c r="B15" s="11">
        <v>75.0</v>
      </c>
      <c r="C15" s="12">
        <v>0.2652777777777778</v>
      </c>
      <c r="D15" s="13">
        <v>0.2659722222222222</v>
      </c>
      <c r="E15" s="64">
        <v>75.0</v>
      </c>
      <c r="F15" s="65">
        <v>0.32083333333333336</v>
      </c>
      <c r="G15" s="66">
        <v>0.32083333333333336</v>
      </c>
      <c r="H15" s="11">
        <v>121.0</v>
      </c>
      <c r="I15" s="12">
        <v>0.4027777777777778</v>
      </c>
      <c r="J15" s="13">
        <v>0.40902777777777777</v>
      </c>
      <c r="K15" s="18"/>
      <c r="L15" s="18">
        <v>517.0</v>
      </c>
      <c r="M15" s="67">
        <v>124.0</v>
      </c>
      <c r="N15" s="12">
        <v>0.5020833333333333</v>
      </c>
      <c r="O15" s="12">
        <v>0.5097222222222222</v>
      </c>
      <c r="Q15" s="67">
        <v>517.0</v>
      </c>
      <c r="R15" s="67">
        <v>150.0</v>
      </c>
      <c r="S15" s="79">
        <v>0.09444444444444444</v>
      </c>
      <c r="T15" s="79">
        <v>0.10069444444444445</v>
      </c>
      <c r="V15" s="67">
        <v>517.0</v>
      </c>
      <c r="W15" s="67">
        <v>165.0</v>
      </c>
      <c r="X15" s="79">
        <v>0.19305555555555556</v>
      </c>
      <c r="Y15" s="79">
        <v>0.21666666666666667</v>
      </c>
      <c r="AA15" s="67">
        <v>517.0</v>
      </c>
      <c r="AB15" s="67">
        <v>176.0</v>
      </c>
      <c r="AC15" s="79">
        <v>0.2708333333333333</v>
      </c>
      <c r="AD15" s="79">
        <v>0.28125</v>
      </c>
      <c r="AF15" s="67">
        <f t="shared" si="1"/>
        <v>0</v>
      </c>
    </row>
    <row r="16" ht="15.75" customHeight="1">
      <c r="A16" s="47">
        <v>518.0</v>
      </c>
      <c r="B16" s="11">
        <v>150.0</v>
      </c>
      <c r="C16" s="12">
        <v>0.2743055555555556</v>
      </c>
      <c r="D16" s="13">
        <v>0.275</v>
      </c>
      <c r="E16" s="64">
        <v>140.0</v>
      </c>
      <c r="F16" s="65">
        <v>0.33611111111111114</v>
      </c>
      <c r="G16" s="66">
        <v>0.33611111111111114</v>
      </c>
      <c r="H16" s="11">
        <v>135.0</v>
      </c>
      <c r="I16" s="12">
        <v>0.4083333333333333</v>
      </c>
      <c r="J16" s="13">
        <v>0.4166666666666667</v>
      </c>
      <c r="K16" s="18"/>
      <c r="L16" s="18">
        <v>518.0</v>
      </c>
      <c r="M16" s="67">
        <v>130.0</v>
      </c>
      <c r="N16" s="12">
        <v>0.5041666666666667</v>
      </c>
      <c r="O16" s="12">
        <v>0.5055555555555555</v>
      </c>
      <c r="Q16" s="67">
        <v>518.0</v>
      </c>
      <c r="R16" s="67">
        <v>119.0</v>
      </c>
      <c r="S16" s="79">
        <v>0.07916666666666666</v>
      </c>
      <c r="T16" s="79">
        <v>0.08125</v>
      </c>
      <c r="V16" s="67">
        <v>518.0</v>
      </c>
      <c r="W16" s="67">
        <v>109.0</v>
      </c>
      <c r="X16" s="79">
        <v>0.14791666666666667</v>
      </c>
      <c r="Y16" s="79">
        <v>0.14930555555555555</v>
      </c>
      <c r="AA16" s="67">
        <v>518.0</v>
      </c>
      <c r="AB16" s="67">
        <v>107.0</v>
      </c>
      <c r="AC16" s="79">
        <v>0.19791666666666666</v>
      </c>
      <c r="AD16" s="79">
        <v>0.2048611111111111</v>
      </c>
      <c r="AF16" s="67">
        <f t="shared" si="1"/>
        <v>0</v>
      </c>
    </row>
    <row r="17" ht="15.75" customHeight="1">
      <c r="A17" s="47">
        <v>519.0</v>
      </c>
      <c r="B17" s="11">
        <v>133.0</v>
      </c>
      <c r="C17" s="12">
        <v>0.27152777777777776</v>
      </c>
      <c r="D17" s="13">
        <v>0.2722222222222222</v>
      </c>
      <c r="E17" s="64">
        <v>126.0</v>
      </c>
      <c r="F17" s="65">
        <v>0.33125</v>
      </c>
      <c r="G17" s="66">
        <v>0.33125</v>
      </c>
      <c r="H17" s="11">
        <v>96.0</v>
      </c>
      <c r="I17" s="12">
        <v>0.3958333333333333</v>
      </c>
      <c r="J17" s="13">
        <v>0.4013888888888889</v>
      </c>
      <c r="K17" s="18"/>
      <c r="L17" s="18">
        <v>519.0</v>
      </c>
      <c r="M17" s="67">
        <v>105.0</v>
      </c>
      <c r="N17" s="12">
        <v>0.49166666666666664</v>
      </c>
      <c r="O17" s="12">
        <v>0.49444444444444446</v>
      </c>
      <c r="Q17" s="67">
        <v>519.0</v>
      </c>
      <c r="R17" s="67">
        <v>100.0</v>
      </c>
      <c r="S17" s="79">
        <v>0.0625</v>
      </c>
      <c r="T17" s="79">
        <v>0.06458333333333334</v>
      </c>
      <c r="V17" s="67">
        <v>519.0</v>
      </c>
      <c r="W17" s="67">
        <v>97.0</v>
      </c>
      <c r="X17" s="79">
        <v>0.13055555555555556</v>
      </c>
      <c r="Y17" s="79">
        <v>0.1326388888888889</v>
      </c>
      <c r="AA17" s="67">
        <v>519.0</v>
      </c>
      <c r="AB17" s="67">
        <v>89.0</v>
      </c>
      <c r="AC17" s="79">
        <v>0.1798611111111111</v>
      </c>
      <c r="AD17" s="79">
        <v>0.19444444444444445</v>
      </c>
      <c r="AF17" s="67">
        <f t="shared" si="1"/>
        <v>0</v>
      </c>
    </row>
    <row r="18" ht="15.75" customHeight="1">
      <c r="A18" s="47">
        <v>520.0</v>
      </c>
      <c r="B18" s="11">
        <v>136.0</v>
      </c>
      <c r="C18" s="12">
        <v>0.27152777777777776</v>
      </c>
      <c r="D18" s="13">
        <v>0.2722222222222222</v>
      </c>
      <c r="E18" s="64">
        <v>131.0</v>
      </c>
      <c r="F18" s="65">
        <v>0.3326388888888889</v>
      </c>
      <c r="G18" s="66">
        <v>0.3326388888888889</v>
      </c>
      <c r="H18" s="11">
        <v>161.0</v>
      </c>
      <c r="I18" s="12">
        <v>0.41597222222222224</v>
      </c>
      <c r="J18" s="13">
        <v>0.4326388888888889</v>
      </c>
      <c r="K18" s="18"/>
      <c r="L18" s="18">
        <v>520.0</v>
      </c>
      <c r="M18" s="67">
        <v>172.0</v>
      </c>
      <c r="N18" s="12">
        <v>0.5319444444444444</v>
      </c>
      <c r="O18" s="12">
        <v>0.5402777777777777</v>
      </c>
      <c r="Q18" s="67">
        <v>520.0</v>
      </c>
      <c r="R18" s="67">
        <v>179.0</v>
      </c>
      <c r="S18" s="79">
        <v>0.11875</v>
      </c>
      <c r="T18" s="79">
        <v>0.12361111111111112</v>
      </c>
      <c r="V18" s="67">
        <v>520.0</v>
      </c>
      <c r="W18" s="67">
        <v>170.0</v>
      </c>
      <c r="X18" s="79">
        <v>0.1986111111111111</v>
      </c>
      <c r="Y18" s="79">
        <v>0.20069444444444445</v>
      </c>
      <c r="AA18" s="67">
        <v>520.0</v>
      </c>
      <c r="AB18" s="67">
        <v>169.0</v>
      </c>
      <c r="AC18" s="79">
        <v>0.25625</v>
      </c>
      <c r="AD18" s="79">
        <v>0.27361111111111114</v>
      </c>
      <c r="AF18" s="67">
        <f t="shared" si="1"/>
        <v>0</v>
      </c>
    </row>
    <row r="19" ht="15.75" customHeight="1">
      <c r="A19" s="47">
        <v>521.0</v>
      </c>
      <c r="B19" s="11">
        <v>132.0</v>
      </c>
      <c r="C19" s="12">
        <v>0.27152777777777776</v>
      </c>
      <c r="D19" s="13">
        <v>0.2722222222222222</v>
      </c>
      <c r="E19" s="64">
        <v>107.0</v>
      </c>
      <c r="F19" s="65">
        <v>0.32569444444444445</v>
      </c>
      <c r="G19" s="66">
        <v>0.32569444444444445</v>
      </c>
      <c r="H19" s="11">
        <v>101.0</v>
      </c>
      <c r="I19" s="12">
        <v>0.39652777777777776</v>
      </c>
      <c r="J19" s="13">
        <v>0.4041666666666667</v>
      </c>
      <c r="K19" s="18"/>
      <c r="L19" s="11">
        <v>521.0</v>
      </c>
      <c r="M19" s="67">
        <v>117.0</v>
      </c>
      <c r="N19" s="12">
        <v>0.5</v>
      </c>
      <c r="O19" s="13">
        <v>0.50625</v>
      </c>
      <c r="Q19" s="67">
        <v>521.0</v>
      </c>
      <c r="R19" s="67">
        <v>129.0</v>
      </c>
      <c r="S19" s="79">
        <v>0.0798611111111111</v>
      </c>
      <c r="T19" s="79">
        <v>0.08541666666666667</v>
      </c>
      <c r="V19" s="67">
        <v>521.0</v>
      </c>
      <c r="W19" s="67">
        <v>135.0</v>
      </c>
      <c r="X19" s="79">
        <v>0.16458333333333333</v>
      </c>
      <c r="Y19" s="79">
        <v>0.17291666666666666</v>
      </c>
      <c r="AA19" s="67">
        <v>521.0</v>
      </c>
      <c r="AB19" s="67">
        <v>147.0</v>
      </c>
      <c r="AC19" s="79">
        <v>0.23125</v>
      </c>
      <c r="AD19" s="79">
        <v>0.25833333333333336</v>
      </c>
      <c r="AF19" s="67">
        <f t="shared" si="1"/>
        <v>0</v>
      </c>
    </row>
    <row r="20" ht="15.75" customHeight="1">
      <c r="A20" s="47">
        <v>522.0</v>
      </c>
      <c r="B20" s="11">
        <v>87.0</v>
      </c>
      <c r="C20" s="12">
        <v>0.26666666666666666</v>
      </c>
      <c r="D20" s="13">
        <v>0.2673611111111111</v>
      </c>
      <c r="E20" s="64">
        <v>91.0</v>
      </c>
      <c r="F20" s="65">
        <v>0.32430555555555557</v>
      </c>
      <c r="G20" s="66">
        <v>0.32430555555555557</v>
      </c>
      <c r="H20" s="11">
        <v>94.0</v>
      </c>
      <c r="I20" s="12">
        <v>0.39375</v>
      </c>
      <c r="J20" s="13">
        <v>0.39652777777777776</v>
      </c>
      <c r="K20" s="18"/>
      <c r="L20" s="11">
        <v>522.0</v>
      </c>
      <c r="M20" s="67">
        <v>87.0</v>
      </c>
      <c r="N20" s="12">
        <v>0.4826388888888889</v>
      </c>
      <c r="O20" s="13">
        <v>0.48541666666666666</v>
      </c>
      <c r="Q20" s="67">
        <v>522.0</v>
      </c>
      <c r="R20" s="67">
        <v>88.0</v>
      </c>
      <c r="S20" s="79">
        <v>0.05625</v>
      </c>
      <c r="T20" s="79">
        <v>0.058333333333333334</v>
      </c>
      <c r="V20" s="67">
        <v>522.0</v>
      </c>
      <c r="W20" s="67">
        <v>95.0</v>
      </c>
      <c r="X20" s="79">
        <v>0.12986111111111112</v>
      </c>
      <c r="Y20" s="79">
        <v>0.1326388888888889</v>
      </c>
      <c r="AA20" s="67">
        <v>522.0</v>
      </c>
      <c r="AB20" s="67">
        <v>92.0</v>
      </c>
      <c r="AC20" s="79">
        <v>0.18055555555555555</v>
      </c>
      <c r="AD20" s="79">
        <v>0.18611111111111112</v>
      </c>
      <c r="AF20" s="67">
        <f t="shared" si="1"/>
        <v>0</v>
      </c>
    </row>
    <row r="21" ht="15.75" customHeight="1">
      <c r="A21" s="47">
        <v>523.0</v>
      </c>
      <c r="B21" s="11">
        <v>114.0</v>
      </c>
      <c r="C21" s="12">
        <v>0.26944444444444443</v>
      </c>
      <c r="D21" s="13">
        <v>0.2701388888888889</v>
      </c>
      <c r="E21" s="64">
        <v>99.0</v>
      </c>
      <c r="F21" s="65">
        <v>0.32569444444444445</v>
      </c>
      <c r="G21" s="66">
        <v>0.32569444444444445</v>
      </c>
      <c r="H21" s="11">
        <v>81.0</v>
      </c>
      <c r="I21" s="12">
        <v>0.38819444444444445</v>
      </c>
      <c r="J21" s="13">
        <v>0.39375</v>
      </c>
      <c r="K21" s="18"/>
      <c r="L21" s="18">
        <v>523.0</v>
      </c>
      <c r="M21" s="67">
        <v>70.0</v>
      </c>
      <c r="N21" s="12">
        <v>0.4722222222222222</v>
      </c>
      <c r="O21" s="12">
        <v>0.4736111111111111</v>
      </c>
      <c r="Q21" s="67">
        <v>523.0</v>
      </c>
      <c r="R21" s="67">
        <v>61.0</v>
      </c>
      <c r="S21" s="79">
        <v>0.51875</v>
      </c>
      <c r="T21" s="79">
        <v>0.5368055555555555</v>
      </c>
      <c r="V21" s="67">
        <v>523.0</v>
      </c>
      <c r="W21" s="67">
        <v>58.0</v>
      </c>
      <c r="X21" s="79">
        <v>0.09583333333333334</v>
      </c>
      <c r="Y21" s="79">
        <v>0.1</v>
      </c>
      <c r="AF21" s="67">
        <f t="shared" si="1"/>
        <v>523</v>
      </c>
    </row>
    <row r="22" ht="15.75" customHeight="1">
      <c r="A22" s="47">
        <v>525.0</v>
      </c>
      <c r="B22" s="11">
        <v>115.0</v>
      </c>
      <c r="C22" s="12">
        <v>0.26944444444444443</v>
      </c>
      <c r="D22" s="13">
        <v>0.2701388888888889</v>
      </c>
      <c r="E22" s="64">
        <v>125.0</v>
      </c>
      <c r="F22" s="65">
        <v>0.33125</v>
      </c>
      <c r="G22" s="66">
        <v>0.33125</v>
      </c>
      <c r="H22" s="11">
        <v>129.0</v>
      </c>
      <c r="I22" s="12">
        <v>0.40555555555555556</v>
      </c>
      <c r="J22" s="13">
        <v>0.4083333333333333</v>
      </c>
      <c r="K22" s="18"/>
      <c r="L22" s="11">
        <v>525.0</v>
      </c>
      <c r="M22" s="67">
        <v>126.0</v>
      </c>
      <c r="N22" s="12">
        <v>0.5034722222222222</v>
      </c>
      <c r="O22" s="13">
        <v>0.50625</v>
      </c>
      <c r="Q22" s="67">
        <v>525.0</v>
      </c>
      <c r="R22" s="67">
        <v>138.0</v>
      </c>
      <c r="S22" s="81"/>
      <c r="T22" s="79">
        <v>0.0875</v>
      </c>
      <c r="V22" s="67">
        <v>525.0</v>
      </c>
      <c r="W22" s="67">
        <v>128.0</v>
      </c>
      <c r="X22" s="79">
        <v>0.15763888888888888</v>
      </c>
      <c r="Y22" s="79">
        <v>0.16111111111111112</v>
      </c>
      <c r="AA22" s="67">
        <v>525.0</v>
      </c>
      <c r="AB22" s="67">
        <v>131.0</v>
      </c>
      <c r="AC22" s="79">
        <v>0.21666666666666667</v>
      </c>
      <c r="AD22" s="79">
        <v>0.23472222222222222</v>
      </c>
      <c r="AF22" s="67">
        <f t="shared" si="1"/>
        <v>0</v>
      </c>
    </row>
    <row r="23" ht="15.75" customHeight="1">
      <c r="A23" s="47">
        <v>527.0</v>
      </c>
      <c r="B23" s="11">
        <v>23.0</v>
      </c>
      <c r="C23" s="12">
        <v>0.25763888888888886</v>
      </c>
      <c r="D23" s="13">
        <v>0.25833333333333336</v>
      </c>
      <c r="E23" s="64">
        <v>21.0</v>
      </c>
      <c r="F23" s="65">
        <v>0.30625</v>
      </c>
      <c r="G23" s="66">
        <v>0.30625</v>
      </c>
      <c r="H23" s="11">
        <v>18.0</v>
      </c>
      <c r="I23" s="12">
        <v>0.3625</v>
      </c>
      <c r="J23" s="13">
        <v>0.3638888888888889</v>
      </c>
      <c r="K23" s="18"/>
      <c r="L23" s="18">
        <v>527.0</v>
      </c>
      <c r="M23" s="67">
        <v>18.0</v>
      </c>
      <c r="N23" s="12">
        <v>0.43472222222222223</v>
      </c>
      <c r="O23" s="12">
        <v>0.4361111111111111</v>
      </c>
      <c r="Q23" s="67">
        <v>527.0</v>
      </c>
      <c r="R23" s="67">
        <v>19.0</v>
      </c>
      <c r="S23" s="79">
        <v>0.49444444444444446</v>
      </c>
      <c r="T23" s="79">
        <v>0.49583333333333335</v>
      </c>
      <c r="V23" s="67">
        <v>527.0</v>
      </c>
      <c r="W23" s="67">
        <v>21.0</v>
      </c>
      <c r="X23" s="79">
        <v>0.05416666666666667</v>
      </c>
      <c r="Y23" s="79">
        <v>0.05763888888888889</v>
      </c>
      <c r="AA23" s="67">
        <v>527.0</v>
      </c>
      <c r="AB23" s="67">
        <v>22.0</v>
      </c>
      <c r="AC23" s="79">
        <v>0.09930555555555555</v>
      </c>
      <c r="AD23" s="79">
        <v>0.1111111111111111</v>
      </c>
      <c r="AF23" s="67">
        <f t="shared" si="1"/>
        <v>0</v>
      </c>
    </row>
    <row r="24" ht="15.75" customHeight="1">
      <c r="A24" s="47">
        <v>528.0</v>
      </c>
      <c r="B24" s="11">
        <v>84.0</v>
      </c>
      <c r="C24" s="12">
        <v>0.2659722222222222</v>
      </c>
      <c r="D24" s="13">
        <v>0.26666666666666666</v>
      </c>
      <c r="E24" s="64">
        <v>97.0</v>
      </c>
      <c r="F24" s="65">
        <v>0.32430555555555557</v>
      </c>
      <c r="G24" s="66">
        <v>0.32430555555555557</v>
      </c>
      <c r="H24" s="11"/>
      <c r="I24" s="12"/>
      <c r="J24" s="38"/>
      <c r="K24" s="18"/>
      <c r="L24" s="11">
        <v>528.0</v>
      </c>
      <c r="M24" s="67">
        <v>90.0</v>
      </c>
      <c r="N24" s="12">
        <v>0.4840277777777778</v>
      </c>
      <c r="O24" s="13">
        <v>0.48680555555555555</v>
      </c>
      <c r="Q24" s="81">
        <v>528.0</v>
      </c>
      <c r="R24" s="67">
        <v>95.0</v>
      </c>
      <c r="S24" s="81"/>
      <c r="T24" s="79">
        <v>0.059722222222222225</v>
      </c>
      <c r="V24" s="67">
        <v>528.0</v>
      </c>
      <c r="W24" s="67">
        <v>94.0</v>
      </c>
      <c r="X24" s="79">
        <v>0.1284722222222222</v>
      </c>
      <c r="Y24" s="79">
        <v>0.13125</v>
      </c>
      <c r="AA24" s="67">
        <v>528.0</v>
      </c>
      <c r="AB24" s="67">
        <v>93.0</v>
      </c>
      <c r="AC24" s="79">
        <v>0.18055555555555555</v>
      </c>
      <c r="AD24" s="79">
        <v>0.19305555555555556</v>
      </c>
      <c r="AF24" s="67">
        <f t="shared" si="1"/>
        <v>0</v>
      </c>
    </row>
    <row r="25" ht="15.75" customHeight="1">
      <c r="A25" s="47">
        <v>529.0</v>
      </c>
      <c r="B25" s="11">
        <v>71.0</v>
      </c>
      <c r="C25" s="12">
        <v>0.2638888888888889</v>
      </c>
      <c r="D25" s="13">
        <v>0.26458333333333334</v>
      </c>
      <c r="E25" s="64">
        <v>66.0</v>
      </c>
      <c r="F25" s="65">
        <v>0.31875</v>
      </c>
      <c r="G25" s="66">
        <v>0.31875</v>
      </c>
      <c r="H25" s="11">
        <v>58.0</v>
      </c>
      <c r="I25" s="12">
        <v>0.37916666666666665</v>
      </c>
      <c r="J25" s="13">
        <v>0.38125</v>
      </c>
      <c r="K25" s="18"/>
      <c r="L25" s="11">
        <v>529.0</v>
      </c>
      <c r="M25" s="67">
        <v>39.0</v>
      </c>
      <c r="N25" s="12">
        <v>0.45</v>
      </c>
      <c r="O25" s="13">
        <v>0.45069444444444445</v>
      </c>
      <c r="Q25" s="67">
        <v>529.0</v>
      </c>
      <c r="R25" s="67">
        <v>38.0</v>
      </c>
      <c r="S25" s="79">
        <v>0.5097222222222222</v>
      </c>
      <c r="T25" s="79">
        <v>0.5111111111111111</v>
      </c>
      <c r="V25" s="67">
        <v>529.0</v>
      </c>
      <c r="W25" s="67">
        <v>31.0</v>
      </c>
      <c r="X25" s="79">
        <v>0.06527777777777778</v>
      </c>
      <c r="Y25" s="79">
        <v>0.06666666666666667</v>
      </c>
      <c r="AA25" s="67">
        <v>529.0</v>
      </c>
      <c r="AB25" s="67">
        <v>29.0</v>
      </c>
      <c r="AC25" s="79">
        <v>0.10277777777777777</v>
      </c>
      <c r="AD25" s="79">
        <v>0.10625</v>
      </c>
      <c r="AF25" s="67">
        <f t="shared" si="1"/>
        <v>0</v>
      </c>
    </row>
    <row r="26" ht="15.75" customHeight="1">
      <c r="A26" s="47">
        <v>530.0</v>
      </c>
      <c r="B26" s="11">
        <v>46.0</v>
      </c>
      <c r="C26" s="12">
        <v>0.2611111111111111</v>
      </c>
      <c r="D26" s="13">
        <v>0.26180555555555557</v>
      </c>
      <c r="E26" s="64">
        <v>41.0</v>
      </c>
      <c r="F26" s="65">
        <v>0.31319444444444444</v>
      </c>
      <c r="G26" s="66">
        <v>0.31319444444444444</v>
      </c>
      <c r="H26" s="11">
        <v>57.0</v>
      </c>
      <c r="I26" s="12">
        <v>0.3784722222222222</v>
      </c>
      <c r="J26" s="13">
        <v>0.38055555555555554</v>
      </c>
      <c r="K26" s="18"/>
      <c r="L26" s="11">
        <v>530.0</v>
      </c>
      <c r="M26" s="67">
        <v>49.0</v>
      </c>
      <c r="N26" s="12">
        <v>0.45694444444444443</v>
      </c>
      <c r="O26" s="13">
        <v>0.45902777777777776</v>
      </c>
      <c r="Q26" s="67">
        <v>530.0</v>
      </c>
      <c r="R26" s="67">
        <v>49.0</v>
      </c>
      <c r="S26" s="79">
        <v>0.5208333333333334</v>
      </c>
      <c r="T26" s="79">
        <v>0.5229166666666667</v>
      </c>
      <c r="V26" s="67">
        <v>530.0</v>
      </c>
      <c r="W26" s="67">
        <v>51.0</v>
      </c>
      <c r="X26" s="79">
        <v>0.0875</v>
      </c>
      <c r="Y26" s="79">
        <v>0.08888888888888889</v>
      </c>
      <c r="AA26" s="67">
        <v>530.0</v>
      </c>
      <c r="AB26" s="67">
        <v>49.0</v>
      </c>
      <c r="AC26" s="79">
        <v>0.13055555555555556</v>
      </c>
      <c r="AD26" s="79">
        <v>0.13402777777777777</v>
      </c>
      <c r="AF26" s="67">
        <f t="shared" si="1"/>
        <v>0</v>
      </c>
    </row>
    <row r="27" ht="15.75" customHeight="1">
      <c r="A27" s="47">
        <v>531.0</v>
      </c>
      <c r="B27" s="11">
        <v>174.0</v>
      </c>
      <c r="C27" s="12">
        <v>0.275</v>
      </c>
      <c r="D27" s="13">
        <v>0.27569444444444446</v>
      </c>
      <c r="E27" s="64">
        <v>161.0</v>
      </c>
      <c r="F27" s="65">
        <v>0.3388888888888889</v>
      </c>
      <c r="G27" s="66">
        <v>0.3388888888888889</v>
      </c>
      <c r="H27" s="11">
        <v>153.0</v>
      </c>
      <c r="I27" s="12">
        <v>0.41388888888888886</v>
      </c>
      <c r="J27" s="13">
        <v>0.4222222222222222</v>
      </c>
      <c r="K27" s="18"/>
      <c r="L27" s="11">
        <v>531.0</v>
      </c>
      <c r="M27" s="67">
        <v>154.0</v>
      </c>
      <c r="N27" s="12">
        <v>0.5166666666666667</v>
      </c>
      <c r="O27" s="13">
        <v>0.5180555555555556</v>
      </c>
      <c r="Q27" s="67">
        <v>531.0</v>
      </c>
      <c r="R27" s="67">
        <v>157.0</v>
      </c>
      <c r="S27" s="79">
        <v>0.09861111111111111</v>
      </c>
      <c r="T27" s="79">
        <v>0.1076388888888889</v>
      </c>
      <c r="V27" s="67">
        <v>531.0</v>
      </c>
      <c r="W27" s="67">
        <v>161.0</v>
      </c>
      <c r="X27" s="79">
        <v>0.18611111111111112</v>
      </c>
      <c r="Y27" s="79">
        <v>0.18958333333333333</v>
      </c>
      <c r="AA27" s="67">
        <v>531.0</v>
      </c>
      <c r="AB27" s="67">
        <v>162.0</v>
      </c>
      <c r="AC27" s="79">
        <v>0.24861111111111112</v>
      </c>
      <c r="AD27" s="79">
        <v>0.27152777777777776</v>
      </c>
      <c r="AF27" s="67">
        <f t="shared" si="1"/>
        <v>0</v>
      </c>
    </row>
    <row r="28" ht="15.75" customHeight="1">
      <c r="A28" s="47">
        <v>532.0</v>
      </c>
      <c r="B28" s="11">
        <v>163.0</v>
      </c>
      <c r="C28" s="12">
        <v>0.2743055555555556</v>
      </c>
      <c r="D28" s="13">
        <v>0.275</v>
      </c>
      <c r="E28" s="64">
        <v>166.0</v>
      </c>
      <c r="F28" s="65">
        <v>0.3388888888888889</v>
      </c>
      <c r="G28" s="66">
        <v>0.3388888888888889</v>
      </c>
      <c r="H28" s="11">
        <v>154.0</v>
      </c>
      <c r="I28" s="12">
        <v>0.41388888888888886</v>
      </c>
      <c r="J28" s="13">
        <v>0.4222222222222222</v>
      </c>
      <c r="K28" s="18"/>
      <c r="L28" s="11">
        <v>532.0</v>
      </c>
      <c r="M28" s="67">
        <v>151.0</v>
      </c>
      <c r="N28" s="12">
        <v>0.5145833333333333</v>
      </c>
      <c r="O28" s="13">
        <v>0.5180555555555556</v>
      </c>
      <c r="Q28" s="67">
        <v>532.0</v>
      </c>
      <c r="R28" s="67">
        <v>156.0</v>
      </c>
      <c r="S28" s="79">
        <v>0.09861111111111111</v>
      </c>
      <c r="T28" s="79">
        <v>0.1076388888888889</v>
      </c>
      <c r="V28" s="67">
        <v>532.0</v>
      </c>
      <c r="W28" s="67">
        <v>159.0</v>
      </c>
      <c r="X28" s="79">
        <v>0.18611111111111112</v>
      </c>
      <c r="Y28" s="79">
        <v>0.18888888888888888</v>
      </c>
      <c r="AA28" s="67">
        <v>532.0</v>
      </c>
      <c r="AB28" s="67">
        <v>161.0</v>
      </c>
      <c r="AC28" s="79">
        <v>0.24861111111111112</v>
      </c>
      <c r="AD28" s="79">
        <v>0.27152777777777776</v>
      </c>
      <c r="AF28" s="67">
        <f t="shared" si="1"/>
        <v>0</v>
      </c>
    </row>
    <row r="29" ht="15.75" customHeight="1">
      <c r="A29" s="47">
        <v>534.0</v>
      </c>
      <c r="B29" s="11">
        <v>167.0</v>
      </c>
      <c r="C29" s="12">
        <v>0.2743055555555556</v>
      </c>
      <c r="D29" s="13">
        <v>0.275</v>
      </c>
      <c r="E29" s="64">
        <v>165.0</v>
      </c>
      <c r="F29" s="65">
        <v>0.3388888888888889</v>
      </c>
      <c r="G29" s="66">
        <v>0.3388888888888889</v>
      </c>
      <c r="H29" s="11">
        <v>152.0</v>
      </c>
      <c r="I29" s="12">
        <v>0.4131944444444444</v>
      </c>
      <c r="J29" s="13">
        <v>0.41944444444444445</v>
      </c>
      <c r="K29" s="18"/>
      <c r="L29" s="18">
        <v>534.0</v>
      </c>
      <c r="M29" s="67">
        <v>148.0</v>
      </c>
      <c r="N29" s="12">
        <v>0.5138888888888888</v>
      </c>
      <c r="O29" s="12">
        <v>0.5180555555555556</v>
      </c>
      <c r="Q29" s="67">
        <v>534.0</v>
      </c>
      <c r="R29" s="67">
        <v>146.0</v>
      </c>
      <c r="S29" s="79">
        <v>0.09166666666666666</v>
      </c>
      <c r="T29" s="79">
        <v>0.09513888888888888</v>
      </c>
      <c r="V29" s="67">
        <v>534.0</v>
      </c>
      <c r="W29" s="67">
        <v>144.0</v>
      </c>
      <c r="X29" s="79">
        <v>0.1673611111111111</v>
      </c>
      <c r="Y29" s="79">
        <v>0.1701388888888889</v>
      </c>
      <c r="AA29" s="67">
        <v>534.0</v>
      </c>
      <c r="AB29" s="67">
        <v>134.0</v>
      </c>
      <c r="AC29" s="79">
        <v>0.21875</v>
      </c>
      <c r="AD29" s="79">
        <v>0.23055555555555557</v>
      </c>
      <c r="AF29" s="67">
        <f t="shared" si="1"/>
        <v>0</v>
      </c>
    </row>
    <row r="30" ht="15.75" customHeight="1">
      <c r="A30" s="47">
        <v>535.0</v>
      </c>
      <c r="B30" s="11">
        <v>52.0</v>
      </c>
      <c r="C30" s="12">
        <v>0.26319444444444445</v>
      </c>
      <c r="D30" s="13">
        <v>0.2638888888888889</v>
      </c>
      <c r="E30" s="64">
        <v>63.0</v>
      </c>
      <c r="F30" s="65">
        <v>0.31805555555555554</v>
      </c>
      <c r="G30" s="66">
        <v>0.31805555555555554</v>
      </c>
      <c r="H30" s="11">
        <v>79.0</v>
      </c>
      <c r="I30" s="12">
        <v>0.38819444444444445</v>
      </c>
      <c r="J30" s="13">
        <v>0.4</v>
      </c>
      <c r="K30" s="18"/>
      <c r="L30" s="11">
        <v>535.0</v>
      </c>
      <c r="M30" s="67">
        <v>101.0</v>
      </c>
      <c r="N30" s="12">
        <v>0.4888888888888889</v>
      </c>
      <c r="O30" s="13">
        <v>0.49583333333333335</v>
      </c>
      <c r="Q30" s="67">
        <v>535.0</v>
      </c>
      <c r="R30" s="67">
        <v>111.0</v>
      </c>
      <c r="S30" s="79">
        <v>0.07291666666666667</v>
      </c>
      <c r="T30" s="79">
        <v>0.08125</v>
      </c>
      <c r="V30" s="67">
        <v>535.0</v>
      </c>
      <c r="W30" s="67">
        <v>123.0</v>
      </c>
      <c r="X30" s="79">
        <v>0.15625</v>
      </c>
      <c r="Y30" s="79">
        <v>0.1638888888888889</v>
      </c>
      <c r="AA30" s="67">
        <v>535.0</v>
      </c>
      <c r="AB30" s="67">
        <v>132.0</v>
      </c>
      <c r="AC30" s="79">
        <v>0.21736111111111112</v>
      </c>
      <c r="AD30" s="79">
        <v>0.23055555555555557</v>
      </c>
      <c r="AF30" s="67">
        <f t="shared" si="1"/>
        <v>0</v>
      </c>
    </row>
    <row r="31" ht="15.75" customHeight="1">
      <c r="A31" s="47">
        <v>536.0</v>
      </c>
      <c r="B31" s="11">
        <v>63.0</v>
      </c>
      <c r="C31" s="12">
        <v>0.26319444444444445</v>
      </c>
      <c r="D31" s="13">
        <v>0.2638888888888889</v>
      </c>
      <c r="E31" s="64">
        <v>53.0</v>
      </c>
      <c r="F31" s="65">
        <v>0.3145833333333333</v>
      </c>
      <c r="G31" s="66">
        <v>0.3145833333333333</v>
      </c>
      <c r="H31" s="11">
        <v>36.0</v>
      </c>
      <c r="I31" s="12">
        <v>0.37083333333333335</v>
      </c>
      <c r="J31" s="13">
        <v>0.3763888888888889</v>
      </c>
      <c r="K31" s="18"/>
      <c r="L31" s="18">
        <v>536.0</v>
      </c>
      <c r="M31" s="67">
        <v>30.0</v>
      </c>
      <c r="N31" s="12">
        <v>0.44583333333333336</v>
      </c>
      <c r="O31" s="12">
        <v>0.4479166666666667</v>
      </c>
      <c r="Q31" s="67">
        <v>536.0</v>
      </c>
      <c r="R31" s="67">
        <v>30.0</v>
      </c>
      <c r="S31" s="79">
        <v>0.5034722222222222</v>
      </c>
      <c r="T31" s="79">
        <v>0.50625</v>
      </c>
      <c r="V31" s="67">
        <v>536.0</v>
      </c>
      <c r="W31" s="67">
        <v>26.0</v>
      </c>
      <c r="X31" s="79">
        <v>0.06041666666666667</v>
      </c>
      <c r="Y31" s="79">
        <v>0.0625</v>
      </c>
      <c r="AA31" s="67">
        <v>536.0</v>
      </c>
      <c r="AB31" s="67">
        <v>24.0</v>
      </c>
      <c r="AC31" s="79">
        <v>0.1</v>
      </c>
      <c r="AD31" s="79">
        <v>0.11458333333333333</v>
      </c>
      <c r="AF31" s="67">
        <f t="shared" si="1"/>
        <v>0</v>
      </c>
    </row>
    <row r="32" ht="15.75" customHeight="1">
      <c r="A32" s="47">
        <v>537.0</v>
      </c>
      <c r="B32" s="11">
        <v>1.0</v>
      </c>
      <c r="C32" s="12">
        <v>0.2513888888888889</v>
      </c>
      <c r="D32" s="13">
        <v>0.2520833333333333</v>
      </c>
      <c r="E32" s="64">
        <v>9.0</v>
      </c>
      <c r="F32" s="65">
        <v>0.29444444444444445</v>
      </c>
      <c r="G32" s="66">
        <v>0.29444444444444445</v>
      </c>
      <c r="H32" s="11">
        <v>3.0</v>
      </c>
      <c r="I32" s="12">
        <v>0.34097222222222223</v>
      </c>
      <c r="J32" s="13">
        <v>0.3423611111111111</v>
      </c>
      <c r="K32" s="18"/>
      <c r="L32" s="11">
        <v>537.0</v>
      </c>
      <c r="M32" s="67">
        <v>1.0</v>
      </c>
      <c r="N32" s="12">
        <v>0.3951388888888889</v>
      </c>
      <c r="O32" s="13">
        <v>0.3958333333333333</v>
      </c>
      <c r="Q32" s="67">
        <v>537.0</v>
      </c>
      <c r="R32" s="67">
        <v>1.0</v>
      </c>
      <c r="S32" s="79">
        <v>0.43680555555555556</v>
      </c>
      <c r="T32" s="79">
        <v>0.43680555555555556</v>
      </c>
      <c r="V32" s="67">
        <v>537.0</v>
      </c>
      <c r="W32" s="67">
        <v>1.0</v>
      </c>
      <c r="X32" s="79">
        <v>0.47708333333333336</v>
      </c>
      <c r="Y32" s="79">
        <v>0.47847222222222224</v>
      </c>
      <c r="AA32" s="67">
        <v>537.0</v>
      </c>
      <c r="AB32" s="67">
        <v>1.0</v>
      </c>
      <c r="AC32" s="79">
        <v>0.5097222222222222</v>
      </c>
      <c r="AD32" s="79">
        <v>0.5111111111111111</v>
      </c>
      <c r="AF32" s="67">
        <f t="shared" si="1"/>
        <v>0</v>
      </c>
    </row>
    <row r="33" ht="15.75" customHeight="1">
      <c r="A33" s="47">
        <v>538.0</v>
      </c>
      <c r="B33" s="11">
        <v>122.0</v>
      </c>
      <c r="C33" s="12">
        <v>0.2701388888888889</v>
      </c>
      <c r="D33" s="13">
        <v>0.2708333333333333</v>
      </c>
      <c r="E33" s="64">
        <v>128.0</v>
      </c>
      <c r="F33" s="65">
        <v>0.33194444444444443</v>
      </c>
      <c r="G33" s="66">
        <v>0.33194444444444443</v>
      </c>
      <c r="H33" s="11">
        <v>136.0</v>
      </c>
      <c r="I33" s="12">
        <v>0.4083333333333333</v>
      </c>
      <c r="J33" s="13">
        <v>0.41597222222222224</v>
      </c>
      <c r="K33" s="18"/>
      <c r="L33" s="11">
        <v>538.0</v>
      </c>
      <c r="M33" s="67">
        <v>130.0</v>
      </c>
      <c r="N33" s="12">
        <v>0.5048611111111111</v>
      </c>
      <c r="O33" s="13">
        <v>0.5097222222222222</v>
      </c>
      <c r="Q33" s="67">
        <v>538.0</v>
      </c>
      <c r="R33" s="67">
        <v>123.0</v>
      </c>
      <c r="S33" s="79">
        <v>0.0798611111111111</v>
      </c>
      <c r="T33" s="79">
        <v>0.08333333333333333</v>
      </c>
      <c r="V33" s="67">
        <v>538.0</v>
      </c>
      <c r="W33" s="67">
        <v>119.0</v>
      </c>
      <c r="X33" s="79">
        <v>0.15347222222222223</v>
      </c>
      <c r="Y33" s="79">
        <v>0.16041666666666668</v>
      </c>
      <c r="AA33" s="67">
        <v>538.0</v>
      </c>
      <c r="AB33" s="67">
        <v>117.0</v>
      </c>
      <c r="AC33" s="79">
        <v>0.20625</v>
      </c>
      <c r="AD33" s="79">
        <v>0.21875</v>
      </c>
      <c r="AF33" s="67">
        <f t="shared" si="1"/>
        <v>0</v>
      </c>
    </row>
    <row r="34" ht="15.75" customHeight="1">
      <c r="A34" s="47">
        <v>539.0</v>
      </c>
      <c r="B34" s="11">
        <v>182.0</v>
      </c>
      <c r="C34" s="12">
        <v>0.2777777777777778</v>
      </c>
      <c r="D34" s="13">
        <v>0.27847222222222223</v>
      </c>
      <c r="E34" s="64">
        <v>186.0</v>
      </c>
      <c r="F34" s="65">
        <v>0.3458333333333333</v>
      </c>
      <c r="G34" s="66">
        <v>0.3458333333333333</v>
      </c>
      <c r="H34" s="11">
        <v>177.0</v>
      </c>
      <c r="I34" s="12">
        <v>0.42430555555555555</v>
      </c>
      <c r="J34" s="13">
        <v>0.42986111111111114</v>
      </c>
      <c r="K34" s="18"/>
      <c r="L34" s="11">
        <v>539.0</v>
      </c>
      <c r="M34" s="67">
        <v>163.0</v>
      </c>
      <c r="N34" s="12">
        <v>0.5270833333333333</v>
      </c>
      <c r="O34" s="13">
        <v>0.5298611111111111</v>
      </c>
      <c r="Q34" s="67">
        <v>539.0</v>
      </c>
      <c r="R34" s="67">
        <v>171.0</v>
      </c>
      <c r="S34" s="79">
        <v>0.11319444444444444</v>
      </c>
      <c r="T34" s="79">
        <v>0.125</v>
      </c>
      <c r="V34" s="67">
        <v>539.0</v>
      </c>
      <c r="W34" s="67">
        <v>181.0</v>
      </c>
      <c r="X34" s="79">
        <v>0.21666666666666667</v>
      </c>
      <c r="Y34" s="79">
        <v>0.22083333333333333</v>
      </c>
      <c r="AA34" s="67">
        <v>539.0</v>
      </c>
      <c r="AB34" s="67">
        <v>189.0</v>
      </c>
      <c r="AC34" s="79">
        <v>0.30625</v>
      </c>
      <c r="AD34" s="79">
        <v>0.3277777777777778</v>
      </c>
      <c r="AF34" s="67">
        <f t="shared" si="1"/>
        <v>0</v>
      </c>
    </row>
    <row r="35" ht="15.75" customHeight="1">
      <c r="A35" s="47">
        <v>540.0</v>
      </c>
      <c r="B35" s="11">
        <v>193.0</v>
      </c>
      <c r="C35" s="12">
        <v>0.28125</v>
      </c>
      <c r="D35" s="13">
        <v>0.28194444444444444</v>
      </c>
      <c r="E35" s="64">
        <v>191.0</v>
      </c>
      <c r="F35" s="65">
        <v>0.35347222222222224</v>
      </c>
      <c r="G35" s="66">
        <v>0.35347222222222224</v>
      </c>
      <c r="H35" s="11">
        <v>194.0</v>
      </c>
      <c r="I35" s="12">
        <v>0.44305555555555554</v>
      </c>
      <c r="J35" s="13">
        <v>0.45208333333333334</v>
      </c>
      <c r="K35" s="18"/>
      <c r="L35" s="11">
        <v>540.0</v>
      </c>
      <c r="M35" s="67">
        <v>188.0</v>
      </c>
      <c r="N35" s="12">
        <v>0.05763888888888889</v>
      </c>
      <c r="O35" s="13">
        <v>0.059722222222222225</v>
      </c>
      <c r="Q35" s="67">
        <v>540.0</v>
      </c>
      <c r="R35" s="67">
        <v>190.0</v>
      </c>
      <c r="S35" s="79">
        <v>0.1486111111111111</v>
      </c>
      <c r="T35" s="79">
        <v>0.15</v>
      </c>
      <c r="V35" s="67">
        <v>540.0</v>
      </c>
      <c r="W35" s="67">
        <v>185.0</v>
      </c>
      <c r="X35" s="79">
        <v>0.23055555555555557</v>
      </c>
      <c r="Y35" s="79">
        <v>0.2326388888888889</v>
      </c>
      <c r="AA35" s="67">
        <v>540.0</v>
      </c>
      <c r="AB35" s="67">
        <v>182.0</v>
      </c>
      <c r="AC35" s="79">
        <v>0.2951388888888889</v>
      </c>
      <c r="AD35" s="79">
        <v>0.3104166666666667</v>
      </c>
      <c r="AF35" s="67">
        <f t="shared" si="1"/>
        <v>0</v>
      </c>
    </row>
    <row r="36" ht="15.75" customHeight="1">
      <c r="A36" s="47">
        <v>541.0</v>
      </c>
      <c r="B36" s="11">
        <v>155.0</v>
      </c>
      <c r="C36" s="12">
        <v>0.2743055555555556</v>
      </c>
      <c r="D36" s="13">
        <v>0.275</v>
      </c>
      <c r="E36" s="64">
        <v>157.0</v>
      </c>
      <c r="F36" s="65">
        <v>0.33819444444444446</v>
      </c>
      <c r="G36" s="66">
        <v>0.33819444444444446</v>
      </c>
      <c r="H36" s="11">
        <v>183.0</v>
      </c>
      <c r="I36" s="12">
        <v>0.42777777777777776</v>
      </c>
      <c r="J36" s="13">
        <v>0.4326388888888889</v>
      </c>
      <c r="K36" s="18"/>
      <c r="L36" s="11">
        <v>541.0</v>
      </c>
      <c r="M36" s="67">
        <v>187.0</v>
      </c>
      <c r="N36" s="12">
        <v>0.049305555555555554</v>
      </c>
      <c r="O36" s="13">
        <v>0.05277777777777778</v>
      </c>
      <c r="Q36" s="67">
        <v>541.0</v>
      </c>
      <c r="R36" s="67">
        <v>188.0</v>
      </c>
      <c r="S36" s="79">
        <v>0.1375</v>
      </c>
      <c r="T36" s="79">
        <v>0.14166666666666666</v>
      </c>
      <c r="V36" s="67">
        <v>541.0</v>
      </c>
      <c r="W36" s="67">
        <v>184.0</v>
      </c>
      <c r="X36" s="79">
        <v>0.22777777777777777</v>
      </c>
      <c r="Y36" s="79">
        <v>0.23055555555555557</v>
      </c>
      <c r="AA36" s="67">
        <v>541.0</v>
      </c>
      <c r="AB36" s="67">
        <v>185.0</v>
      </c>
      <c r="AC36" s="79">
        <v>0.2972222222222222</v>
      </c>
      <c r="AD36" s="67" t="s">
        <v>178</v>
      </c>
      <c r="AF36" s="67">
        <f t="shared" si="1"/>
        <v>0</v>
      </c>
    </row>
    <row r="37" ht="15.75" customHeight="1">
      <c r="A37" s="47">
        <v>542.0</v>
      </c>
      <c r="B37" s="11">
        <v>145.0</v>
      </c>
      <c r="C37" s="12">
        <v>0.27152777777777776</v>
      </c>
      <c r="D37" s="13">
        <v>0.2722222222222222</v>
      </c>
      <c r="E37" s="64">
        <v>121.0</v>
      </c>
      <c r="F37" s="65">
        <v>0.33055555555555555</v>
      </c>
      <c r="G37" s="66">
        <v>0.33055555555555555</v>
      </c>
      <c r="H37" s="11">
        <v>114.0</v>
      </c>
      <c r="I37" s="12">
        <v>0.40069444444444446</v>
      </c>
      <c r="J37" s="13">
        <v>0.4097222222222222</v>
      </c>
      <c r="K37" s="18"/>
      <c r="L37" s="11">
        <v>542.0</v>
      </c>
      <c r="M37" s="67">
        <v>138.0</v>
      </c>
      <c r="N37" s="12">
        <v>0.5055555555555555</v>
      </c>
      <c r="O37" s="13">
        <v>0.5118055555555555</v>
      </c>
      <c r="Q37" s="67">
        <v>542.0</v>
      </c>
      <c r="R37" s="67">
        <v>152.0</v>
      </c>
      <c r="S37" s="79">
        <v>0.09444444444444444</v>
      </c>
      <c r="T37" s="79">
        <v>0.09930555555555555</v>
      </c>
      <c r="V37" s="67">
        <v>542.0</v>
      </c>
      <c r="W37" s="67">
        <v>148.0</v>
      </c>
      <c r="X37" s="79">
        <v>0.17708333333333334</v>
      </c>
      <c r="Y37" s="79">
        <v>0.18680555555555556</v>
      </c>
      <c r="AA37" s="67">
        <v>542.0</v>
      </c>
      <c r="AB37" s="67">
        <v>158.0</v>
      </c>
      <c r="AC37" s="79">
        <v>0.24375</v>
      </c>
      <c r="AD37" s="79">
        <v>0.26319444444444445</v>
      </c>
      <c r="AF37" s="67">
        <f t="shared" si="1"/>
        <v>0</v>
      </c>
    </row>
    <row r="38" ht="15.75" customHeight="1">
      <c r="A38" s="47">
        <v>543.0</v>
      </c>
      <c r="B38" s="11">
        <v>26.0</v>
      </c>
      <c r="C38" s="12">
        <v>0.25972222222222224</v>
      </c>
      <c r="D38" s="13">
        <v>0.2604166666666667</v>
      </c>
      <c r="E38" s="64">
        <v>25.0</v>
      </c>
      <c r="F38" s="65">
        <v>0.30694444444444446</v>
      </c>
      <c r="G38" s="66">
        <v>0.30694444444444446</v>
      </c>
      <c r="H38" s="11">
        <v>24.0</v>
      </c>
      <c r="I38" s="12">
        <v>0.3638888888888889</v>
      </c>
      <c r="J38" s="13">
        <v>0.36736111111111114</v>
      </c>
      <c r="K38" s="18"/>
      <c r="L38" s="11">
        <v>543.0</v>
      </c>
      <c r="M38" s="67">
        <v>19.0</v>
      </c>
      <c r="N38" s="12">
        <v>0.4354166666666667</v>
      </c>
      <c r="O38" s="13">
        <v>0.4375</v>
      </c>
      <c r="Q38" s="67">
        <v>543.0</v>
      </c>
      <c r="R38" s="67">
        <v>16.0</v>
      </c>
      <c r="S38" s="79">
        <v>0.49236111111111114</v>
      </c>
      <c r="T38" s="79">
        <v>0.4951388888888889</v>
      </c>
      <c r="V38" s="67">
        <v>543.0</v>
      </c>
      <c r="W38" s="67">
        <v>16.0</v>
      </c>
      <c r="X38" s="79">
        <v>0.04861111111111111</v>
      </c>
      <c r="Y38" s="79">
        <v>0.05138888888888889</v>
      </c>
      <c r="AA38" s="67">
        <v>543.0</v>
      </c>
      <c r="AB38" s="67">
        <v>16.0</v>
      </c>
      <c r="AC38" s="79">
        <v>0.09097222222222222</v>
      </c>
      <c r="AD38" s="79">
        <v>0.10208333333333333</v>
      </c>
      <c r="AF38" s="67">
        <f t="shared" si="1"/>
        <v>0</v>
      </c>
    </row>
    <row r="39" ht="15.75" customHeight="1">
      <c r="A39" s="47">
        <v>545.0</v>
      </c>
      <c r="B39" s="11">
        <v>143.0</v>
      </c>
      <c r="C39" s="12">
        <v>0.27152777777777776</v>
      </c>
      <c r="D39" s="13">
        <v>0.2722222222222222</v>
      </c>
      <c r="E39" s="64">
        <v>152.0</v>
      </c>
      <c r="F39" s="65">
        <v>0.3368055555555556</v>
      </c>
      <c r="G39" s="66">
        <v>0.3368055555555556</v>
      </c>
      <c r="H39" s="11"/>
      <c r="I39" s="12"/>
      <c r="J39" s="38"/>
      <c r="K39" s="18"/>
      <c r="L39" s="11">
        <v>545.0</v>
      </c>
      <c r="M39" s="67">
        <v>147.0</v>
      </c>
      <c r="N39" s="12">
        <v>0.5138888888888888</v>
      </c>
      <c r="O39" s="13">
        <v>0.5173611111111112</v>
      </c>
      <c r="Q39" s="67">
        <v>545.0</v>
      </c>
      <c r="R39" s="67">
        <v>145.0</v>
      </c>
      <c r="S39" s="79">
        <v>0.09166666666666666</v>
      </c>
      <c r="T39" s="79">
        <v>0.09513888888888888</v>
      </c>
      <c r="V39" s="67">
        <v>545.0</v>
      </c>
      <c r="W39" s="67">
        <v>143.0</v>
      </c>
      <c r="X39" s="79">
        <v>0.1673611111111111</v>
      </c>
      <c r="Y39" s="79">
        <v>0.16944444444444445</v>
      </c>
      <c r="AA39" s="67">
        <v>545.0</v>
      </c>
      <c r="AB39" s="67">
        <v>135.0</v>
      </c>
      <c r="AC39" s="79">
        <v>0.21875</v>
      </c>
      <c r="AD39" s="79">
        <v>0.2298611111111111</v>
      </c>
      <c r="AF39" s="67">
        <f t="shared" si="1"/>
        <v>0</v>
      </c>
    </row>
    <row r="40" ht="15.75" customHeight="1">
      <c r="A40" s="47">
        <v>545.0</v>
      </c>
      <c r="B40" s="11">
        <v>166.0</v>
      </c>
      <c r="C40" s="12">
        <v>0.2743055555555556</v>
      </c>
      <c r="D40" s="13">
        <v>0.275</v>
      </c>
      <c r="E40" s="64">
        <v>160.0</v>
      </c>
      <c r="F40" s="65">
        <v>0.3388888888888889</v>
      </c>
      <c r="G40" s="66">
        <v>0.3388888888888889</v>
      </c>
      <c r="H40" s="11">
        <v>146.0</v>
      </c>
      <c r="I40" s="12">
        <v>0.4125</v>
      </c>
      <c r="J40" s="13">
        <v>0.42083333333333334</v>
      </c>
      <c r="K40" s="18"/>
      <c r="AF40" s="67">
        <f t="shared" si="1"/>
        <v>545</v>
      </c>
    </row>
    <row r="41" ht="15.75" customHeight="1">
      <c r="A41" s="47">
        <v>546.0</v>
      </c>
      <c r="B41" s="11">
        <v>100.0</v>
      </c>
      <c r="C41" s="12">
        <v>0.26805555555555555</v>
      </c>
      <c r="D41" s="13">
        <v>0.26875</v>
      </c>
      <c r="E41" s="64">
        <v>88.0</v>
      </c>
      <c r="F41" s="65">
        <v>0.32430555555555557</v>
      </c>
      <c r="G41" s="66">
        <v>0.32430555555555557</v>
      </c>
      <c r="H41" s="11">
        <v>84.0</v>
      </c>
      <c r="I41" s="12">
        <v>0.38819444444444445</v>
      </c>
      <c r="J41" s="13">
        <v>0.39166666666666666</v>
      </c>
      <c r="K41" s="18"/>
      <c r="L41" s="11">
        <v>546.0</v>
      </c>
      <c r="M41" s="67">
        <v>69.0</v>
      </c>
      <c r="N41" s="12">
        <v>0.4722222222222222</v>
      </c>
      <c r="O41" s="13">
        <v>0.4756944444444444</v>
      </c>
      <c r="Q41" s="67">
        <v>546.0</v>
      </c>
      <c r="R41" s="67">
        <v>65.0</v>
      </c>
      <c r="S41" s="79">
        <v>0.5388888888888889</v>
      </c>
      <c r="T41" s="79">
        <v>0.5409722222222222</v>
      </c>
      <c r="V41" s="67">
        <v>546.0</v>
      </c>
      <c r="W41" s="67">
        <v>66.0</v>
      </c>
      <c r="X41" s="79">
        <v>0.10625</v>
      </c>
      <c r="Y41" s="79">
        <v>0.10833333333333334</v>
      </c>
      <c r="AA41" s="67">
        <v>546.0</v>
      </c>
      <c r="AB41" s="67">
        <v>71.0</v>
      </c>
      <c r="AC41" s="79">
        <v>0.16319444444444445</v>
      </c>
      <c r="AD41" s="79">
        <v>0.17083333333333334</v>
      </c>
      <c r="AF41" s="67">
        <f t="shared" si="1"/>
        <v>0</v>
      </c>
    </row>
    <row r="42" ht="15.75" customHeight="1">
      <c r="A42" s="47">
        <v>547.0</v>
      </c>
      <c r="B42" s="11">
        <v>107.0</v>
      </c>
      <c r="C42" s="12">
        <v>0.26944444444444443</v>
      </c>
      <c r="D42" s="13">
        <v>0.2701388888888889</v>
      </c>
      <c r="E42" s="64">
        <v>103.0</v>
      </c>
      <c r="F42" s="65">
        <v>0.32569444444444445</v>
      </c>
      <c r="G42" s="66">
        <v>0.32569444444444445</v>
      </c>
      <c r="H42" s="11">
        <v>102.0</v>
      </c>
      <c r="I42" s="12">
        <v>0.39652777777777776</v>
      </c>
      <c r="J42" s="13">
        <v>0.40208333333333335</v>
      </c>
      <c r="K42" s="18"/>
      <c r="L42" s="11">
        <v>547.0</v>
      </c>
      <c r="M42" s="67">
        <v>97.0</v>
      </c>
      <c r="N42" s="12">
        <v>0.48541666666666666</v>
      </c>
      <c r="O42" s="13">
        <v>0.4888888888888889</v>
      </c>
      <c r="Q42" s="67">
        <v>547.0</v>
      </c>
      <c r="R42" s="67">
        <v>86.0</v>
      </c>
      <c r="S42" s="79">
        <v>0.05486111111111111</v>
      </c>
      <c r="T42" s="79">
        <v>0.05694444444444444</v>
      </c>
      <c r="V42" s="67">
        <v>547.0</v>
      </c>
      <c r="W42" s="67">
        <v>85.0</v>
      </c>
      <c r="X42" s="79">
        <v>0.125</v>
      </c>
      <c r="Y42" s="79">
        <v>0.12708333333333333</v>
      </c>
      <c r="AA42" s="67">
        <v>547.0</v>
      </c>
      <c r="AB42" s="67">
        <v>91.0</v>
      </c>
      <c r="AC42" s="79">
        <v>0.1798611111111111</v>
      </c>
      <c r="AD42" s="79">
        <v>0.18680555555555556</v>
      </c>
      <c r="AF42" s="67">
        <f t="shared" si="1"/>
        <v>0</v>
      </c>
    </row>
    <row r="43" ht="15.75" customHeight="1">
      <c r="A43" s="47">
        <v>548.0</v>
      </c>
      <c r="B43" s="11"/>
      <c r="C43" s="12"/>
      <c r="D43" s="13"/>
      <c r="E43" s="64"/>
      <c r="F43" s="65"/>
      <c r="G43" s="66"/>
      <c r="H43" s="11">
        <v>130.0</v>
      </c>
      <c r="I43" s="12">
        <v>0.40555555555555556</v>
      </c>
      <c r="J43" s="13">
        <v>0.4097222222222222</v>
      </c>
      <c r="L43" s="11">
        <v>548.0</v>
      </c>
      <c r="M43" s="67">
        <v>123.0</v>
      </c>
      <c r="N43" s="12">
        <v>0.5013888888888889</v>
      </c>
      <c r="O43" s="13">
        <v>0.5055555555555555</v>
      </c>
      <c r="Q43" s="67">
        <v>548.0</v>
      </c>
      <c r="R43" s="67">
        <v>117.0</v>
      </c>
      <c r="S43" s="79">
        <v>0.07847222222222222</v>
      </c>
      <c r="T43" s="81"/>
      <c r="V43" s="67">
        <v>548.0</v>
      </c>
      <c r="W43" s="67">
        <v>122.0</v>
      </c>
      <c r="X43" s="79">
        <v>0.15625</v>
      </c>
      <c r="Y43" s="79">
        <v>0.1597222222222222</v>
      </c>
      <c r="AA43" s="67">
        <v>548.0</v>
      </c>
      <c r="AB43" s="67">
        <v>126.0</v>
      </c>
      <c r="AC43" s="79">
        <v>0.2111111111111111</v>
      </c>
      <c r="AD43" s="79">
        <v>0.21805555555555556</v>
      </c>
      <c r="AF43" s="67">
        <f t="shared" si="1"/>
        <v>0</v>
      </c>
    </row>
    <row r="44" ht="15.75" customHeight="1">
      <c r="A44" s="47"/>
      <c r="B44" s="11"/>
      <c r="C44" s="12"/>
      <c r="D44" s="13"/>
      <c r="E44" s="64"/>
      <c r="F44" s="65"/>
      <c r="G44" s="66"/>
      <c r="H44" s="11"/>
      <c r="I44" s="12"/>
      <c r="J44" s="13"/>
      <c r="K44" s="18"/>
      <c r="L44" s="11"/>
      <c r="M44" s="67"/>
      <c r="N44" s="12"/>
      <c r="O44" s="13"/>
      <c r="Q44" s="67">
        <v>548.0</v>
      </c>
      <c r="R44" s="67">
        <v>136.0</v>
      </c>
      <c r="S44" s="79">
        <v>0.08125</v>
      </c>
      <c r="T44" s="79">
        <v>0.08333333333333333</v>
      </c>
      <c r="AF44" s="67">
        <f t="shared" si="1"/>
        <v>0</v>
      </c>
    </row>
    <row r="45" ht="15.75" customHeight="1">
      <c r="A45" s="47">
        <v>549.0</v>
      </c>
      <c r="B45" s="11">
        <v>106.0</v>
      </c>
      <c r="C45" s="12">
        <v>0.26944444444444443</v>
      </c>
      <c r="D45" s="13">
        <v>0.2701388888888889</v>
      </c>
      <c r="E45" s="64">
        <v>113.0</v>
      </c>
      <c r="F45" s="65">
        <v>0.32569444444444445</v>
      </c>
      <c r="G45" s="66">
        <v>0.32569444444444445</v>
      </c>
      <c r="H45" s="11">
        <v>104.0</v>
      </c>
      <c r="I45" s="12">
        <v>0.3972222222222222</v>
      </c>
      <c r="J45" s="13">
        <v>0.40208333333333335</v>
      </c>
      <c r="K45" s="18"/>
      <c r="L45" s="11">
        <v>549.0</v>
      </c>
      <c r="M45" s="67">
        <v>96.0</v>
      </c>
      <c r="N45" s="12">
        <v>0.48541666666666666</v>
      </c>
      <c r="O45" s="13">
        <v>0.4888888888888889</v>
      </c>
      <c r="Q45" s="67">
        <v>549.0</v>
      </c>
      <c r="R45" s="67">
        <v>87.0</v>
      </c>
      <c r="S45" s="79">
        <v>0.05486111111111111</v>
      </c>
      <c r="T45" s="79">
        <v>0.05694444444444444</v>
      </c>
      <c r="V45" s="67">
        <v>549.0</v>
      </c>
      <c r="W45" s="67">
        <v>84.0</v>
      </c>
      <c r="X45" s="79">
        <v>0.12430555555555556</v>
      </c>
      <c r="Y45" s="79">
        <v>0.12708333333333333</v>
      </c>
      <c r="AA45" s="67">
        <v>549.0</v>
      </c>
      <c r="AB45" s="67">
        <v>90.0</v>
      </c>
      <c r="AC45" s="79">
        <v>0.1798611111111111</v>
      </c>
      <c r="AD45" s="79">
        <v>0.18680555555555556</v>
      </c>
      <c r="AF45" s="67">
        <f t="shared" si="1"/>
        <v>0</v>
      </c>
    </row>
    <row r="46" ht="15.75" customHeight="1">
      <c r="A46" s="47">
        <v>550.0</v>
      </c>
      <c r="B46" s="11">
        <v>76.0</v>
      </c>
      <c r="C46" s="12">
        <v>0.2659722222222222</v>
      </c>
      <c r="D46" s="13">
        <v>0.26666666666666666</v>
      </c>
      <c r="E46" s="64">
        <v>76.0</v>
      </c>
      <c r="F46" s="65">
        <v>0.32083333333333336</v>
      </c>
      <c r="G46" s="66">
        <v>0.32083333333333336</v>
      </c>
      <c r="H46" s="11">
        <v>82.0</v>
      </c>
      <c r="I46" s="12">
        <v>0.38819444444444445</v>
      </c>
      <c r="J46" s="13">
        <v>0.39652777777777776</v>
      </c>
      <c r="K46" s="18"/>
      <c r="L46" s="11">
        <v>550.0</v>
      </c>
      <c r="M46" s="67">
        <v>81.0</v>
      </c>
      <c r="N46" s="12">
        <v>0.47847222222222224</v>
      </c>
      <c r="O46" s="13">
        <v>0.48055555555555557</v>
      </c>
      <c r="Q46" s="67">
        <v>550.0</v>
      </c>
      <c r="R46" s="67">
        <v>76.0</v>
      </c>
      <c r="S46" s="79">
        <v>0.04513888888888889</v>
      </c>
      <c r="T46" s="79">
        <v>0.05416666666666667</v>
      </c>
      <c r="V46" s="67">
        <v>550.0</v>
      </c>
      <c r="W46" s="67">
        <v>78.0</v>
      </c>
      <c r="X46" s="79">
        <v>0.11666666666666667</v>
      </c>
      <c r="Y46" s="67">
        <v>2.52</v>
      </c>
      <c r="AA46" s="67">
        <v>550.0</v>
      </c>
      <c r="AB46" s="67">
        <v>70.0</v>
      </c>
      <c r="AC46" s="79">
        <v>0.1625</v>
      </c>
      <c r="AD46" s="79">
        <v>0.17083333333333334</v>
      </c>
      <c r="AF46" s="67">
        <f t="shared" si="1"/>
        <v>0</v>
      </c>
    </row>
    <row r="47" ht="15.75" customHeight="1">
      <c r="A47" s="47">
        <v>552.0</v>
      </c>
      <c r="B47" s="11">
        <v>81.0</v>
      </c>
      <c r="C47" s="12">
        <v>0.2659722222222222</v>
      </c>
      <c r="D47" s="13">
        <v>0.26666666666666666</v>
      </c>
      <c r="E47" s="64">
        <v>90.0</v>
      </c>
      <c r="F47" s="65">
        <v>0.32430555555555557</v>
      </c>
      <c r="G47" s="66">
        <v>0.32430555555555557</v>
      </c>
      <c r="H47" s="11">
        <v>124.0</v>
      </c>
      <c r="I47" s="12">
        <v>0.4041666666666667</v>
      </c>
      <c r="J47" s="38" t="s">
        <v>178</v>
      </c>
      <c r="K47" s="18"/>
      <c r="AF47" s="67">
        <f t="shared" si="1"/>
        <v>552</v>
      </c>
    </row>
    <row r="48" ht="15.75" customHeight="1">
      <c r="A48" s="47">
        <v>553.0</v>
      </c>
      <c r="B48" s="11">
        <v>93.0</v>
      </c>
      <c r="C48" s="12">
        <v>0.2673611111111111</v>
      </c>
      <c r="D48" s="13">
        <v>0.26805555555555555</v>
      </c>
      <c r="E48" s="64">
        <v>95.0</v>
      </c>
      <c r="F48" s="65">
        <v>0.32430555555555557</v>
      </c>
      <c r="G48" s="66">
        <v>0.32430555555555557</v>
      </c>
      <c r="H48" s="11">
        <v>98.0</v>
      </c>
      <c r="I48" s="12">
        <v>0.3958333333333333</v>
      </c>
      <c r="J48" s="12">
        <v>0.4</v>
      </c>
      <c r="K48" s="18"/>
      <c r="L48" s="11">
        <v>553.0</v>
      </c>
      <c r="M48" s="67">
        <v>93.0</v>
      </c>
      <c r="N48" s="12">
        <v>0.4847222222222222</v>
      </c>
      <c r="O48" s="13">
        <v>0.4888888888888889</v>
      </c>
      <c r="Q48" s="67">
        <v>553.0</v>
      </c>
      <c r="R48" s="67">
        <v>91.0</v>
      </c>
      <c r="S48" s="79">
        <v>0.05555555555555555</v>
      </c>
      <c r="T48" s="79">
        <v>0.06041666666666667</v>
      </c>
      <c r="V48" s="67">
        <v>553.0</v>
      </c>
      <c r="W48" s="67">
        <v>88.0</v>
      </c>
      <c r="X48" s="79">
        <v>0.125</v>
      </c>
      <c r="Y48" s="79">
        <v>0.12986111111111112</v>
      </c>
      <c r="AA48" s="67">
        <v>553.0</v>
      </c>
      <c r="AB48" s="67">
        <v>84.0</v>
      </c>
      <c r="AC48" s="79">
        <v>0.17430555555555555</v>
      </c>
      <c r="AD48" s="79">
        <v>0.18611111111111112</v>
      </c>
      <c r="AF48" s="67">
        <f t="shared" si="1"/>
        <v>0</v>
      </c>
    </row>
    <row r="49" ht="15.75" customHeight="1">
      <c r="A49" s="47">
        <v>554.0</v>
      </c>
      <c r="B49" s="11">
        <v>164.0</v>
      </c>
      <c r="C49" s="12">
        <v>0.2743055555555556</v>
      </c>
      <c r="D49" s="13">
        <v>0.275</v>
      </c>
      <c r="E49" s="64">
        <v>177.0</v>
      </c>
      <c r="F49" s="65">
        <v>0.34375</v>
      </c>
      <c r="G49" s="66">
        <v>0.34375</v>
      </c>
      <c r="H49" s="11">
        <v>171.0</v>
      </c>
      <c r="I49" s="12">
        <v>0.4222222222222222</v>
      </c>
      <c r="J49" s="13">
        <v>0.4284722222222222</v>
      </c>
      <c r="K49" s="18"/>
      <c r="L49" s="11">
        <v>554.0</v>
      </c>
      <c r="M49" s="67">
        <v>157.0</v>
      </c>
      <c r="N49" s="12">
        <v>0.5194444444444445</v>
      </c>
      <c r="O49" s="13">
        <v>0.5236111111111111</v>
      </c>
      <c r="Q49" s="67">
        <v>554.0</v>
      </c>
      <c r="R49" s="67">
        <v>151.0</v>
      </c>
      <c r="S49" s="79">
        <v>0.09444444444444444</v>
      </c>
      <c r="T49" s="79">
        <v>0.1</v>
      </c>
      <c r="V49" s="67">
        <v>554.0</v>
      </c>
      <c r="W49" s="67">
        <v>141.0</v>
      </c>
      <c r="X49" s="79">
        <v>0.1673611111111111</v>
      </c>
      <c r="Y49" s="79">
        <v>0.17083333333333334</v>
      </c>
      <c r="AA49" s="67">
        <v>554.0</v>
      </c>
      <c r="AB49" s="67">
        <v>139.0</v>
      </c>
      <c r="AC49" s="79">
        <v>0.22083333333333333</v>
      </c>
      <c r="AD49" s="79">
        <v>0.23055555555555557</v>
      </c>
      <c r="AF49" s="67">
        <f t="shared" si="1"/>
        <v>0</v>
      </c>
    </row>
    <row r="50" ht="15.75" customHeight="1">
      <c r="A50" s="47">
        <v>556.0</v>
      </c>
      <c r="B50" s="11">
        <v>40.0</v>
      </c>
      <c r="C50" s="12">
        <v>0.2604166666666667</v>
      </c>
      <c r="D50" s="13">
        <v>0.26180555555555557</v>
      </c>
      <c r="E50" s="64">
        <v>35.0</v>
      </c>
      <c r="F50" s="65">
        <v>0.31180555555555556</v>
      </c>
      <c r="G50" s="66">
        <v>0.31180555555555556</v>
      </c>
      <c r="H50" s="11">
        <v>56.0</v>
      </c>
      <c r="I50" s="12">
        <v>0.3770833333333333</v>
      </c>
      <c r="J50" s="13">
        <v>0.38263888888888886</v>
      </c>
      <c r="K50" s="18"/>
      <c r="L50" s="11">
        <v>556.0</v>
      </c>
      <c r="M50" s="67">
        <v>76.0</v>
      </c>
      <c r="N50" s="12">
        <v>0.47430555555555554</v>
      </c>
      <c r="O50" s="13">
        <v>0.47638888888888886</v>
      </c>
      <c r="Q50" s="67">
        <v>556.0</v>
      </c>
      <c r="R50" s="67">
        <v>80.0</v>
      </c>
      <c r="S50" s="79">
        <v>0.05</v>
      </c>
      <c r="T50" s="79">
        <v>0.052083333333333336</v>
      </c>
      <c r="V50" s="67">
        <v>556.0</v>
      </c>
      <c r="W50" s="67">
        <v>92.0</v>
      </c>
      <c r="X50" s="79">
        <v>0.1284722222222222</v>
      </c>
      <c r="Y50" s="79">
        <v>0.13055555555555556</v>
      </c>
      <c r="AA50" s="67">
        <v>556.0</v>
      </c>
      <c r="AB50" s="67">
        <v>101.0</v>
      </c>
      <c r="AC50" s="79">
        <v>0.19305555555555556</v>
      </c>
      <c r="AD50" s="79">
        <v>0.20555555555555555</v>
      </c>
      <c r="AF50" s="67">
        <f t="shared" si="1"/>
        <v>0</v>
      </c>
    </row>
    <row r="51" ht="15.75" customHeight="1">
      <c r="A51" s="47">
        <v>557.0</v>
      </c>
      <c r="B51" s="11">
        <v>142.0</v>
      </c>
      <c r="C51" s="12">
        <v>0.27152777777777776</v>
      </c>
      <c r="D51" s="13">
        <v>0.2722222222222222</v>
      </c>
      <c r="E51" s="64">
        <v>158.0</v>
      </c>
      <c r="F51" s="65">
        <v>0.33819444444444446</v>
      </c>
      <c r="G51" s="66">
        <v>0.33819444444444446</v>
      </c>
      <c r="H51" s="11">
        <v>166.0</v>
      </c>
      <c r="I51" s="12">
        <v>0.42083333333333334</v>
      </c>
      <c r="J51" s="38" t="s">
        <v>178</v>
      </c>
      <c r="K51" s="18"/>
      <c r="AF51" s="67">
        <f t="shared" si="1"/>
        <v>557</v>
      </c>
    </row>
    <row r="52" ht="15.75" customHeight="1">
      <c r="A52" s="47">
        <v>558.0</v>
      </c>
      <c r="B52" s="11">
        <v>156.0</v>
      </c>
      <c r="C52" s="12">
        <v>0.2743055555555556</v>
      </c>
      <c r="D52" s="13">
        <v>0.275</v>
      </c>
      <c r="E52" s="64">
        <v>171.0</v>
      </c>
      <c r="F52" s="65">
        <v>0.3388888888888889</v>
      </c>
      <c r="G52" s="66">
        <v>0.3388888888888889</v>
      </c>
      <c r="H52" s="11">
        <v>184.0</v>
      </c>
      <c r="I52" s="12">
        <v>0.42777777777777776</v>
      </c>
      <c r="J52" s="13">
        <v>0.43333333333333335</v>
      </c>
      <c r="K52" s="18"/>
      <c r="L52" s="11">
        <v>558.0</v>
      </c>
      <c r="M52" s="67">
        <v>177.0</v>
      </c>
      <c r="N52" s="12">
        <v>0.5368055555555555</v>
      </c>
      <c r="O52" s="13">
        <v>0.04236111111111111</v>
      </c>
      <c r="Q52" s="67">
        <v>558.0</v>
      </c>
      <c r="R52" s="67">
        <v>180.0</v>
      </c>
      <c r="S52" s="79">
        <v>0.12152777777777778</v>
      </c>
      <c r="T52" s="79">
        <v>0.12361111111111112</v>
      </c>
      <c r="V52" s="67">
        <v>558.0</v>
      </c>
      <c r="W52" s="67">
        <v>180.0</v>
      </c>
      <c r="X52" s="79">
        <v>0.2111111111111111</v>
      </c>
      <c r="Y52" s="79">
        <v>0.21319444444444444</v>
      </c>
      <c r="AA52" s="67">
        <v>558.0</v>
      </c>
      <c r="AB52" s="67">
        <v>174.0</v>
      </c>
      <c r="AC52" s="79">
        <v>0.2673611111111111</v>
      </c>
      <c r="AD52" s="67" t="s">
        <v>178</v>
      </c>
      <c r="AF52" s="67">
        <f t="shared" si="1"/>
        <v>0</v>
      </c>
    </row>
    <row r="53" ht="15.75" customHeight="1">
      <c r="A53" s="47">
        <v>559.0</v>
      </c>
      <c r="B53" s="11">
        <v>176.0</v>
      </c>
      <c r="C53" s="12">
        <v>0.275</v>
      </c>
      <c r="D53" s="13">
        <v>0.27569444444444446</v>
      </c>
      <c r="E53" s="64">
        <v>139.0</v>
      </c>
      <c r="F53" s="65">
        <v>0.33402777777777776</v>
      </c>
      <c r="G53" s="66">
        <v>0.33402777777777776</v>
      </c>
      <c r="H53" s="11">
        <v>112.0</v>
      </c>
      <c r="I53" s="12">
        <v>0.40069444444444446</v>
      </c>
      <c r="J53" s="13">
        <v>0.41180555555555554</v>
      </c>
      <c r="K53" s="18"/>
      <c r="L53" s="11">
        <v>559.0</v>
      </c>
      <c r="M53" s="67">
        <v>108.0</v>
      </c>
      <c r="N53" s="12">
        <v>0.49444444444444446</v>
      </c>
      <c r="O53" s="13">
        <v>0.4986111111111111</v>
      </c>
      <c r="Q53" s="67">
        <v>559.0</v>
      </c>
      <c r="R53" s="67">
        <v>108.0</v>
      </c>
      <c r="S53" s="79">
        <v>0.06944444444444445</v>
      </c>
      <c r="T53" s="79">
        <v>0.07361111111111111</v>
      </c>
      <c r="V53" s="67">
        <v>559.0</v>
      </c>
      <c r="W53" s="67">
        <v>102.0</v>
      </c>
      <c r="X53" s="79">
        <v>0.1375</v>
      </c>
      <c r="Y53" s="79">
        <v>0.14166666666666666</v>
      </c>
      <c r="AA53" s="67">
        <v>559.0</v>
      </c>
      <c r="AB53" s="67">
        <v>98.0</v>
      </c>
      <c r="AC53" s="79">
        <v>0.18611111111111112</v>
      </c>
      <c r="AD53" s="79">
        <v>0.19652777777777777</v>
      </c>
      <c r="AF53" s="67">
        <f t="shared" si="1"/>
        <v>0</v>
      </c>
    </row>
    <row r="54" ht="15.75" customHeight="1">
      <c r="A54" s="47">
        <v>561.0</v>
      </c>
      <c r="B54" s="11">
        <v>36.0</v>
      </c>
      <c r="C54" s="12">
        <v>0.2604166666666667</v>
      </c>
      <c r="D54" s="13">
        <v>0.26180555555555557</v>
      </c>
      <c r="E54" s="64">
        <v>36.0</v>
      </c>
      <c r="F54" s="65">
        <v>0.31180555555555556</v>
      </c>
      <c r="G54" s="66">
        <v>0.31180555555555556</v>
      </c>
      <c r="H54" s="11">
        <v>38.0</v>
      </c>
      <c r="I54" s="12">
        <v>0.3715277777777778</v>
      </c>
      <c r="J54" s="13">
        <v>0.3770833333333333</v>
      </c>
      <c r="K54" s="18"/>
      <c r="L54" s="11">
        <v>561.0</v>
      </c>
      <c r="M54" s="67">
        <v>31.0</v>
      </c>
      <c r="N54" s="12">
        <v>0.44583333333333336</v>
      </c>
      <c r="O54" s="13">
        <v>0.44722222222222224</v>
      </c>
      <c r="Q54" s="67">
        <v>561.0</v>
      </c>
      <c r="R54" s="67">
        <v>31.0</v>
      </c>
      <c r="S54" s="79">
        <v>0.5034722222222222</v>
      </c>
      <c r="T54" s="79">
        <v>0.5048611111111111</v>
      </c>
      <c r="V54" s="67">
        <v>561.0</v>
      </c>
      <c r="W54" s="67">
        <v>29.0</v>
      </c>
      <c r="X54" s="79">
        <v>0.06388888888888888</v>
      </c>
      <c r="Y54" s="79">
        <v>0.06597222222222222</v>
      </c>
      <c r="AA54" s="67">
        <v>561.0</v>
      </c>
      <c r="AB54" s="67">
        <v>31.0</v>
      </c>
      <c r="AC54" s="79">
        <v>0.10625</v>
      </c>
      <c r="AD54" s="79">
        <v>0.11041666666666666</v>
      </c>
      <c r="AF54" s="67">
        <f t="shared" si="1"/>
        <v>0</v>
      </c>
    </row>
    <row r="55" ht="15.75" customHeight="1">
      <c r="A55" s="47">
        <v>562.0</v>
      </c>
      <c r="B55" s="11">
        <v>42.0</v>
      </c>
      <c r="C55" s="12">
        <v>0.2604166666666667</v>
      </c>
      <c r="D55" s="13">
        <v>0.26180555555555557</v>
      </c>
      <c r="E55" s="64">
        <v>40.0</v>
      </c>
      <c r="F55" s="65">
        <v>0.31319444444444444</v>
      </c>
      <c r="G55" s="66">
        <v>0.31319444444444444</v>
      </c>
      <c r="H55" s="11">
        <v>49.0</v>
      </c>
      <c r="I55" s="12">
        <v>0.375</v>
      </c>
      <c r="J55" s="13">
        <v>0.3819444444444444</v>
      </c>
      <c r="K55" s="18"/>
      <c r="L55" s="11">
        <v>562.0</v>
      </c>
      <c r="M55" s="67">
        <v>46.0</v>
      </c>
      <c r="N55" s="12">
        <v>0.45416666666666666</v>
      </c>
      <c r="O55" s="13">
        <v>0.45555555555555555</v>
      </c>
      <c r="Q55" s="67">
        <v>562.0</v>
      </c>
      <c r="R55" s="67">
        <v>46.0</v>
      </c>
      <c r="S55" s="79">
        <v>0.5131944444444444</v>
      </c>
      <c r="T55" s="79">
        <v>0.5201388888888889</v>
      </c>
      <c r="V55" s="67">
        <v>562.0</v>
      </c>
      <c r="W55" s="67">
        <v>45.0</v>
      </c>
      <c r="X55" s="79">
        <v>0.07847222222222222</v>
      </c>
      <c r="Y55" s="79">
        <v>0.08055555555555556</v>
      </c>
      <c r="AA55" s="67">
        <v>562.0</v>
      </c>
      <c r="AB55" s="67">
        <v>44.0</v>
      </c>
      <c r="AC55" s="79">
        <v>0.12083333333333333</v>
      </c>
      <c r="AD55" s="79">
        <v>0.12777777777777777</v>
      </c>
      <c r="AF55" s="67">
        <f t="shared" si="1"/>
        <v>0</v>
      </c>
    </row>
    <row r="56" ht="15.75" customHeight="1">
      <c r="A56" s="47">
        <v>563.0</v>
      </c>
      <c r="B56" s="11">
        <v>7.0</v>
      </c>
      <c r="C56" s="12">
        <v>0.2520833333333333</v>
      </c>
      <c r="D56" s="13">
        <v>0.25277777777777777</v>
      </c>
      <c r="E56" s="64">
        <v>4.0</v>
      </c>
      <c r="F56" s="65">
        <v>0.2923611111111111</v>
      </c>
      <c r="G56" s="66">
        <v>0.2923611111111111</v>
      </c>
      <c r="H56" s="11">
        <v>7.0</v>
      </c>
      <c r="I56" s="12">
        <v>0.3458333333333333</v>
      </c>
      <c r="J56" s="13">
        <v>0.34791666666666665</v>
      </c>
      <c r="K56" s="18"/>
      <c r="L56" s="11">
        <v>563.0</v>
      </c>
      <c r="M56" s="67">
        <v>6.0</v>
      </c>
      <c r="N56" s="12">
        <v>0.41597222222222224</v>
      </c>
      <c r="O56" s="13">
        <v>0.4166666666666667</v>
      </c>
      <c r="Q56" s="67">
        <v>563.0</v>
      </c>
      <c r="R56" s="67">
        <v>6.0</v>
      </c>
      <c r="S56" s="79">
        <v>0.4708333333333333</v>
      </c>
      <c r="T56" s="79">
        <v>0.4722222222222222</v>
      </c>
      <c r="V56" s="67">
        <v>563.0</v>
      </c>
      <c r="W56" s="67">
        <v>5.0</v>
      </c>
      <c r="X56" s="79">
        <v>0.5180555555555556</v>
      </c>
      <c r="Y56" s="79">
        <v>0.5194444444444445</v>
      </c>
      <c r="AA56" s="67">
        <v>563.0</v>
      </c>
      <c r="AB56" s="67">
        <v>6.0</v>
      </c>
      <c r="AC56" s="79">
        <v>0.05277777777777778</v>
      </c>
      <c r="AD56" s="81"/>
      <c r="AF56" s="67">
        <f t="shared" si="1"/>
        <v>0</v>
      </c>
    </row>
    <row r="57" ht="15.75" customHeight="1">
      <c r="A57" s="47">
        <v>564.0</v>
      </c>
      <c r="B57" s="11">
        <v>61.0</v>
      </c>
      <c r="C57" s="12">
        <v>0.26319444444444445</v>
      </c>
      <c r="D57" s="13">
        <v>0.2638888888888889</v>
      </c>
      <c r="E57" s="64">
        <v>47.0</v>
      </c>
      <c r="F57" s="65">
        <v>0.3138888888888889</v>
      </c>
      <c r="G57" s="66">
        <v>0.3138888888888889</v>
      </c>
      <c r="H57" s="11">
        <v>51.0</v>
      </c>
      <c r="I57" s="12">
        <v>0.3763888888888889</v>
      </c>
      <c r="J57" s="13">
        <v>0.38055555555555554</v>
      </c>
      <c r="K57" s="18"/>
      <c r="L57" s="11">
        <v>564.0</v>
      </c>
      <c r="M57" s="67">
        <v>47.0</v>
      </c>
      <c r="N57" s="12">
        <v>0.45555555555555555</v>
      </c>
      <c r="O57" s="13">
        <v>0.4576388888888889</v>
      </c>
      <c r="Q57" s="67">
        <v>564.0</v>
      </c>
      <c r="R57" s="67">
        <v>48.0</v>
      </c>
      <c r="S57" s="79">
        <v>0.5194444444444445</v>
      </c>
      <c r="T57" s="79">
        <v>0.5243055555555556</v>
      </c>
      <c r="V57" s="67">
        <v>564.0</v>
      </c>
      <c r="W57" s="67">
        <v>48.0</v>
      </c>
      <c r="X57" s="79">
        <v>0.08472222222222223</v>
      </c>
      <c r="Y57" s="79">
        <v>0.0875</v>
      </c>
      <c r="AA57" s="67">
        <v>564.0</v>
      </c>
      <c r="AB57" s="67">
        <v>59.0</v>
      </c>
      <c r="AC57" s="79">
        <v>0.1423611111111111</v>
      </c>
      <c r="AD57" s="79">
        <v>0.15138888888888888</v>
      </c>
      <c r="AF57" s="67">
        <f t="shared" si="1"/>
        <v>0</v>
      </c>
    </row>
    <row r="58" ht="15.75" customHeight="1">
      <c r="A58" s="47">
        <v>565.0</v>
      </c>
      <c r="B58" s="11"/>
      <c r="C58" s="12"/>
      <c r="D58" s="13"/>
      <c r="E58" s="64"/>
      <c r="F58" s="65"/>
      <c r="G58" s="66"/>
      <c r="H58" s="11">
        <v>12.0</v>
      </c>
      <c r="I58" s="18" t="s">
        <v>105</v>
      </c>
      <c r="J58" s="13">
        <v>0.3541666666666667</v>
      </c>
      <c r="L58" s="11">
        <v>565.0</v>
      </c>
      <c r="M58" s="67">
        <v>11.0</v>
      </c>
      <c r="N58" s="12">
        <v>0.42083333333333334</v>
      </c>
      <c r="O58" s="13">
        <v>0.42291666666666666</v>
      </c>
      <c r="Q58" s="67">
        <v>565.0</v>
      </c>
      <c r="R58" s="67">
        <v>10.0</v>
      </c>
      <c r="S58" s="79">
        <v>0.475</v>
      </c>
      <c r="T58" s="79">
        <v>0.4777777777777778</v>
      </c>
      <c r="V58" s="67">
        <v>565.0</v>
      </c>
      <c r="W58" s="67">
        <v>9.0</v>
      </c>
      <c r="X58" s="79">
        <v>0.5305555555555556</v>
      </c>
      <c r="Y58" s="79">
        <v>0.5333333333333333</v>
      </c>
      <c r="AA58" s="67">
        <v>565.0</v>
      </c>
      <c r="AB58" s="67">
        <v>11.0</v>
      </c>
      <c r="AC58" s="79">
        <v>0.07430555555555556</v>
      </c>
      <c r="AD58" s="79">
        <v>0.08680555555555555</v>
      </c>
      <c r="AF58" s="67">
        <f t="shared" si="1"/>
        <v>0</v>
      </c>
    </row>
    <row r="59" ht="15.75" customHeight="1">
      <c r="A59" s="47">
        <v>566.0</v>
      </c>
      <c r="B59" s="11">
        <v>20.0</v>
      </c>
      <c r="C59" s="12">
        <v>0.25763888888888886</v>
      </c>
      <c r="D59" s="13">
        <v>0.25833333333333336</v>
      </c>
      <c r="E59" s="64">
        <v>16.0</v>
      </c>
      <c r="F59" s="65">
        <v>0.3020833333333333</v>
      </c>
      <c r="G59" s="66">
        <v>0.3020833333333333</v>
      </c>
      <c r="H59" s="11">
        <v>75.0</v>
      </c>
      <c r="I59" s="12">
        <v>0.38819444444444445</v>
      </c>
      <c r="J59" s="13">
        <v>0.39305555555555555</v>
      </c>
      <c r="K59" s="18"/>
      <c r="L59" s="11">
        <v>566.0</v>
      </c>
      <c r="M59" s="67">
        <v>99.0</v>
      </c>
      <c r="N59" s="12">
        <v>0.48819444444444443</v>
      </c>
      <c r="O59" s="13">
        <v>0.4909722222222222</v>
      </c>
      <c r="Q59" s="67">
        <v>566.0</v>
      </c>
      <c r="R59" s="67">
        <v>104.0</v>
      </c>
      <c r="S59" s="79">
        <v>0.06805555555555555</v>
      </c>
      <c r="T59" s="79">
        <v>0.07430555555555556</v>
      </c>
      <c r="V59" s="67">
        <v>566.0</v>
      </c>
      <c r="W59" s="67">
        <v>115.0</v>
      </c>
      <c r="X59" s="79">
        <v>0.15</v>
      </c>
      <c r="Y59" s="79">
        <v>0.15208333333333332</v>
      </c>
      <c r="AA59" s="67">
        <v>566.0</v>
      </c>
      <c r="AB59" s="67">
        <v>115.0</v>
      </c>
      <c r="AC59" s="79">
        <v>0.20625</v>
      </c>
      <c r="AD59" s="79">
        <v>0.2152777777777778</v>
      </c>
      <c r="AF59" s="67">
        <f t="shared" si="1"/>
        <v>0</v>
      </c>
    </row>
    <row r="60" ht="15.75" customHeight="1">
      <c r="A60" s="47">
        <v>566.0</v>
      </c>
      <c r="B60" s="11">
        <v>58.0</v>
      </c>
      <c r="C60" s="12">
        <v>0.26319444444444445</v>
      </c>
      <c r="D60" s="13">
        <v>0.2638888888888889</v>
      </c>
      <c r="E60" s="64">
        <v>62.0</v>
      </c>
      <c r="F60" s="65">
        <v>0.3173611111111111</v>
      </c>
      <c r="G60" s="66">
        <v>0.3173611111111111</v>
      </c>
      <c r="H60" s="11"/>
      <c r="I60" s="18"/>
      <c r="J60" s="38"/>
      <c r="K60" s="18"/>
      <c r="AF60" s="67">
        <f t="shared" si="1"/>
        <v>566</v>
      </c>
    </row>
    <row r="61" ht="15.75" customHeight="1">
      <c r="A61" s="47">
        <v>567.0</v>
      </c>
      <c r="B61" s="11">
        <v>4.0</v>
      </c>
      <c r="C61" s="12">
        <v>0.2513888888888889</v>
      </c>
      <c r="D61" s="13">
        <v>0.2520833333333333</v>
      </c>
      <c r="E61" s="64">
        <v>2.0</v>
      </c>
      <c r="F61" s="65">
        <v>0.2923611111111111</v>
      </c>
      <c r="G61" s="66">
        <v>0.29305555555555557</v>
      </c>
      <c r="H61" s="11">
        <v>5.0</v>
      </c>
      <c r="I61" s="12">
        <v>0.34375</v>
      </c>
      <c r="J61" s="13">
        <v>0.3451388888888889</v>
      </c>
      <c r="K61" s="18"/>
      <c r="L61" s="11">
        <v>567.0</v>
      </c>
      <c r="M61" s="67">
        <v>12.0</v>
      </c>
      <c r="N61" s="12">
        <v>0.42430555555555555</v>
      </c>
      <c r="O61" s="13">
        <v>0.42569444444444443</v>
      </c>
      <c r="Q61" s="67">
        <v>567.0</v>
      </c>
      <c r="R61" s="67">
        <v>18.0</v>
      </c>
      <c r="S61" s="79">
        <v>0.49444444444444446</v>
      </c>
      <c r="T61" s="79">
        <v>0.49722222222222223</v>
      </c>
      <c r="V61" s="67">
        <v>567.0</v>
      </c>
      <c r="W61" s="67">
        <v>17.0</v>
      </c>
      <c r="X61" s="79">
        <v>0.05</v>
      </c>
      <c r="Y61" s="79">
        <v>0.052083333333333336</v>
      </c>
      <c r="AA61" s="67">
        <v>567.0</v>
      </c>
      <c r="AB61" s="67">
        <v>21.0</v>
      </c>
      <c r="AC61" s="79">
        <v>0.09652777777777778</v>
      </c>
      <c r="AD61" s="79">
        <v>0.10277777777777777</v>
      </c>
      <c r="AF61" s="67">
        <f t="shared" si="1"/>
        <v>0</v>
      </c>
    </row>
    <row r="62" ht="15.75" customHeight="1">
      <c r="A62" s="47">
        <v>568.0</v>
      </c>
      <c r="B62" s="11">
        <v>30.0</v>
      </c>
      <c r="C62" s="12">
        <v>0.25972222222222224</v>
      </c>
      <c r="D62" s="13">
        <v>0.2604166666666667</v>
      </c>
      <c r="E62" s="64">
        <v>58.0</v>
      </c>
      <c r="F62" s="65">
        <v>0.3145833333333333</v>
      </c>
      <c r="G62" s="66">
        <v>0.3145833333333333</v>
      </c>
      <c r="H62" s="11">
        <v>54.0</v>
      </c>
      <c r="I62" s="12">
        <v>0.3763888888888889</v>
      </c>
      <c r="J62" s="13">
        <v>0.38263888888888886</v>
      </c>
      <c r="K62" s="18"/>
      <c r="L62" s="11">
        <v>568.0</v>
      </c>
      <c r="M62" s="67">
        <v>56.0</v>
      </c>
      <c r="N62" s="12">
        <v>0.4618055555555556</v>
      </c>
      <c r="O62" s="13">
        <v>0.4638888888888889</v>
      </c>
      <c r="Q62" s="67">
        <v>568.0</v>
      </c>
      <c r="R62" s="67">
        <v>57.0</v>
      </c>
      <c r="S62" s="79">
        <v>0.5277777777777778</v>
      </c>
      <c r="T62" s="79">
        <v>0.5340277777777778</v>
      </c>
      <c r="V62" s="67">
        <v>568.0</v>
      </c>
      <c r="W62" s="67">
        <v>59.0</v>
      </c>
      <c r="X62" s="79">
        <v>0.09583333333333334</v>
      </c>
      <c r="Y62" s="79">
        <v>0.10069444444444445</v>
      </c>
      <c r="AA62" s="67">
        <v>568.0</v>
      </c>
      <c r="AB62" s="67">
        <v>60.0</v>
      </c>
      <c r="AC62" s="79">
        <v>0.1451388888888889</v>
      </c>
      <c r="AD62" s="79">
        <v>0.15625</v>
      </c>
      <c r="AF62" s="67">
        <f t="shared" si="1"/>
        <v>0</v>
      </c>
    </row>
    <row r="63" ht="15.75" customHeight="1">
      <c r="A63" s="47">
        <v>569.0</v>
      </c>
      <c r="B63" s="11">
        <v>85.0</v>
      </c>
      <c r="C63" s="12">
        <v>0.2659722222222222</v>
      </c>
      <c r="D63" s="13">
        <v>0.26666666666666666</v>
      </c>
      <c r="E63" s="64">
        <v>80.0</v>
      </c>
      <c r="F63" s="65">
        <v>0.3215277777777778</v>
      </c>
      <c r="G63" s="66">
        <v>0.3215277777777778</v>
      </c>
      <c r="H63" s="11">
        <v>74.0</v>
      </c>
      <c r="I63" s="12">
        <v>0.3875</v>
      </c>
      <c r="J63" s="13">
        <v>0.3909722222222222</v>
      </c>
      <c r="K63" s="18"/>
      <c r="L63" s="11">
        <v>569.0</v>
      </c>
      <c r="M63" s="67">
        <v>71.0</v>
      </c>
      <c r="N63" s="12">
        <v>0.47291666666666665</v>
      </c>
      <c r="O63" s="13">
        <v>0.475</v>
      </c>
      <c r="Q63" s="67">
        <v>569.0</v>
      </c>
      <c r="R63" s="67">
        <v>67.0</v>
      </c>
      <c r="S63" s="79">
        <v>0.5402777777777777</v>
      </c>
      <c r="T63" s="79">
        <v>0.04513888888888889</v>
      </c>
      <c r="V63" s="67">
        <v>569.0</v>
      </c>
      <c r="W63" s="67">
        <v>72.0</v>
      </c>
      <c r="X63" s="79">
        <v>0.10972222222222222</v>
      </c>
      <c r="Y63" s="79">
        <v>0.11180555555555556</v>
      </c>
      <c r="AA63" s="67">
        <v>569.0</v>
      </c>
      <c r="AB63" s="67">
        <v>74.0</v>
      </c>
      <c r="AC63" s="79">
        <v>0.16458333333333333</v>
      </c>
      <c r="AD63" s="79">
        <v>0.1736111111111111</v>
      </c>
      <c r="AF63" s="67">
        <f t="shared" si="1"/>
        <v>0</v>
      </c>
    </row>
    <row r="64" ht="15.75" customHeight="1">
      <c r="A64" s="47">
        <v>570.0</v>
      </c>
      <c r="B64" s="11">
        <v>147.0</v>
      </c>
      <c r="C64" s="12">
        <v>0.27152777777777776</v>
      </c>
      <c r="D64" s="13">
        <v>0.2722222222222222</v>
      </c>
      <c r="E64" s="64">
        <v>148.0</v>
      </c>
      <c r="F64" s="65">
        <v>0.3368055555555556</v>
      </c>
      <c r="G64" s="66">
        <v>0.3368055555555556</v>
      </c>
      <c r="H64" s="11">
        <v>144.0</v>
      </c>
      <c r="I64" s="12">
        <v>0.41180555555555554</v>
      </c>
      <c r="J64" s="13">
        <v>0.41875</v>
      </c>
      <c r="K64" s="18"/>
      <c r="L64" s="11">
        <v>570.0</v>
      </c>
      <c r="M64" s="67">
        <v>139.0</v>
      </c>
      <c r="N64" s="12">
        <v>0.50625</v>
      </c>
      <c r="O64" s="13">
        <v>0.5125</v>
      </c>
      <c r="Q64" s="67">
        <v>570.0</v>
      </c>
      <c r="R64" s="67">
        <v>140.0</v>
      </c>
      <c r="S64" s="79">
        <v>0.08680555555555555</v>
      </c>
      <c r="T64" s="79">
        <v>0.09027777777777778</v>
      </c>
      <c r="V64" s="67">
        <v>570.0</v>
      </c>
      <c r="W64" s="67">
        <v>129.0</v>
      </c>
      <c r="X64" s="79">
        <v>0.15763888888888888</v>
      </c>
      <c r="Y64" s="79">
        <v>0.1625</v>
      </c>
      <c r="AA64" s="67">
        <v>570.0</v>
      </c>
      <c r="AB64" s="67">
        <v>122.0</v>
      </c>
      <c r="AC64" s="79">
        <v>0.21041666666666667</v>
      </c>
      <c r="AD64" s="79">
        <v>0.21944444444444444</v>
      </c>
      <c r="AF64" s="67">
        <f t="shared" si="1"/>
        <v>0</v>
      </c>
    </row>
    <row r="65" ht="15.75" customHeight="1">
      <c r="A65" s="47">
        <v>571.0</v>
      </c>
      <c r="B65" s="11">
        <v>50.0</v>
      </c>
      <c r="C65" s="12">
        <v>0.26180555555555557</v>
      </c>
      <c r="D65" s="13">
        <v>0.2625</v>
      </c>
      <c r="E65" s="64">
        <v>55.0</v>
      </c>
      <c r="F65" s="65">
        <v>0.3145833333333333</v>
      </c>
      <c r="G65" s="66">
        <v>0.3145833333333333</v>
      </c>
      <c r="H65" s="11">
        <v>61.0</v>
      </c>
      <c r="I65" s="12">
        <v>0.38263888888888886</v>
      </c>
      <c r="J65" s="13">
        <v>0.3888888888888889</v>
      </c>
      <c r="K65" s="18"/>
      <c r="L65" s="11">
        <v>571.0</v>
      </c>
      <c r="M65" s="67">
        <v>77.0</v>
      </c>
      <c r="N65" s="12">
        <v>0.475</v>
      </c>
      <c r="O65" s="13">
        <v>0.4791666666666667</v>
      </c>
      <c r="Q65" s="67">
        <v>571.0</v>
      </c>
      <c r="R65" s="67">
        <v>82.0</v>
      </c>
      <c r="S65" s="79">
        <v>0.05</v>
      </c>
      <c r="T65" s="79">
        <v>0.05347222222222222</v>
      </c>
      <c r="V65" s="67">
        <v>571.0</v>
      </c>
      <c r="W65" s="67">
        <v>83.0</v>
      </c>
      <c r="X65" s="79">
        <v>0.12291666666666666</v>
      </c>
      <c r="Y65" s="79">
        <v>0.12430555555555556</v>
      </c>
      <c r="AA65" s="67">
        <v>571.0</v>
      </c>
      <c r="AB65" s="67">
        <v>80.0</v>
      </c>
      <c r="AC65" s="79">
        <v>0.16944444444444445</v>
      </c>
      <c r="AD65" s="79">
        <v>0.2</v>
      </c>
      <c r="AF65" s="67">
        <f t="shared" si="1"/>
        <v>0</v>
      </c>
    </row>
    <row r="66" ht="15.75" customHeight="1">
      <c r="A66" s="47">
        <v>572.0</v>
      </c>
      <c r="B66" s="11">
        <v>80.0</v>
      </c>
      <c r="C66" s="12">
        <v>0.2659722222222222</v>
      </c>
      <c r="D66" s="13">
        <v>0.26666666666666666</v>
      </c>
      <c r="E66" s="64">
        <v>87.0</v>
      </c>
      <c r="F66" s="65">
        <v>0.32430555555555557</v>
      </c>
      <c r="G66" s="66">
        <v>0.32430555555555557</v>
      </c>
      <c r="H66" s="11">
        <v>123.0</v>
      </c>
      <c r="I66" s="12">
        <v>0.4041666666666667</v>
      </c>
      <c r="J66" s="38" t="s">
        <v>178</v>
      </c>
      <c r="K66" s="18"/>
      <c r="AF66" s="67">
        <f t="shared" si="1"/>
        <v>572</v>
      </c>
    </row>
    <row r="67" ht="15.75" customHeight="1">
      <c r="A67" s="47">
        <v>574.0</v>
      </c>
      <c r="B67" s="11">
        <v>111.0</v>
      </c>
      <c r="C67" s="12">
        <v>0.26944444444444443</v>
      </c>
      <c r="D67" s="13">
        <v>0.2701388888888889</v>
      </c>
      <c r="E67" s="64">
        <v>120.0</v>
      </c>
      <c r="F67" s="65">
        <v>0.33055555555555555</v>
      </c>
      <c r="G67" s="66">
        <v>0.33055555555555555</v>
      </c>
      <c r="H67" s="11">
        <v>159.0</v>
      </c>
      <c r="I67" s="12">
        <v>0.41458333333333336</v>
      </c>
      <c r="J67" s="13">
        <v>0.4215277777777778</v>
      </c>
      <c r="K67" s="18"/>
      <c r="L67" s="11">
        <v>574.0</v>
      </c>
      <c r="M67" s="67">
        <v>173.0</v>
      </c>
      <c r="N67" s="12">
        <v>0.5326388888888889</v>
      </c>
      <c r="O67" s="13">
        <v>0.5381944444444444</v>
      </c>
      <c r="Q67" s="67">
        <v>574.0</v>
      </c>
      <c r="R67" s="67">
        <v>182.0</v>
      </c>
      <c r="S67" s="79">
        <v>0.12430555555555556</v>
      </c>
      <c r="T67" s="79">
        <v>0.13055555555555556</v>
      </c>
      <c r="V67" s="67">
        <v>574.0</v>
      </c>
      <c r="W67" s="67">
        <v>176.0</v>
      </c>
      <c r="X67" s="79">
        <v>0.20833333333333334</v>
      </c>
      <c r="Y67" s="79">
        <v>0.21319444444444444</v>
      </c>
      <c r="AA67" s="67">
        <v>574.0</v>
      </c>
      <c r="AB67" s="67">
        <v>175.0</v>
      </c>
      <c r="AC67" s="79">
        <v>0.26875</v>
      </c>
      <c r="AD67" s="67" t="s">
        <v>178</v>
      </c>
      <c r="AF67" s="67">
        <f t="shared" si="1"/>
        <v>0</v>
      </c>
    </row>
    <row r="68" ht="15.75" customHeight="1">
      <c r="A68" s="47">
        <v>575.0</v>
      </c>
      <c r="B68" s="11">
        <v>91.0</v>
      </c>
      <c r="C68" s="12">
        <v>0.2673611111111111</v>
      </c>
      <c r="D68" s="13">
        <v>0.26805555555555555</v>
      </c>
      <c r="E68" s="64">
        <v>98.0</v>
      </c>
      <c r="F68" s="65">
        <v>0.32569444444444445</v>
      </c>
      <c r="G68" s="66">
        <v>0.32569444444444445</v>
      </c>
      <c r="H68" s="11">
        <v>100.0</v>
      </c>
      <c r="I68" s="12">
        <v>0.39652777777777776</v>
      </c>
      <c r="J68" s="13">
        <v>0.4</v>
      </c>
      <c r="K68" s="18"/>
      <c r="L68" s="11">
        <v>575.0</v>
      </c>
      <c r="M68" s="67">
        <v>92.0</v>
      </c>
      <c r="N68" s="12">
        <v>0.4840277777777778</v>
      </c>
      <c r="O68" s="13">
        <v>0.48819444444444443</v>
      </c>
      <c r="Q68" s="67">
        <v>575.0</v>
      </c>
      <c r="R68" s="67">
        <v>94.0</v>
      </c>
      <c r="S68" s="79">
        <v>0.05694444444444444</v>
      </c>
      <c r="T68" s="79">
        <v>0.059027777777777776</v>
      </c>
      <c r="V68" s="67">
        <v>575.0</v>
      </c>
      <c r="W68" s="67">
        <v>96.0</v>
      </c>
      <c r="X68" s="79">
        <v>0.12986111111111112</v>
      </c>
      <c r="Y68" s="79">
        <v>0.13333333333333333</v>
      </c>
      <c r="AA68" s="67">
        <v>575.0</v>
      </c>
      <c r="AB68" s="67">
        <v>95.0</v>
      </c>
      <c r="AC68" s="79">
        <v>0.18125</v>
      </c>
      <c r="AD68" s="79">
        <v>0.1875</v>
      </c>
      <c r="AF68" s="67">
        <f t="shared" si="1"/>
        <v>0</v>
      </c>
    </row>
    <row r="69" ht="15.75" customHeight="1">
      <c r="A69" s="47">
        <v>576.0</v>
      </c>
      <c r="B69" s="11">
        <v>186.0</v>
      </c>
      <c r="C69" s="12">
        <v>0.2791666666666667</v>
      </c>
      <c r="D69" s="13">
        <v>0.2798611111111111</v>
      </c>
      <c r="E69" s="64">
        <v>184.0</v>
      </c>
      <c r="F69" s="65">
        <v>0.34444444444444444</v>
      </c>
      <c r="G69" s="66">
        <v>0.34444444444444444</v>
      </c>
      <c r="H69" s="11">
        <v>192.0</v>
      </c>
      <c r="I69" s="12">
        <v>0.44027777777777777</v>
      </c>
      <c r="J69" s="13">
        <v>0.44375</v>
      </c>
      <c r="K69" s="18"/>
      <c r="L69" s="11">
        <v>576.0</v>
      </c>
      <c r="M69" s="67">
        <v>189.0</v>
      </c>
      <c r="N69" s="12">
        <v>0.059722222222222225</v>
      </c>
      <c r="O69" s="13">
        <v>0.06388888888888888</v>
      </c>
      <c r="Q69" s="67">
        <v>576.0</v>
      </c>
      <c r="R69" s="67">
        <v>191.0</v>
      </c>
      <c r="S69" s="79">
        <v>0.1527777777777778</v>
      </c>
      <c r="T69" s="79">
        <v>0.15694444444444444</v>
      </c>
      <c r="V69" s="67">
        <v>576.0</v>
      </c>
      <c r="W69" s="67">
        <v>189.0</v>
      </c>
      <c r="X69" s="79">
        <v>0.24375</v>
      </c>
      <c r="Y69" s="79">
        <v>0.24791666666666667</v>
      </c>
      <c r="AA69" s="67">
        <v>576.0</v>
      </c>
      <c r="AB69" s="67">
        <v>190.0</v>
      </c>
      <c r="AC69" s="79">
        <v>0.3104166666666667</v>
      </c>
      <c r="AD69" s="79">
        <v>0.3298611111111111</v>
      </c>
      <c r="AF69" s="67">
        <f t="shared" si="1"/>
        <v>0</v>
      </c>
    </row>
    <row r="70" ht="15.75" customHeight="1">
      <c r="A70" s="47">
        <v>577.0</v>
      </c>
      <c r="B70" s="11">
        <v>117.0</v>
      </c>
      <c r="C70" s="12">
        <v>0.26944444444444443</v>
      </c>
      <c r="D70" s="13">
        <v>0.2701388888888889</v>
      </c>
      <c r="E70" s="64">
        <v>122.0</v>
      </c>
      <c r="F70" s="65">
        <v>0.33055555555555555</v>
      </c>
      <c r="G70" s="66">
        <v>0.33055555555555555</v>
      </c>
      <c r="H70" s="11">
        <v>134.0</v>
      </c>
      <c r="I70" s="12">
        <v>0.4083333333333333</v>
      </c>
      <c r="J70" s="13">
        <v>0.4111111111111111</v>
      </c>
      <c r="K70" s="18"/>
      <c r="L70" s="11">
        <v>577.0</v>
      </c>
      <c r="M70" s="67">
        <v>134.0</v>
      </c>
      <c r="N70" s="12">
        <v>0.5048611111111111</v>
      </c>
      <c r="O70" s="13">
        <v>0.5069444444444444</v>
      </c>
      <c r="Q70" s="67">
        <v>577.0</v>
      </c>
      <c r="R70" s="67">
        <v>128.0</v>
      </c>
      <c r="S70" s="79">
        <v>0.0798611111111111</v>
      </c>
      <c r="T70" s="79">
        <v>0.08263888888888889</v>
      </c>
      <c r="V70" s="67">
        <v>577.0</v>
      </c>
      <c r="W70" s="67">
        <v>127.0</v>
      </c>
      <c r="X70" s="79">
        <v>0.15625</v>
      </c>
      <c r="Y70" s="79">
        <v>0.15833333333333333</v>
      </c>
      <c r="AA70" s="67">
        <v>577.0</v>
      </c>
      <c r="AB70" s="67">
        <v>116.0</v>
      </c>
      <c r="AC70" s="79">
        <v>0.20625</v>
      </c>
      <c r="AD70" s="79">
        <v>0.21319444444444444</v>
      </c>
      <c r="AF70" s="67">
        <f t="shared" si="1"/>
        <v>0</v>
      </c>
    </row>
    <row r="71" ht="15.75" customHeight="1">
      <c r="A71" s="47">
        <v>578.0</v>
      </c>
      <c r="B71" s="11">
        <v>118.0</v>
      </c>
      <c r="C71" s="12">
        <v>0.26944444444444443</v>
      </c>
      <c r="D71" s="13">
        <v>0.2701388888888889</v>
      </c>
      <c r="E71" s="64">
        <v>102.0</v>
      </c>
      <c r="F71" s="65">
        <v>0.32569444444444445</v>
      </c>
      <c r="G71" s="66">
        <v>0.32569444444444445</v>
      </c>
      <c r="H71" s="11">
        <v>86.0</v>
      </c>
      <c r="I71" s="12">
        <v>0.3888888888888889</v>
      </c>
      <c r="J71" s="13">
        <v>0.3902777777777778</v>
      </c>
      <c r="K71" s="93"/>
      <c r="L71" s="11">
        <v>578.0</v>
      </c>
      <c r="M71" s="67">
        <v>60.0</v>
      </c>
      <c r="N71" s="12">
        <v>0.4638888888888889</v>
      </c>
      <c r="O71" s="13">
        <v>0.4673611111111111</v>
      </c>
      <c r="Q71" s="67">
        <v>578.0</v>
      </c>
      <c r="R71" s="67">
        <v>55.0</v>
      </c>
      <c r="S71" s="79">
        <v>0.5270833333333333</v>
      </c>
      <c r="T71" s="79">
        <v>0.5375</v>
      </c>
      <c r="V71" s="67">
        <v>578.0</v>
      </c>
      <c r="W71" s="67">
        <v>57.0</v>
      </c>
      <c r="X71" s="79">
        <v>0.09444444444444444</v>
      </c>
      <c r="Y71" s="79">
        <v>0.09722222222222222</v>
      </c>
      <c r="AA71" s="67">
        <v>578.0</v>
      </c>
      <c r="AB71" s="67">
        <v>56.0</v>
      </c>
      <c r="AC71" s="79">
        <v>0.14097222222222222</v>
      </c>
      <c r="AD71" s="79">
        <v>0.15555555555555556</v>
      </c>
      <c r="AF71" s="67">
        <f t="shared" si="1"/>
        <v>0</v>
      </c>
    </row>
    <row r="72" ht="15.75" customHeight="1">
      <c r="A72" s="47">
        <v>579.0</v>
      </c>
      <c r="B72" s="11">
        <v>197.0</v>
      </c>
      <c r="C72" s="12">
        <v>0.2826388888888889</v>
      </c>
      <c r="D72" s="13">
        <v>0.2833333333333333</v>
      </c>
      <c r="E72" s="64">
        <v>197.0</v>
      </c>
      <c r="F72" s="65">
        <v>0.3576388888888889</v>
      </c>
      <c r="G72" s="66">
        <v>0.3576388888888889</v>
      </c>
      <c r="H72" s="11">
        <v>200.0</v>
      </c>
      <c r="I72" s="12">
        <v>0.44930555555555557</v>
      </c>
      <c r="J72" s="13">
        <v>0.45208333333333334</v>
      </c>
      <c r="L72" s="11">
        <v>579.0</v>
      </c>
      <c r="M72" s="67">
        <v>192.0</v>
      </c>
      <c r="N72" s="12">
        <v>0.06805555555555555</v>
      </c>
      <c r="O72" s="13">
        <v>0.07013888888888889</v>
      </c>
      <c r="Q72" s="67">
        <v>579.0</v>
      </c>
      <c r="R72" s="67">
        <v>193.0</v>
      </c>
      <c r="S72" s="79">
        <v>0.15486111111111112</v>
      </c>
      <c r="T72" s="79">
        <v>0.15694444444444444</v>
      </c>
      <c r="V72" s="67">
        <v>579.0</v>
      </c>
      <c r="W72" s="67">
        <v>188.0</v>
      </c>
      <c r="X72" s="79">
        <v>0.23472222222222222</v>
      </c>
      <c r="Y72" s="79">
        <v>0.2361111111111111</v>
      </c>
      <c r="AA72" s="67">
        <v>579.0</v>
      </c>
      <c r="AB72" s="67">
        <v>184.0</v>
      </c>
      <c r="AC72" s="79">
        <v>0.2965277777777778</v>
      </c>
      <c r="AD72" s="79">
        <v>0.3020833333333333</v>
      </c>
      <c r="AF72" s="67">
        <f t="shared" si="1"/>
        <v>0</v>
      </c>
    </row>
    <row r="73" ht="15.75" customHeight="1">
      <c r="A73" s="47">
        <v>580.0</v>
      </c>
      <c r="B73" s="11">
        <v>120.0</v>
      </c>
      <c r="C73" s="12">
        <v>0.2701388888888889</v>
      </c>
      <c r="D73" s="13">
        <v>0.2708333333333333</v>
      </c>
      <c r="E73" s="64">
        <v>104.0</v>
      </c>
      <c r="F73" s="65">
        <v>0.32569444444444445</v>
      </c>
      <c r="G73" s="66">
        <v>0.32569444444444445</v>
      </c>
      <c r="H73" s="11">
        <v>116.0</v>
      </c>
      <c r="I73" s="12">
        <v>0.4013888888888889</v>
      </c>
      <c r="J73" s="13">
        <v>0.41180555555555554</v>
      </c>
      <c r="K73" s="18"/>
      <c r="L73" s="11">
        <v>580.0</v>
      </c>
      <c r="M73" s="67">
        <v>122.0</v>
      </c>
      <c r="N73" s="12">
        <v>0.5013888888888889</v>
      </c>
      <c r="O73" s="13">
        <v>0.50625</v>
      </c>
      <c r="Q73" s="67">
        <v>580.0</v>
      </c>
      <c r="R73" s="67">
        <v>131.0</v>
      </c>
      <c r="S73" s="79">
        <v>0.08055555555555556</v>
      </c>
      <c r="T73" s="79">
        <v>0.08541666666666667</v>
      </c>
      <c r="V73" s="67">
        <v>580.0</v>
      </c>
      <c r="W73" s="67">
        <v>125.0</v>
      </c>
      <c r="X73" s="79">
        <v>0.15625</v>
      </c>
      <c r="Y73" s="79">
        <v>0.16041666666666668</v>
      </c>
      <c r="AA73" s="67">
        <v>580.0</v>
      </c>
      <c r="AB73" s="67">
        <v>119.0</v>
      </c>
      <c r="AC73" s="79">
        <v>0.20902777777777778</v>
      </c>
      <c r="AD73" s="79">
        <v>0.23194444444444445</v>
      </c>
      <c r="AF73" s="67">
        <f t="shared" si="1"/>
        <v>0</v>
      </c>
    </row>
    <row r="74" ht="15.75" customHeight="1">
      <c r="A74" s="47">
        <v>581.0</v>
      </c>
      <c r="B74" s="11">
        <v>104.0</v>
      </c>
      <c r="C74" s="12">
        <v>0.26875</v>
      </c>
      <c r="D74" s="13">
        <v>0.26944444444444443</v>
      </c>
      <c r="E74" s="64">
        <v>117.0</v>
      </c>
      <c r="F74" s="65">
        <v>0.3298611111111111</v>
      </c>
      <c r="G74" s="66">
        <v>0.3298611111111111</v>
      </c>
      <c r="H74" s="11">
        <v>107.0</v>
      </c>
      <c r="I74" s="12">
        <v>0.39861111111111114</v>
      </c>
      <c r="J74" s="13">
        <v>0.40208333333333335</v>
      </c>
      <c r="K74" s="18"/>
      <c r="L74" s="11">
        <v>581.0</v>
      </c>
      <c r="M74" s="67">
        <v>88.0</v>
      </c>
      <c r="N74" s="12">
        <v>0.48333333333333334</v>
      </c>
      <c r="O74" s="13">
        <v>0.4840277777777778</v>
      </c>
      <c r="Q74" s="67">
        <v>581.0</v>
      </c>
      <c r="R74" s="67">
        <v>85.0</v>
      </c>
      <c r="S74" s="79">
        <v>0.05347222222222222</v>
      </c>
      <c r="T74" s="79">
        <v>0.05625</v>
      </c>
      <c r="V74" s="67">
        <v>581.0</v>
      </c>
      <c r="W74" s="67">
        <v>80.0</v>
      </c>
      <c r="X74" s="79">
        <v>0.11875</v>
      </c>
      <c r="Y74" s="79">
        <v>0.12083333333333333</v>
      </c>
      <c r="AA74" s="67">
        <v>581.0</v>
      </c>
      <c r="AB74" s="67">
        <v>77.0</v>
      </c>
      <c r="AC74" s="79">
        <v>0.16944444444444445</v>
      </c>
      <c r="AD74" s="79">
        <v>0.1736111111111111</v>
      </c>
      <c r="AF74" s="67">
        <f t="shared" si="1"/>
        <v>0</v>
      </c>
    </row>
    <row r="75" ht="15.75" customHeight="1">
      <c r="A75" s="47">
        <v>582.0</v>
      </c>
      <c r="B75" s="11">
        <v>70.0</v>
      </c>
      <c r="C75" s="12">
        <v>0.2638888888888889</v>
      </c>
      <c r="D75" s="13">
        <v>0.26458333333333334</v>
      </c>
      <c r="E75" s="64">
        <v>42.0</v>
      </c>
      <c r="F75" s="65">
        <v>0.3138888888888889</v>
      </c>
      <c r="G75" s="66">
        <v>0.3138888888888889</v>
      </c>
      <c r="H75" s="11">
        <v>119.0</v>
      </c>
      <c r="I75" s="12">
        <v>0.40208333333333335</v>
      </c>
      <c r="J75" s="13">
        <v>0.4097222222222222</v>
      </c>
      <c r="K75" s="18"/>
      <c r="L75" s="11">
        <v>582.0</v>
      </c>
      <c r="M75" s="67">
        <v>114.0</v>
      </c>
      <c r="N75" s="12">
        <v>0.4986111111111111</v>
      </c>
      <c r="O75" s="13">
        <v>0.5020833333333333</v>
      </c>
      <c r="Q75" s="67">
        <v>582.0</v>
      </c>
      <c r="R75" s="67">
        <v>121.0</v>
      </c>
      <c r="S75" s="79">
        <v>0.07916666666666666</v>
      </c>
      <c r="T75" s="79">
        <v>0.08333333333333333</v>
      </c>
      <c r="V75" s="67">
        <v>582.0</v>
      </c>
      <c r="W75" s="67">
        <v>120.0</v>
      </c>
      <c r="X75" s="79">
        <v>0.15416666666666667</v>
      </c>
      <c r="Y75" s="79">
        <v>0.15555555555555556</v>
      </c>
      <c r="AA75" s="67">
        <v>582.0</v>
      </c>
      <c r="AB75" s="67">
        <v>114.0</v>
      </c>
      <c r="AC75" s="79">
        <v>0.20277777777777778</v>
      </c>
      <c r="AD75" s="79">
        <v>0.2076388888888889</v>
      </c>
      <c r="AF75" s="67">
        <f t="shared" si="1"/>
        <v>0</v>
      </c>
    </row>
    <row r="76" ht="15.75" customHeight="1">
      <c r="A76" s="47">
        <v>583.0</v>
      </c>
      <c r="B76" s="11">
        <v>98.0</v>
      </c>
      <c r="C76" s="12">
        <v>0.26805555555555555</v>
      </c>
      <c r="D76" s="13">
        <v>0.26875</v>
      </c>
      <c r="E76" s="64">
        <v>86.0</v>
      </c>
      <c r="F76" s="65">
        <v>0.32430555555555557</v>
      </c>
      <c r="G76" s="66">
        <v>0.32430555555555557</v>
      </c>
      <c r="H76" s="11">
        <v>77.0</v>
      </c>
      <c r="I76" s="12">
        <v>0.38819444444444445</v>
      </c>
      <c r="J76" s="13">
        <v>0.3902777777777778</v>
      </c>
      <c r="K76" s="18"/>
      <c r="L76" s="11">
        <v>583.0</v>
      </c>
      <c r="M76" s="67">
        <v>67.0</v>
      </c>
      <c r="N76" s="12">
        <v>0.4708333333333333</v>
      </c>
      <c r="O76" s="13">
        <v>0.4722222222222222</v>
      </c>
      <c r="Q76" s="67">
        <v>583.0</v>
      </c>
      <c r="R76" s="67">
        <v>64.0</v>
      </c>
      <c r="S76" s="79">
        <v>0.5381944444444444</v>
      </c>
      <c r="T76" s="79">
        <v>0.5395833333333333</v>
      </c>
      <c r="V76" s="67">
        <v>583.0</v>
      </c>
      <c r="W76" s="67">
        <v>63.0</v>
      </c>
      <c r="X76" s="79">
        <v>0.10625</v>
      </c>
      <c r="Y76" s="79">
        <v>0.10833333333333334</v>
      </c>
      <c r="AA76" s="67">
        <v>583.0</v>
      </c>
      <c r="AB76" s="67">
        <v>65.0</v>
      </c>
      <c r="AC76" s="79">
        <v>0.15625</v>
      </c>
      <c r="AD76" s="79">
        <v>0.16041666666666668</v>
      </c>
      <c r="AF76" s="67">
        <f t="shared" si="1"/>
        <v>0</v>
      </c>
    </row>
    <row r="77" ht="15.75" customHeight="1">
      <c r="A77" s="47">
        <v>584.0</v>
      </c>
      <c r="B77" s="11">
        <v>160.0</v>
      </c>
      <c r="C77" s="12">
        <v>0.2743055555555556</v>
      </c>
      <c r="D77" s="13">
        <v>0.275</v>
      </c>
      <c r="E77" s="64">
        <v>174.0</v>
      </c>
      <c r="F77" s="65">
        <v>0.3416666666666667</v>
      </c>
      <c r="G77" s="66">
        <v>0.3416666666666667</v>
      </c>
      <c r="H77" s="11">
        <v>176.0</v>
      </c>
      <c r="I77" s="12">
        <v>0.42430555555555555</v>
      </c>
      <c r="J77" s="13">
        <v>0.43194444444444446</v>
      </c>
      <c r="K77" s="18"/>
      <c r="L77" s="11">
        <v>584.0</v>
      </c>
      <c r="M77" s="67">
        <v>166.0</v>
      </c>
      <c r="N77" s="12">
        <v>0.5284722222222222</v>
      </c>
      <c r="O77" s="13">
        <v>0.53125</v>
      </c>
      <c r="Q77" s="67">
        <v>584.0</v>
      </c>
      <c r="R77" s="67">
        <v>162.0</v>
      </c>
      <c r="S77" s="79">
        <v>0.10555555555555556</v>
      </c>
      <c r="T77" s="79">
        <v>0.10972222222222222</v>
      </c>
      <c r="V77" s="67">
        <v>584.0</v>
      </c>
      <c r="W77" s="67">
        <v>153.0</v>
      </c>
      <c r="X77" s="79">
        <v>0.18125</v>
      </c>
      <c r="Y77" s="79">
        <v>0.18333333333333332</v>
      </c>
      <c r="AA77" s="67">
        <v>584.0</v>
      </c>
      <c r="AB77" s="67">
        <v>149.0</v>
      </c>
      <c r="AC77" s="79">
        <v>0.2375</v>
      </c>
      <c r="AD77" s="79">
        <v>0.2520833333333333</v>
      </c>
      <c r="AF77" s="67">
        <f t="shared" si="1"/>
        <v>0</v>
      </c>
    </row>
    <row r="78" ht="15.75" customHeight="1">
      <c r="A78" s="47">
        <v>585.0</v>
      </c>
      <c r="B78" s="11">
        <v>144.0</v>
      </c>
      <c r="C78" s="12">
        <v>0.27152777777777776</v>
      </c>
      <c r="D78" s="13">
        <v>0.2722222222222222</v>
      </c>
      <c r="E78" s="64">
        <v>142.0</v>
      </c>
      <c r="F78" s="65">
        <v>0.33611111111111114</v>
      </c>
      <c r="G78" s="66">
        <v>0.33611111111111114</v>
      </c>
      <c r="H78" s="11">
        <v>147.0</v>
      </c>
      <c r="I78" s="12">
        <v>0.4125</v>
      </c>
      <c r="J78" s="13">
        <v>0.41944444444444445</v>
      </c>
      <c r="K78" s="18"/>
      <c r="L78" s="11">
        <v>585.0</v>
      </c>
      <c r="M78" s="67">
        <v>129.0</v>
      </c>
      <c r="N78" s="12">
        <v>0.5041666666666667</v>
      </c>
      <c r="O78" s="13">
        <v>0.5076388888888889</v>
      </c>
      <c r="Q78" s="67">
        <v>585.0</v>
      </c>
      <c r="R78" s="67">
        <v>124.0</v>
      </c>
      <c r="S78" s="79">
        <v>0.0798611111111111</v>
      </c>
      <c r="T78" s="79">
        <v>0.08263888888888889</v>
      </c>
      <c r="V78" s="67">
        <v>585.0</v>
      </c>
      <c r="W78" s="67">
        <v>114.0</v>
      </c>
      <c r="X78" s="79">
        <v>0.14791666666666667</v>
      </c>
      <c r="Y78" s="79">
        <v>0.15069444444444444</v>
      </c>
      <c r="AA78" s="67">
        <v>585.0</v>
      </c>
      <c r="AB78" s="67">
        <v>105.0</v>
      </c>
      <c r="AC78" s="79">
        <v>0.19583333333333333</v>
      </c>
      <c r="AD78" s="79">
        <v>0.2</v>
      </c>
      <c r="AF78" s="67">
        <f t="shared" si="1"/>
        <v>0</v>
      </c>
    </row>
    <row r="79" ht="15.75" customHeight="1">
      <c r="A79" s="47">
        <v>587.0</v>
      </c>
      <c r="B79" s="11">
        <v>170.0</v>
      </c>
      <c r="C79" s="12">
        <v>0.2743055555555556</v>
      </c>
      <c r="D79" s="13">
        <v>0.275</v>
      </c>
      <c r="E79" s="64">
        <v>175.0</v>
      </c>
      <c r="F79" s="65">
        <v>0.3416666666666667</v>
      </c>
      <c r="G79" s="66">
        <v>0.3416666666666667</v>
      </c>
      <c r="H79" s="11">
        <v>142.0</v>
      </c>
      <c r="I79" s="12">
        <v>0.4097222222222222</v>
      </c>
      <c r="J79" s="13">
        <v>0.41597222222222224</v>
      </c>
      <c r="K79" s="18"/>
      <c r="L79" s="11">
        <v>587.0</v>
      </c>
      <c r="M79" s="67">
        <v>145.0</v>
      </c>
      <c r="N79" s="12">
        <v>0.5125</v>
      </c>
      <c r="O79" s="13">
        <v>0.5291666666666667</v>
      </c>
      <c r="Q79" s="67">
        <v>587.0</v>
      </c>
      <c r="R79" s="67">
        <v>161.0</v>
      </c>
      <c r="S79" s="79">
        <v>0.10555555555555556</v>
      </c>
      <c r="T79" s="79">
        <v>0.11319444444444444</v>
      </c>
      <c r="V79" s="67">
        <v>587.0</v>
      </c>
      <c r="W79" s="67">
        <v>163.0</v>
      </c>
      <c r="X79" s="79">
        <v>0.18888888888888888</v>
      </c>
      <c r="Y79" s="79">
        <v>0.19930555555555557</v>
      </c>
      <c r="AA79" s="67">
        <v>587.0</v>
      </c>
      <c r="AB79" s="67">
        <v>163.0</v>
      </c>
      <c r="AC79" s="79">
        <v>0.24930555555555556</v>
      </c>
      <c r="AD79" s="79">
        <v>0.2743055555555556</v>
      </c>
      <c r="AF79" s="67">
        <f t="shared" si="1"/>
        <v>0</v>
      </c>
    </row>
    <row r="80" ht="15.75" customHeight="1">
      <c r="A80" s="47">
        <v>588.0</v>
      </c>
      <c r="B80" s="11">
        <v>21.0</v>
      </c>
      <c r="C80" s="12">
        <v>0.25763888888888886</v>
      </c>
      <c r="D80" s="13">
        <v>0.25833333333333336</v>
      </c>
      <c r="E80" s="64">
        <v>22.0</v>
      </c>
      <c r="F80" s="65">
        <v>0.30625</v>
      </c>
      <c r="G80" s="66">
        <v>0.30625</v>
      </c>
      <c r="H80" s="11">
        <v>28.0</v>
      </c>
      <c r="I80" s="12">
        <v>0.3659722222222222</v>
      </c>
      <c r="J80" s="13">
        <v>0.37916666666666665</v>
      </c>
      <c r="K80" s="18"/>
      <c r="L80" s="11">
        <v>588.0</v>
      </c>
      <c r="M80" s="67">
        <v>38.0</v>
      </c>
      <c r="N80" s="12">
        <v>0.4479166666666667</v>
      </c>
      <c r="O80" s="13">
        <v>0.44930555555555557</v>
      </c>
      <c r="Q80" s="67">
        <v>588.0</v>
      </c>
      <c r="R80" s="67">
        <v>36.0</v>
      </c>
      <c r="S80" s="79">
        <v>0.5083333333333333</v>
      </c>
      <c r="T80" s="79">
        <v>0.5104166666666666</v>
      </c>
      <c r="V80" s="67">
        <v>588.0</v>
      </c>
      <c r="W80" s="67">
        <v>32.0</v>
      </c>
      <c r="X80" s="79">
        <v>0.06527777777777778</v>
      </c>
      <c r="Y80" s="79">
        <v>0.06736111111111111</v>
      </c>
      <c r="AA80" s="67">
        <v>588.0</v>
      </c>
      <c r="AB80" s="67">
        <v>33.0</v>
      </c>
      <c r="AC80" s="79">
        <v>0.1076388888888889</v>
      </c>
      <c r="AD80" s="79">
        <v>0.11875</v>
      </c>
      <c r="AF80" s="67">
        <f t="shared" si="1"/>
        <v>0</v>
      </c>
    </row>
    <row r="81" ht="15.75" customHeight="1">
      <c r="A81" s="47">
        <v>589.0</v>
      </c>
      <c r="B81" s="11">
        <v>22.0</v>
      </c>
      <c r="C81" s="12">
        <v>0.25763888888888886</v>
      </c>
      <c r="D81" s="13">
        <v>0.25833333333333336</v>
      </c>
      <c r="E81" s="64">
        <v>19.0</v>
      </c>
      <c r="F81" s="65">
        <v>0.30625</v>
      </c>
      <c r="G81" s="66">
        <v>0.30625</v>
      </c>
      <c r="H81" s="11">
        <v>22.0</v>
      </c>
      <c r="I81" s="12">
        <v>0.3638888888888889</v>
      </c>
      <c r="J81" s="13">
        <v>0.3659722222222222</v>
      </c>
      <c r="K81" s="18"/>
      <c r="L81" s="11">
        <v>589.0</v>
      </c>
      <c r="M81" s="67">
        <v>21.0</v>
      </c>
      <c r="N81" s="12">
        <v>0.4361111111111111</v>
      </c>
      <c r="O81" s="13">
        <v>0.43819444444444444</v>
      </c>
      <c r="Q81" s="67">
        <v>589.0</v>
      </c>
      <c r="R81" s="67">
        <v>21.0</v>
      </c>
      <c r="S81" s="79">
        <v>0.49583333333333335</v>
      </c>
      <c r="T81" s="79">
        <v>0.5</v>
      </c>
      <c r="V81" s="67">
        <v>589.0</v>
      </c>
      <c r="W81" s="67">
        <v>24.0</v>
      </c>
      <c r="X81" s="79">
        <v>0.05763888888888889</v>
      </c>
      <c r="Y81" s="79">
        <v>0.06180555555555556</v>
      </c>
      <c r="AA81" s="67">
        <v>589.0</v>
      </c>
      <c r="AB81" s="67">
        <v>27.0</v>
      </c>
      <c r="AC81" s="79">
        <v>0.10208333333333333</v>
      </c>
      <c r="AD81" s="79">
        <v>0.11041666666666666</v>
      </c>
      <c r="AF81" s="67">
        <f t="shared" si="1"/>
        <v>0</v>
      </c>
    </row>
    <row r="82" ht="15.75" customHeight="1">
      <c r="A82" s="47">
        <v>590.0</v>
      </c>
      <c r="B82" s="11">
        <v>109.0</v>
      </c>
      <c r="C82" s="12">
        <v>0.26944444444444443</v>
      </c>
      <c r="D82" s="13">
        <v>0.2701388888888889</v>
      </c>
      <c r="E82" s="64">
        <v>112.0</v>
      </c>
      <c r="F82" s="65">
        <v>0.32569444444444445</v>
      </c>
      <c r="G82" s="66">
        <v>0.32569444444444445</v>
      </c>
      <c r="H82" s="11">
        <v>120.0</v>
      </c>
      <c r="I82" s="12">
        <v>0.40208333333333335</v>
      </c>
      <c r="J82" s="13">
        <v>0.4222222222222222</v>
      </c>
      <c r="K82" s="18"/>
      <c r="L82" s="11">
        <v>590.0</v>
      </c>
      <c r="M82" s="67">
        <v>119.0</v>
      </c>
      <c r="N82" s="12">
        <v>0.5</v>
      </c>
      <c r="O82" s="13">
        <v>0.5027777777777778</v>
      </c>
      <c r="Q82" s="67">
        <v>590.0</v>
      </c>
      <c r="R82" s="67">
        <v>116.0</v>
      </c>
      <c r="S82" s="79">
        <v>0.07777777777777778</v>
      </c>
      <c r="T82" s="79">
        <v>0.08125</v>
      </c>
      <c r="V82" s="67">
        <v>590.0</v>
      </c>
      <c r="W82" s="67">
        <v>132.0</v>
      </c>
      <c r="X82" s="79">
        <v>0.16041666666666668</v>
      </c>
      <c r="Y82" s="79">
        <v>0.1638888888888889</v>
      </c>
      <c r="AA82" s="67">
        <v>590.0</v>
      </c>
      <c r="AB82" s="67">
        <v>143.0</v>
      </c>
      <c r="AC82" s="79">
        <v>0.22430555555555556</v>
      </c>
      <c r="AD82" s="79">
        <v>0.23819444444444443</v>
      </c>
      <c r="AF82" s="67">
        <f t="shared" si="1"/>
        <v>0</v>
      </c>
    </row>
    <row r="83" ht="15.75" customHeight="1">
      <c r="A83" s="47">
        <v>591.0</v>
      </c>
      <c r="B83" s="11">
        <v>169.0</v>
      </c>
      <c r="C83" s="12">
        <v>0.2743055555555556</v>
      </c>
      <c r="D83" s="13">
        <v>0.275</v>
      </c>
      <c r="E83" s="64">
        <v>144.0</v>
      </c>
      <c r="F83" s="65">
        <v>0.33611111111111114</v>
      </c>
      <c r="G83" s="66">
        <v>0.33611111111111114</v>
      </c>
      <c r="H83" s="11">
        <v>110.0</v>
      </c>
      <c r="I83" s="12">
        <v>0.4</v>
      </c>
      <c r="J83" s="13">
        <v>0.4097222222222222</v>
      </c>
      <c r="K83" s="18"/>
      <c r="L83" s="11">
        <v>591.0</v>
      </c>
      <c r="M83" s="67">
        <v>94.0</v>
      </c>
      <c r="N83" s="12">
        <v>0.4847222222222222</v>
      </c>
      <c r="O83" s="13">
        <v>0.4861111111111111</v>
      </c>
      <c r="Q83" s="67">
        <v>591.0</v>
      </c>
      <c r="R83" s="67">
        <v>79.0</v>
      </c>
      <c r="S83" s="79">
        <v>0.04722222222222222</v>
      </c>
      <c r="T83" s="79">
        <v>0.05</v>
      </c>
      <c r="V83" s="67">
        <v>591.0</v>
      </c>
      <c r="W83" s="67">
        <v>67.0</v>
      </c>
      <c r="X83" s="79">
        <v>0.10694444444444444</v>
      </c>
      <c r="Y83" s="79">
        <v>0.10833333333333334</v>
      </c>
      <c r="AA83" s="67">
        <v>591.0</v>
      </c>
      <c r="AB83" s="67">
        <v>63.0</v>
      </c>
      <c r="AC83" s="79">
        <v>0.14722222222222223</v>
      </c>
      <c r="AD83" s="79">
        <v>0.15486111111111112</v>
      </c>
      <c r="AF83" s="67">
        <f t="shared" si="1"/>
        <v>0</v>
      </c>
    </row>
    <row r="84" ht="15.75" customHeight="1">
      <c r="A84" s="47">
        <v>592.0</v>
      </c>
      <c r="B84" s="11">
        <v>148.0</v>
      </c>
      <c r="C84" s="12">
        <v>0.27152777777777776</v>
      </c>
      <c r="D84" s="13">
        <v>0.2722222222222222</v>
      </c>
      <c r="E84" s="64">
        <v>143.0</v>
      </c>
      <c r="F84" s="65">
        <v>0.33611111111111114</v>
      </c>
      <c r="G84" s="66">
        <v>0.33611111111111114</v>
      </c>
      <c r="H84" s="11">
        <v>132.0</v>
      </c>
      <c r="I84" s="12">
        <v>0.4076388888888889</v>
      </c>
      <c r="J84" s="13">
        <v>0.4097222222222222</v>
      </c>
      <c r="K84" s="18"/>
      <c r="L84" s="94">
        <v>592.0</v>
      </c>
      <c r="M84" s="67">
        <v>118.0</v>
      </c>
      <c r="N84" s="12">
        <v>0.5</v>
      </c>
      <c r="O84" s="13">
        <v>0.5020833333333333</v>
      </c>
      <c r="Q84" s="67">
        <v>592.0</v>
      </c>
      <c r="R84" s="67">
        <v>114.0</v>
      </c>
      <c r="S84" s="79">
        <v>0.07777777777777778</v>
      </c>
      <c r="T84" s="79">
        <v>0.0798611111111111</v>
      </c>
      <c r="V84" s="67">
        <v>592.0</v>
      </c>
      <c r="W84" s="67">
        <v>121.0</v>
      </c>
      <c r="X84" s="79">
        <v>0.15555555555555556</v>
      </c>
      <c r="Y84" s="79">
        <v>0.15902777777777777</v>
      </c>
      <c r="AA84" s="67">
        <v>592.0</v>
      </c>
      <c r="AB84" s="67">
        <v>118.0</v>
      </c>
      <c r="AC84" s="79">
        <v>0.20833333333333334</v>
      </c>
      <c r="AD84" s="79">
        <v>0.21736111111111112</v>
      </c>
      <c r="AF84" s="67">
        <f t="shared" si="1"/>
        <v>0</v>
      </c>
    </row>
    <row r="85" ht="15.75" customHeight="1">
      <c r="A85" s="18">
        <v>593.0</v>
      </c>
      <c r="B85" s="11">
        <v>200.0</v>
      </c>
      <c r="C85" s="12">
        <v>0.28958333333333336</v>
      </c>
      <c r="D85" s="13">
        <v>0.2902777777777778</v>
      </c>
      <c r="E85" s="67"/>
      <c r="F85" s="67"/>
      <c r="G85" s="72"/>
      <c r="H85" s="11"/>
      <c r="I85" s="18"/>
      <c r="J85" s="38"/>
      <c r="AF85" s="67">
        <f t="shared" si="1"/>
        <v>593</v>
      </c>
    </row>
    <row r="86" ht="15.75" customHeight="1">
      <c r="A86" s="47">
        <v>595.0</v>
      </c>
      <c r="B86" s="11">
        <v>137.0</v>
      </c>
      <c r="C86" s="12">
        <v>0.27152777777777776</v>
      </c>
      <c r="D86" s="13">
        <v>0.2722222222222222</v>
      </c>
      <c r="E86" s="64">
        <v>129.0</v>
      </c>
      <c r="F86" s="65">
        <v>0.3326388888888889</v>
      </c>
      <c r="G86" s="66">
        <v>0.3326388888888889</v>
      </c>
      <c r="H86" s="11">
        <v>162.0</v>
      </c>
      <c r="I86" s="12">
        <v>0.41597222222222224</v>
      </c>
      <c r="J86" s="13">
        <v>0.4284722222222222</v>
      </c>
      <c r="K86" s="18"/>
      <c r="L86" s="11">
        <v>595.0</v>
      </c>
      <c r="M86" s="67">
        <v>164.0</v>
      </c>
      <c r="N86" s="12">
        <v>0.5270833333333333</v>
      </c>
      <c r="O86" s="13">
        <v>0.5368055555555555</v>
      </c>
      <c r="Q86" s="67">
        <v>595.0</v>
      </c>
      <c r="R86" s="67">
        <v>169.0</v>
      </c>
      <c r="S86" s="79">
        <v>0.1111111111111111</v>
      </c>
      <c r="T86" s="79">
        <v>0.11944444444444445</v>
      </c>
      <c r="V86" s="67">
        <v>595.0</v>
      </c>
      <c r="W86" s="67">
        <v>164.0</v>
      </c>
      <c r="X86" s="79">
        <v>0.19236111111111112</v>
      </c>
      <c r="Y86" s="79">
        <v>0.19444444444444445</v>
      </c>
      <c r="AA86" s="67">
        <v>595.0</v>
      </c>
      <c r="AB86" s="67">
        <v>148.0</v>
      </c>
      <c r="AC86" s="79">
        <v>0.23680555555555555</v>
      </c>
      <c r="AD86" s="79">
        <v>0.25555555555555554</v>
      </c>
      <c r="AF86" s="67">
        <f t="shared" si="1"/>
        <v>0</v>
      </c>
    </row>
    <row r="87" ht="15.75" customHeight="1">
      <c r="A87" s="47">
        <v>596.0</v>
      </c>
      <c r="B87" s="11">
        <v>3.0</v>
      </c>
      <c r="C87" s="12">
        <v>0.2513888888888889</v>
      </c>
      <c r="D87" s="13">
        <v>0.2520833333333333</v>
      </c>
      <c r="E87" s="64">
        <v>1.0</v>
      </c>
      <c r="F87" s="65">
        <v>0.29097222222222224</v>
      </c>
      <c r="G87" s="66">
        <v>0.2916666666666667</v>
      </c>
      <c r="H87" s="11">
        <v>2.0</v>
      </c>
      <c r="I87" s="12">
        <v>0.34097222222222223</v>
      </c>
      <c r="J87" s="13">
        <v>0.34305555555555556</v>
      </c>
      <c r="K87" s="18"/>
      <c r="L87" s="11">
        <v>596.0</v>
      </c>
      <c r="M87" s="67">
        <v>2.0</v>
      </c>
      <c r="N87" s="12">
        <v>0.40069444444444446</v>
      </c>
      <c r="O87" s="13">
        <v>0.4013888888888889</v>
      </c>
      <c r="Q87" s="67">
        <v>596.0</v>
      </c>
      <c r="R87" s="67">
        <v>2.0</v>
      </c>
      <c r="S87" s="79">
        <v>0.44722222222222224</v>
      </c>
      <c r="T87" s="79">
        <v>0.44930555555555557</v>
      </c>
      <c r="V87" s="67">
        <v>596.0</v>
      </c>
      <c r="W87" s="67">
        <v>2.0</v>
      </c>
      <c r="X87" s="79">
        <v>0.5118055555555555</v>
      </c>
      <c r="Y87" s="79">
        <v>0.5090277777777777</v>
      </c>
      <c r="AA87" s="67">
        <v>596.0</v>
      </c>
      <c r="AB87" s="67">
        <v>2.0</v>
      </c>
      <c r="AC87" s="79">
        <v>0.5409722222222222</v>
      </c>
      <c r="AD87" s="79">
        <v>0.043055555555555555</v>
      </c>
      <c r="AF87" s="67">
        <f t="shared" si="1"/>
        <v>0</v>
      </c>
    </row>
    <row r="88" ht="15.75" customHeight="1">
      <c r="A88" s="47">
        <v>597.0</v>
      </c>
      <c r="B88" s="11">
        <v>185.0</v>
      </c>
      <c r="C88" s="12">
        <v>0.27847222222222223</v>
      </c>
      <c r="D88" s="13">
        <v>0.2791666666666667</v>
      </c>
      <c r="E88" s="64">
        <v>188.0</v>
      </c>
      <c r="F88" s="65">
        <v>0.35138888888888886</v>
      </c>
      <c r="G88" s="66">
        <v>0.35138888888888886</v>
      </c>
      <c r="H88" s="11">
        <v>178.0</v>
      </c>
      <c r="I88" s="12">
        <v>0.425</v>
      </c>
      <c r="J88" s="13">
        <v>0.4388888888888889</v>
      </c>
      <c r="K88" s="18"/>
      <c r="L88" s="11">
        <v>597.0</v>
      </c>
      <c r="M88" s="67">
        <v>159.0</v>
      </c>
      <c r="N88" s="12">
        <v>0.5222222222222223</v>
      </c>
      <c r="O88" s="13">
        <v>0.5243055555555556</v>
      </c>
      <c r="Q88" s="67">
        <v>597.0</v>
      </c>
      <c r="R88" s="67">
        <v>154.0</v>
      </c>
      <c r="S88" s="79">
        <v>0.09513888888888888</v>
      </c>
      <c r="T88" s="79">
        <v>0.09722222222222222</v>
      </c>
      <c r="V88" s="67">
        <v>597.0</v>
      </c>
      <c r="W88" s="67">
        <v>145.0</v>
      </c>
      <c r="X88" s="79">
        <v>0.1673611111111111</v>
      </c>
      <c r="Y88" s="79">
        <v>0.16875</v>
      </c>
      <c r="AA88" s="67">
        <v>597.0</v>
      </c>
      <c r="AB88" s="67">
        <v>130.0</v>
      </c>
      <c r="AC88" s="79">
        <v>0.2152777777777778</v>
      </c>
      <c r="AD88" s="79">
        <v>0.23055555555555557</v>
      </c>
      <c r="AF88" s="67">
        <f t="shared" si="1"/>
        <v>0</v>
      </c>
    </row>
    <row r="89" ht="15.75" customHeight="1">
      <c r="A89" s="47">
        <v>598.0</v>
      </c>
      <c r="B89" s="11">
        <v>126.0</v>
      </c>
      <c r="C89" s="12">
        <v>0.2708333333333333</v>
      </c>
      <c r="D89" s="13">
        <v>0.27152777777777776</v>
      </c>
      <c r="E89" s="64">
        <v>135.0</v>
      </c>
      <c r="F89" s="65">
        <v>0.33402777777777776</v>
      </c>
      <c r="G89" s="66">
        <v>0.33402777777777776</v>
      </c>
      <c r="H89" s="11">
        <v>138.0</v>
      </c>
      <c r="I89" s="12">
        <v>0.40902777777777777</v>
      </c>
      <c r="J89" s="13">
        <v>0.4131944444444444</v>
      </c>
      <c r="K89" s="18"/>
      <c r="L89" s="11">
        <v>598.0</v>
      </c>
      <c r="M89" s="67">
        <v>144.0</v>
      </c>
      <c r="N89" s="12">
        <v>0.5111111111111111</v>
      </c>
      <c r="O89" s="13">
        <v>0.5145833333333333</v>
      </c>
      <c r="Q89" s="67">
        <v>598.0</v>
      </c>
      <c r="R89" s="67">
        <v>143.0</v>
      </c>
      <c r="S89" s="79">
        <v>0.09166666666666666</v>
      </c>
      <c r="T89" s="79">
        <v>0.09166666666666666</v>
      </c>
      <c r="V89" s="67">
        <v>598.0</v>
      </c>
      <c r="W89" s="67">
        <v>137.0</v>
      </c>
      <c r="X89" s="79">
        <v>0.16527777777777777</v>
      </c>
      <c r="Y89" s="79">
        <v>0.1673611111111111</v>
      </c>
      <c r="AA89" s="67">
        <v>598.0</v>
      </c>
      <c r="AB89" s="67">
        <v>137.0</v>
      </c>
      <c r="AC89" s="79">
        <v>0.22013888888888888</v>
      </c>
      <c r="AD89" s="79">
        <v>0.23055555555555557</v>
      </c>
      <c r="AF89" s="67">
        <f t="shared" si="1"/>
        <v>0</v>
      </c>
    </row>
    <row r="90" ht="15.75" customHeight="1">
      <c r="A90" s="47">
        <v>599.0</v>
      </c>
      <c r="B90" s="11">
        <v>2.0</v>
      </c>
      <c r="C90" s="12">
        <v>0.2513888888888889</v>
      </c>
      <c r="D90" s="13">
        <v>0.2520833333333333</v>
      </c>
      <c r="E90" s="64">
        <v>10.0</v>
      </c>
      <c r="F90" s="65">
        <v>0.2951388888888889</v>
      </c>
      <c r="G90" s="66">
        <v>0.2951388888888889</v>
      </c>
      <c r="H90" s="11">
        <v>10.0</v>
      </c>
      <c r="I90" s="12">
        <v>0.34652777777777777</v>
      </c>
      <c r="J90" s="13">
        <v>0.35</v>
      </c>
      <c r="K90" s="18"/>
      <c r="L90" s="11">
        <v>599.0</v>
      </c>
      <c r="M90" s="67">
        <v>10.0</v>
      </c>
      <c r="N90" s="12">
        <v>0.42083333333333334</v>
      </c>
      <c r="O90" s="13">
        <v>0.4222222222222222</v>
      </c>
      <c r="Q90" s="67">
        <v>599.0</v>
      </c>
      <c r="R90" s="67">
        <v>11.0</v>
      </c>
      <c r="S90" s="79">
        <v>0.48194444444444445</v>
      </c>
      <c r="T90" s="79">
        <v>0.4826388888888889</v>
      </c>
      <c r="V90" s="67">
        <v>599.0</v>
      </c>
      <c r="W90" s="67">
        <v>11.0</v>
      </c>
      <c r="X90" s="79">
        <v>0.5333333333333333</v>
      </c>
      <c r="Y90" s="79">
        <v>0.5347222222222222</v>
      </c>
      <c r="AA90" s="67">
        <v>599.0</v>
      </c>
      <c r="AB90" s="67">
        <v>10.0</v>
      </c>
      <c r="AC90" s="79">
        <v>0.07291666666666667</v>
      </c>
      <c r="AD90" s="79">
        <v>0.07777777777777778</v>
      </c>
      <c r="AF90" s="67">
        <f t="shared" si="1"/>
        <v>0</v>
      </c>
    </row>
    <row r="91" ht="15.75" customHeight="1">
      <c r="A91" s="47">
        <v>600.0</v>
      </c>
      <c r="B91" s="11">
        <v>55.0</v>
      </c>
      <c r="C91" s="12">
        <v>0.26319444444444445</v>
      </c>
      <c r="D91" s="13">
        <v>0.2638888888888889</v>
      </c>
      <c r="E91" s="64">
        <v>74.0</v>
      </c>
      <c r="F91" s="65">
        <v>0.32083333333333336</v>
      </c>
      <c r="G91" s="66">
        <v>0.32083333333333336</v>
      </c>
      <c r="H91" s="11">
        <v>97.0</v>
      </c>
      <c r="I91" s="12">
        <v>0.3958333333333333</v>
      </c>
      <c r="J91" s="13">
        <v>0.40347222222222223</v>
      </c>
      <c r="K91" s="18"/>
      <c r="L91" s="11">
        <v>600.0</v>
      </c>
      <c r="M91" s="67">
        <v>116.0</v>
      </c>
      <c r="N91" s="12">
        <v>0.5</v>
      </c>
      <c r="O91" s="13">
        <v>0.5034722222222222</v>
      </c>
      <c r="Q91" s="67">
        <v>600.0</v>
      </c>
      <c r="R91" s="67">
        <v>122.0</v>
      </c>
      <c r="S91" s="79">
        <v>0.0798611111111111</v>
      </c>
      <c r="T91" s="79">
        <v>0.09097222222222222</v>
      </c>
      <c r="V91" s="67">
        <v>600.0</v>
      </c>
      <c r="W91" s="67">
        <v>149.0</v>
      </c>
      <c r="X91" s="79">
        <v>0.17708333333333334</v>
      </c>
      <c r="Y91" s="79">
        <v>0.18680555555555556</v>
      </c>
      <c r="AA91" s="67">
        <v>600.0</v>
      </c>
      <c r="AB91" s="67">
        <v>157.0</v>
      </c>
      <c r="AC91" s="79">
        <v>0.24375</v>
      </c>
      <c r="AD91" s="67" t="s">
        <v>178</v>
      </c>
      <c r="AF91" s="67">
        <f t="shared" si="1"/>
        <v>0</v>
      </c>
    </row>
    <row r="92" ht="15.75" customHeight="1">
      <c r="A92" s="47">
        <v>601.0</v>
      </c>
      <c r="B92" s="11">
        <v>11.0</v>
      </c>
      <c r="C92" s="12">
        <v>0.25416666666666665</v>
      </c>
      <c r="D92" s="13">
        <v>0.25416666666666665</v>
      </c>
      <c r="E92" s="64">
        <v>12.0</v>
      </c>
      <c r="F92" s="65">
        <v>0.3013888888888889</v>
      </c>
      <c r="G92" s="66">
        <v>0.3013888888888889</v>
      </c>
      <c r="H92" s="11">
        <v>15.0</v>
      </c>
      <c r="I92" s="12">
        <v>0.3590277777777778</v>
      </c>
      <c r="J92" s="13">
        <v>0.36180555555555555</v>
      </c>
      <c r="K92" s="18"/>
      <c r="L92" s="11">
        <v>601.0</v>
      </c>
      <c r="M92" s="67">
        <v>22.0</v>
      </c>
      <c r="N92" s="12">
        <v>0.43680555555555556</v>
      </c>
      <c r="O92" s="13">
        <v>0.43819444444444444</v>
      </c>
      <c r="Q92" s="67">
        <v>601.0</v>
      </c>
      <c r="R92" s="67">
        <v>20.0</v>
      </c>
      <c r="S92" s="79">
        <v>0.49583333333333335</v>
      </c>
      <c r="T92" s="79">
        <v>0.4979166666666667</v>
      </c>
      <c r="V92" s="67">
        <v>601.0</v>
      </c>
      <c r="W92" s="67">
        <v>20.0</v>
      </c>
      <c r="X92" s="79">
        <v>0.05347222222222222</v>
      </c>
      <c r="Y92" s="79">
        <v>0.05555555555555555</v>
      </c>
      <c r="AA92" s="67">
        <v>601.0</v>
      </c>
      <c r="AB92" s="67">
        <v>19.0</v>
      </c>
      <c r="AC92" s="79">
        <v>0.09305555555555556</v>
      </c>
      <c r="AD92" s="79">
        <v>0.09791666666666667</v>
      </c>
      <c r="AF92" s="67">
        <f t="shared" si="1"/>
        <v>0</v>
      </c>
    </row>
    <row r="93" ht="15.75" customHeight="1">
      <c r="A93" s="47">
        <v>602.0</v>
      </c>
      <c r="B93" s="11">
        <v>101.0</v>
      </c>
      <c r="C93" s="12">
        <v>0.26875</v>
      </c>
      <c r="D93" s="13">
        <v>0.26944444444444443</v>
      </c>
      <c r="E93" s="64">
        <v>83.0</v>
      </c>
      <c r="F93" s="65">
        <v>0.3215277777777778</v>
      </c>
      <c r="G93" s="66">
        <v>0.3215277777777778</v>
      </c>
      <c r="H93" s="11">
        <v>60.0</v>
      </c>
      <c r="I93" s="12">
        <v>0.3819444444444444</v>
      </c>
      <c r="J93" s="13">
        <v>0.38472222222222224</v>
      </c>
      <c r="K93" s="18"/>
      <c r="L93" s="11">
        <v>602.0</v>
      </c>
      <c r="M93" s="67">
        <v>48.0</v>
      </c>
      <c r="N93" s="12">
        <v>0.45555555555555555</v>
      </c>
      <c r="O93" s="13">
        <v>0.45694444444444443</v>
      </c>
      <c r="Q93" s="67">
        <v>602.0</v>
      </c>
      <c r="R93" s="67">
        <v>40.0</v>
      </c>
      <c r="S93" s="79">
        <v>0.5125</v>
      </c>
      <c r="T93" s="79">
        <v>0.5145833333333333</v>
      </c>
      <c r="V93" s="67">
        <v>602.0</v>
      </c>
      <c r="W93" s="67">
        <v>35.0</v>
      </c>
      <c r="X93" s="79">
        <v>0.06666666666666667</v>
      </c>
      <c r="Y93" s="79">
        <v>0.07013888888888889</v>
      </c>
      <c r="AA93" s="67">
        <v>602.0</v>
      </c>
      <c r="AB93" s="67">
        <v>34.0</v>
      </c>
      <c r="AC93" s="79">
        <v>0.10972222222222222</v>
      </c>
      <c r="AD93" s="79">
        <v>0.11319444444444444</v>
      </c>
      <c r="AF93" s="67">
        <f t="shared" si="1"/>
        <v>0</v>
      </c>
    </row>
    <row r="94" ht="15.75" customHeight="1">
      <c r="A94" s="47">
        <v>603.0</v>
      </c>
      <c r="B94" s="11">
        <v>6.0</v>
      </c>
      <c r="C94" s="12">
        <v>0.2520833333333333</v>
      </c>
      <c r="D94" s="13">
        <v>0.25277777777777777</v>
      </c>
      <c r="E94" s="64">
        <v>6.0</v>
      </c>
      <c r="F94" s="65">
        <v>0.2923611111111111</v>
      </c>
      <c r="G94" s="66">
        <v>0.2923611111111111</v>
      </c>
      <c r="H94" s="11">
        <v>8.0</v>
      </c>
      <c r="I94" s="12">
        <v>0.3458333333333333</v>
      </c>
      <c r="J94" s="13">
        <v>0.34791666666666665</v>
      </c>
      <c r="K94" s="18"/>
      <c r="L94" s="11">
        <v>603.0</v>
      </c>
      <c r="M94" s="67">
        <v>9.0</v>
      </c>
      <c r="N94" s="12">
        <v>0.4166666666666667</v>
      </c>
      <c r="O94" s="13">
        <v>0.41875</v>
      </c>
      <c r="Q94" s="67">
        <v>603.0</v>
      </c>
      <c r="R94" s="67">
        <v>9.0</v>
      </c>
      <c r="S94" s="79">
        <v>0.47291666666666665</v>
      </c>
      <c r="T94" s="79">
        <v>0.475</v>
      </c>
      <c r="V94" s="67">
        <v>603.0</v>
      </c>
      <c r="W94" s="67">
        <v>8.0</v>
      </c>
      <c r="X94" s="79">
        <v>0.5229166666666667</v>
      </c>
      <c r="Y94" s="79">
        <v>0.525</v>
      </c>
      <c r="AA94" s="67">
        <v>603.0</v>
      </c>
      <c r="AB94" s="67">
        <v>8.0</v>
      </c>
      <c r="AC94" s="79">
        <v>0.059027777777777776</v>
      </c>
      <c r="AD94" s="79">
        <v>0.06319444444444444</v>
      </c>
      <c r="AF94" s="67">
        <f t="shared" si="1"/>
        <v>0</v>
      </c>
    </row>
    <row r="95" ht="15.75" customHeight="1">
      <c r="A95" s="47">
        <v>604.0</v>
      </c>
      <c r="B95" s="11">
        <v>32.0</v>
      </c>
      <c r="C95" s="12">
        <v>0.25972222222222224</v>
      </c>
      <c r="D95" s="13">
        <v>0.2604166666666667</v>
      </c>
      <c r="E95" s="64">
        <v>36.0</v>
      </c>
      <c r="F95" s="65">
        <v>0.31180555555555556</v>
      </c>
      <c r="G95" s="66">
        <v>0.31180555555555556</v>
      </c>
      <c r="H95" s="11">
        <v>50.0</v>
      </c>
      <c r="I95" s="12">
        <v>0.3763888888888889</v>
      </c>
      <c r="J95" s="13">
        <v>0.38055555555555554</v>
      </c>
      <c r="K95" s="18"/>
      <c r="L95" s="11">
        <v>604.0</v>
      </c>
      <c r="M95" s="67">
        <v>65.0</v>
      </c>
      <c r="N95" s="12">
        <v>0.4701388888888889</v>
      </c>
      <c r="O95" s="13">
        <v>0.4722222222222222</v>
      </c>
      <c r="Q95" s="67">
        <v>604.0</v>
      </c>
      <c r="R95" s="67">
        <v>71.0</v>
      </c>
      <c r="S95" s="79">
        <v>0.043055555555555555</v>
      </c>
      <c r="T95" s="79">
        <v>0.04513888888888889</v>
      </c>
      <c r="V95" s="67">
        <v>604.0</v>
      </c>
      <c r="W95" s="67">
        <v>74.0</v>
      </c>
      <c r="X95" s="79">
        <v>0.1111111111111111</v>
      </c>
      <c r="Y95" s="79">
        <v>0.11319444444444444</v>
      </c>
      <c r="AA95" s="67">
        <v>604.0</v>
      </c>
      <c r="AB95" s="67">
        <v>69.0</v>
      </c>
      <c r="AC95" s="79">
        <v>0.16111111111111112</v>
      </c>
      <c r="AD95" s="79">
        <v>0.16875</v>
      </c>
      <c r="AF95" s="67">
        <f t="shared" si="1"/>
        <v>0</v>
      </c>
    </row>
    <row r="96" ht="15.75" customHeight="1">
      <c r="A96" s="47">
        <v>605.0</v>
      </c>
      <c r="B96" s="11">
        <v>141.0</v>
      </c>
      <c r="C96" s="12">
        <v>0.27152777777777776</v>
      </c>
      <c r="D96" s="13">
        <v>0.2722222222222222</v>
      </c>
      <c r="E96" s="64">
        <v>164.0</v>
      </c>
      <c r="F96" s="65">
        <v>0.3388888888888889</v>
      </c>
      <c r="G96" s="66">
        <v>0.3388888888888889</v>
      </c>
      <c r="H96" s="11">
        <v>174.0</v>
      </c>
      <c r="I96" s="12">
        <v>0.4236111111111111</v>
      </c>
      <c r="J96" s="13">
        <v>0.4284722222222222</v>
      </c>
      <c r="K96" s="18"/>
      <c r="L96" s="11">
        <v>605.0</v>
      </c>
      <c r="M96" s="67">
        <v>179.0</v>
      </c>
      <c r="N96" s="12">
        <v>0.5381944444444444</v>
      </c>
      <c r="O96" s="13">
        <v>0.04236111111111111</v>
      </c>
      <c r="Q96" s="67">
        <v>605.0</v>
      </c>
      <c r="R96" s="67">
        <v>178.0</v>
      </c>
      <c r="S96" s="79">
        <v>0.11805555555555555</v>
      </c>
      <c r="T96" s="79">
        <v>0.12569444444444444</v>
      </c>
      <c r="V96" s="67">
        <v>605.0</v>
      </c>
      <c r="W96" s="67">
        <v>174.0</v>
      </c>
      <c r="X96" s="79">
        <v>0.20416666666666666</v>
      </c>
      <c r="Y96" s="79">
        <v>0.21180555555555555</v>
      </c>
      <c r="AA96" s="67">
        <v>605.0</v>
      </c>
      <c r="AB96" s="67">
        <v>173.0</v>
      </c>
      <c r="AC96" s="79">
        <v>0.2638888888888889</v>
      </c>
      <c r="AD96" s="79">
        <v>0.27152777777777776</v>
      </c>
      <c r="AF96" s="67">
        <f t="shared" si="1"/>
        <v>0</v>
      </c>
    </row>
    <row r="97" ht="15.75" customHeight="1">
      <c r="A97" s="47">
        <v>606.0</v>
      </c>
      <c r="B97" s="11">
        <v>92.0</v>
      </c>
      <c r="C97" s="12">
        <v>0.2673611111111111</v>
      </c>
      <c r="D97" s="13">
        <v>0.26805555555555555</v>
      </c>
      <c r="E97" s="64">
        <v>94.0</v>
      </c>
      <c r="F97" s="65">
        <v>0.32430555555555557</v>
      </c>
      <c r="G97" s="66">
        <v>0.32430555555555557</v>
      </c>
      <c r="H97" s="11">
        <v>118.0</v>
      </c>
      <c r="I97" s="12">
        <v>0.4013888888888889</v>
      </c>
      <c r="J97" s="13">
        <v>0.4097222222222222</v>
      </c>
      <c r="K97" s="18"/>
      <c r="L97" s="11">
        <v>606.0</v>
      </c>
      <c r="M97" s="67">
        <v>115.0</v>
      </c>
      <c r="N97" s="12">
        <v>0.4986111111111111</v>
      </c>
      <c r="O97" s="13">
        <v>0.5020833333333333</v>
      </c>
      <c r="Q97" s="67">
        <v>606.0</v>
      </c>
      <c r="R97" s="67">
        <v>120.0</v>
      </c>
      <c r="S97" s="79">
        <v>0.07916666666666666</v>
      </c>
      <c r="T97" s="79">
        <v>0.08333333333333333</v>
      </c>
      <c r="V97" s="67">
        <v>606.0</v>
      </c>
      <c r="W97" s="67">
        <v>126.0</v>
      </c>
      <c r="X97" s="79">
        <v>0.15625</v>
      </c>
      <c r="Y97" s="79">
        <v>0.1597222222222222</v>
      </c>
      <c r="AA97" s="67">
        <v>606.0</v>
      </c>
      <c r="AB97" s="67">
        <v>120.0</v>
      </c>
      <c r="AC97" s="79">
        <v>0.20902777777777778</v>
      </c>
      <c r="AD97" s="79">
        <v>0.21458333333333332</v>
      </c>
      <c r="AF97" s="67">
        <f t="shared" si="1"/>
        <v>0</v>
      </c>
    </row>
    <row r="98" ht="15.75" customHeight="1">
      <c r="A98" s="47">
        <v>607.0</v>
      </c>
      <c r="B98" s="11">
        <v>172.0</v>
      </c>
      <c r="C98" s="12">
        <v>0.2743055555555556</v>
      </c>
      <c r="D98" s="13">
        <v>0.275</v>
      </c>
      <c r="E98" s="64">
        <v>170.0</v>
      </c>
      <c r="F98" s="65">
        <v>0.3388888888888889</v>
      </c>
      <c r="G98" s="66">
        <v>0.3388888888888889</v>
      </c>
      <c r="H98" s="11">
        <v>155.0</v>
      </c>
      <c r="I98" s="12">
        <v>0.41388888888888886</v>
      </c>
      <c r="J98" s="13">
        <v>0.42083333333333334</v>
      </c>
      <c r="K98" s="18"/>
      <c r="L98" s="11">
        <v>607.0</v>
      </c>
      <c r="M98" s="67">
        <v>140.0</v>
      </c>
      <c r="N98" s="12">
        <v>0.5069444444444444</v>
      </c>
      <c r="O98" s="13">
        <v>0.5083333333333333</v>
      </c>
      <c r="Q98" s="67">
        <v>607.0</v>
      </c>
      <c r="R98" s="67">
        <v>130.0</v>
      </c>
      <c r="S98" s="79">
        <v>0.0798611111111111</v>
      </c>
      <c r="T98" s="79">
        <v>0.08541666666666667</v>
      </c>
      <c r="V98" s="67">
        <v>607.0</v>
      </c>
      <c r="W98" s="67">
        <v>130.0</v>
      </c>
      <c r="X98" s="79">
        <v>0.15763888888888888</v>
      </c>
      <c r="Y98" s="79">
        <v>0.15833333333333333</v>
      </c>
      <c r="AA98" s="67">
        <v>607.0</v>
      </c>
      <c r="AB98" s="67">
        <v>124.0</v>
      </c>
      <c r="AC98" s="79">
        <v>0.2111111111111111</v>
      </c>
      <c r="AD98" s="79">
        <v>0.21944444444444444</v>
      </c>
      <c r="AF98" s="67">
        <f t="shared" si="1"/>
        <v>0</v>
      </c>
    </row>
    <row r="99" ht="15.75" customHeight="1">
      <c r="A99" s="47">
        <v>608.0</v>
      </c>
      <c r="B99" s="11">
        <v>196.0</v>
      </c>
      <c r="C99" s="12">
        <v>0.28125</v>
      </c>
      <c r="D99" s="13">
        <v>0.28194444444444444</v>
      </c>
      <c r="E99" s="64">
        <v>193.0</v>
      </c>
      <c r="F99" s="65">
        <v>0.3541666666666667</v>
      </c>
      <c r="G99" s="66">
        <v>0.3541666666666667</v>
      </c>
      <c r="H99" s="11">
        <v>195.0</v>
      </c>
      <c r="I99" s="12">
        <v>0.44583333333333336</v>
      </c>
      <c r="J99" s="13">
        <v>0.45069444444444445</v>
      </c>
      <c r="L99" s="11">
        <v>608.0</v>
      </c>
      <c r="M99" s="67">
        <v>193.0</v>
      </c>
      <c r="N99" s="12">
        <v>0.06805555555555555</v>
      </c>
      <c r="O99" s="13">
        <v>0.06944444444444445</v>
      </c>
      <c r="Q99" s="67">
        <v>608.0</v>
      </c>
      <c r="R99" s="67">
        <v>195.0</v>
      </c>
      <c r="S99" s="79">
        <v>0.1597222222222222</v>
      </c>
      <c r="T99" s="79">
        <v>0.16319444444444445</v>
      </c>
      <c r="V99" s="67">
        <v>608.0</v>
      </c>
      <c r="W99" s="67">
        <v>191.0</v>
      </c>
      <c r="X99" s="79">
        <v>0.2520833333333333</v>
      </c>
      <c r="Y99" s="67" t="s">
        <v>178</v>
      </c>
      <c r="AF99" s="67">
        <f t="shared" si="1"/>
        <v>608</v>
      </c>
    </row>
    <row r="100" ht="15.75" customHeight="1">
      <c r="A100" s="47">
        <v>609.0</v>
      </c>
      <c r="B100" s="11"/>
      <c r="C100" s="12"/>
      <c r="D100" s="13"/>
      <c r="E100" s="64"/>
      <c r="F100" s="65"/>
      <c r="G100" s="66"/>
      <c r="H100" s="11">
        <v>11.0</v>
      </c>
      <c r="I100" s="12">
        <v>0.3486111111111111</v>
      </c>
      <c r="J100" s="13">
        <v>0.34930555555555554</v>
      </c>
      <c r="L100" s="11">
        <v>609.0</v>
      </c>
      <c r="M100" s="67">
        <v>5.0</v>
      </c>
      <c r="N100" s="12">
        <v>0.41458333333333336</v>
      </c>
      <c r="O100" s="13">
        <v>0.4152777777777778</v>
      </c>
      <c r="Q100" s="67">
        <v>609.0</v>
      </c>
      <c r="R100" s="67">
        <v>5.0</v>
      </c>
      <c r="S100" s="79">
        <v>0.4666666666666667</v>
      </c>
      <c r="T100" s="79">
        <v>0.46805555555555556</v>
      </c>
      <c r="V100" s="67">
        <v>609.0</v>
      </c>
      <c r="W100" s="67">
        <v>4.0</v>
      </c>
      <c r="X100" s="79">
        <v>0.5180555555555556</v>
      </c>
      <c r="Y100" s="79">
        <v>0.51875</v>
      </c>
      <c r="AA100" s="67">
        <v>609.0</v>
      </c>
      <c r="AB100" s="67">
        <v>5.0</v>
      </c>
      <c r="AC100" s="79">
        <v>0.052083333333333336</v>
      </c>
      <c r="AD100" s="79">
        <v>0.05486111111111111</v>
      </c>
      <c r="AF100" s="67">
        <f t="shared" si="1"/>
        <v>0</v>
      </c>
    </row>
    <row r="101" ht="15.75" customHeight="1">
      <c r="A101" s="47">
        <v>611.0</v>
      </c>
      <c r="B101" s="11">
        <v>49.0</v>
      </c>
      <c r="C101" s="12">
        <v>0.2611111111111111</v>
      </c>
      <c r="D101" s="13">
        <v>0.26180555555555557</v>
      </c>
      <c r="E101" s="64">
        <v>11.0</v>
      </c>
      <c r="F101" s="65">
        <v>0.2986111111111111</v>
      </c>
      <c r="G101" s="66">
        <v>0.2986111111111111</v>
      </c>
      <c r="H101" s="11">
        <v>44.0</v>
      </c>
      <c r="I101" s="12">
        <v>0.3736111111111111</v>
      </c>
      <c r="J101" s="13">
        <v>0.3784722222222222</v>
      </c>
      <c r="K101" s="18"/>
      <c r="L101" s="11">
        <v>611.0</v>
      </c>
      <c r="M101" s="67">
        <v>40.0</v>
      </c>
      <c r="N101" s="12">
        <v>0.45</v>
      </c>
      <c r="O101" s="13">
        <v>0.4527777777777778</v>
      </c>
      <c r="Q101" s="67">
        <v>611.0</v>
      </c>
      <c r="R101" s="67">
        <v>41.0</v>
      </c>
      <c r="S101" s="79">
        <v>0.5125</v>
      </c>
      <c r="T101" s="79">
        <v>0.5152777777777777</v>
      </c>
      <c r="V101" s="67">
        <v>611.0</v>
      </c>
      <c r="W101" s="67">
        <v>38.0</v>
      </c>
      <c r="X101" s="79">
        <v>0.07013888888888889</v>
      </c>
      <c r="Y101" s="79">
        <v>0.07083333333333333</v>
      </c>
      <c r="AA101" s="67">
        <v>611.0</v>
      </c>
      <c r="AB101" s="67">
        <v>32.0</v>
      </c>
      <c r="AC101" s="79">
        <v>0.10694444444444444</v>
      </c>
      <c r="AD101" s="79">
        <v>0.11736111111111111</v>
      </c>
      <c r="AF101" s="67">
        <f t="shared" si="1"/>
        <v>0</v>
      </c>
    </row>
    <row r="102" ht="15.75" customHeight="1">
      <c r="A102" s="47">
        <v>612.0</v>
      </c>
      <c r="B102" s="11">
        <v>190.0</v>
      </c>
      <c r="C102" s="12">
        <v>0.28055555555555556</v>
      </c>
      <c r="D102" s="13">
        <v>0.28125</v>
      </c>
      <c r="E102" s="64">
        <v>51.0</v>
      </c>
      <c r="F102" s="65">
        <v>0.3145833333333333</v>
      </c>
      <c r="G102" s="66">
        <v>0.3145833333333333</v>
      </c>
      <c r="H102" s="11">
        <v>191.0</v>
      </c>
      <c r="I102" s="12">
        <v>0.4395833333333333</v>
      </c>
      <c r="J102" s="13">
        <v>0.4444444444444444</v>
      </c>
      <c r="K102" s="18"/>
      <c r="L102" s="11">
        <v>612.0</v>
      </c>
      <c r="M102" s="67">
        <v>184.0</v>
      </c>
      <c r="N102" s="12">
        <v>0.04375</v>
      </c>
      <c r="O102" s="13">
        <v>0.04583333333333333</v>
      </c>
      <c r="Q102" s="67">
        <v>612.0</v>
      </c>
      <c r="R102" s="67">
        <v>186.0</v>
      </c>
      <c r="S102" s="79">
        <v>0.1326388888888889</v>
      </c>
      <c r="T102" s="79">
        <v>0.13541666666666666</v>
      </c>
      <c r="V102" s="67">
        <v>612.0</v>
      </c>
      <c r="W102" s="67">
        <v>183.0</v>
      </c>
      <c r="X102" s="79">
        <v>0.21805555555555556</v>
      </c>
      <c r="Y102" s="79">
        <v>0.21944444444444444</v>
      </c>
      <c r="AA102" s="67">
        <v>612.0</v>
      </c>
      <c r="AB102" s="67">
        <v>177.0</v>
      </c>
      <c r="AC102" s="79">
        <v>0.27361111111111114</v>
      </c>
      <c r="AD102" s="79">
        <v>0.28194444444444444</v>
      </c>
      <c r="AF102" s="67">
        <f t="shared" si="1"/>
        <v>0</v>
      </c>
    </row>
    <row r="103" ht="15.75" customHeight="1">
      <c r="A103" s="47">
        <v>613.0</v>
      </c>
      <c r="B103" s="11">
        <v>19.0</v>
      </c>
      <c r="C103" s="12">
        <v>0.25763888888888886</v>
      </c>
      <c r="D103" s="13">
        <v>0.25833333333333336</v>
      </c>
      <c r="E103" s="64">
        <v>192.0</v>
      </c>
      <c r="F103" s="65">
        <v>0.35347222222222224</v>
      </c>
      <c r="G103" s="66">
        <v>0.35347222222222224</v>
      </c>
      <c r="H103" s="11">
        <v>17.0</v>
      </c>
      <c r="I103" s="12">
        <v>0.3611111111111111</v>
      </c>
      <c r="J103" s="38" t="s">
        <v>178</v>
      </c>
      <c r="K103" s="18"/>
      <c r="AF103" s="67">
        <f t="shared" si="1"/>
        <v>613</v>
      </c>
    </row>
    <row r="104" ht="15.75" customHeight="1">
      <c r="A104" s="47">
        <v>614.0</v>
      </c>
      <c r="B104" s="11">
        <v>157.0</v>
      </c>
      <c r="C104" s="12">
        <v>0.2743055555555556</v>
      </c>
      <c r="D104" s="13">
        <v>0.275</v>
      </c>
      <c r="E104" s="64">
        <v>15.0</v>
      </c>
      <c r="F104" s="65">
        <v>0.3020833333333333</v>
      </c>
      <c r="G104" s="66">
        <v>0.3020833333333333</v>
      </c>
      <c r="H104" s="11">
        <v>182.0</v>
      </c>
      <c r="I104" s="12">
        <v>0.42777777777777776</v>
      </c>
      <c r="J104" s="13">
        <v>0.43333333333333335</v>
      </c>
      <c r="K104" s="18"/>
      <c r="L104" s="11">
        <v>614.0</v>
      </c>
      <c r="M104" s="67">
        <v>176.0</v>
      </c>
      <c r="N104" s="12">
        <v>0.5368055555555555</v>
      </c>
      <c r="O104" s="13">
        <v>0.04236111111111111</v>
      </c>
      <c r="Q104" s="67">
        <v>614.0</v>
      </c>
      <c r="R104" s="67">
        <v>176.0</v>
      </c>
      <c r="S104" s="79">
        <v>0.11736111111111111</v>
      </c>
      <c r="T104" s="79">
        <v>0.12291666666666666</v>
      </c>
      <c r="V104" s="67">
        <v>614.0</v>
      </c>
      <c r="W104" s="67">
        <v>173.0</v>
      </c>
      <c r="X104" s="79">
        <v>0.20208333333333334</v>
      </c>
      <c r="Y104" s="79">
        <v>0.21319444444444444</v>
      </c>
      <c r="AA104" s="67">
        <v>614.0</v>
      </c>
      <c r="AB104" s="67">
        <v>170.0</v>
      </c>
      <c r="AC104" s="79">
        <v>0.2625</v>
      </c>
      <c r="AD104" s="79">
        <v>0.26875</v>
      </c>
      <c r="AF104" s="67">
        <f t="shared" si="1"/>
        <v>0</v>
      </c>
    </row>
    <row r="105" ht="15.75" customHeight="1">
      <c r="A105" s="47">
        <v>615.0</v>
      </c>
      <c r="B105" s="11">
        <v>48.0</v>
      </c>
      <c r="C105" s="12">
        <v>0.2611111111111111</v>
      </c>
      <c r="D105" s="13">
        <v>0.26180555555555557</v>
      </c>
      <c r="E105" s="64">
        <v>169.0</v>
      </c>
      <c r="F105" s="65">
        <v>0.3388888888888889</v>
      </c>
      <c r="G105" s="66">
        <v>0.3388888888888889</v>
      </c>
      <c r="H105" s="11">
        <v>73.0</v>
      </c>
      <c r="I105" s="12">
        <v>0.3875</v>
      </c>
      <c r="J105" s="13">
        <v>0.4013888888888889</v>
      </c>
      <c r="K105" s="18"/>
      <c r="L105" s="11">
        <v>615.0</v>
      </c>
      <c r="M105" s="67">
        <v>86.0</v>
      </c>
      <c r="N105" s="12">
        <v>0.48055555555555557</v>
      </c>
      <c r="O105" s="13">
        <v>0.4840277777777778</v>
      </c>
      <c r="Q105" s="67">
        <v>615.0</v>
      </c>
      <c r="R105" s="67">
        <v>97.0</v>
      </c>
      <c r="S105" s="79">
        <v>0.059722222222222225</v>
      </c>
      <c r="T105" s="79">
        <v>0.06388888888888888</v>
      </c>
      <c r="V105" s="67">
        <v>615.0</v>
      </c>
      <c r="W105" s="67">
        <v>103.0</v>
      </c>
      <c r="X105" s="79">
        <v>0.13819444444444445</v>
      </c>
      <c r="Y105" s="79">
        <v>0.14375</v>
      </c>
      <c r="AA105" s="67">
        <v>615.0</v>
      </c>
      <c r="AB105" s="67">
        <v>102.0</v>
      </c>
      <c r="AC105" s="79">
        <v>0.19375</v>
      </c>
      <c r="AD105" s="79">
        <v>0.20625</v>
      </c>
      <c r="AF105" s="67">
        <f t="shared" si="1"/>
        <v>0</v>
      </c>
    </row>
    <row r="106" ht="15.75" customHeight="1">
      <c r="A106" s="47">
        <v>616.0</v>
      </c>
      <c r="B106" s="11">
        <v>138.0</v>
      </c>
      <c r="C106" s="12">
        <v>0.27152777777777776</v>
      </c>
      <c r="D106" s="13">
        <v>0.2722222222222222</v>
      </c>
      <c r="E106" s="64">
        <v>69.0</v>
      </c>
      <c r="F106" s="65">
        <v>0.32013888888888886</v>
      </c>
      <c r="G106" s="66">
        <v>0.32013888888888886</v>
      </c>
      <c r="H106" s="11">
        <v>187.0</v>
      </c>
      <c r="I106" s="12">
        <v>0.42916666666666664</v>
      </c>
      <c r="J106" s="13">
        <v>0.4305555555555556</v>
      </c>
      <c r="K106" s="18"/>
      <c r="L106" s="11">
        <v>616.0</v>
      </c>
      <c r="M106" s="67">
        <v>186.0</v>
      </c>
      <c r="N106" s="12">
        <v>0.04652777777777778</v>
      </c>
      <c r="O106" s="13">
        <v>0.04791666666666667</v>
      </c>
      <c r="Q106" s="67">
        <v>616.0</v>
      </c>
      <c r="R106" s="67">
        <v>194.0</v>
      </c>
      <c r="S106" s="79">
        <v>0.1597222222222222</v>
      </c>
      <c r="T106" s="67" t="s">
        <v>178</v>
      </c>
      <c r="AF106" s="67">
        <f t="shared" si="1"/>
        <v>616</v>
      </c>
    </row>
    <row r="107" ht="15.75" customHeight="1">
      <c r="A107" s="47">
        <v>617.0</v>
      </c>
      <c r="B107" s="11">
        <v>82.0</v>
      </c>
      <c r="C107" s="12">
        <v>0.2659722222222222</v>
      </c>
      <c r="D107" s="13">
        <v>0.26666666666666666</v>
      </c>
      <c r="E107" s="64">
        <v>173.0</v>
      </c>
      <c r="F107" s="65">
        <v>0.3388888888888889</v>
      </c>
      <c r="G107" s="66">
        <v>0.3388888888888889</v>
      </c>
      <c r="H107" s="11">
        <v>69.0</v>
      </c>
      <c r="I107" s="12">
        <v>0.3861111111111111</v>
      </c>
      <c r="J107" s="13">
        <v>0.38819444444444445</v>
      </c>
      <c r="K107" s="18"/>
      <c r="L107" s="11">
        <v>617.0</v>
      </c>
      <c r="M107" s="67">
        <v>58.0</v>
      </c>
      <c r="N107" s="12">
        <v>0.4625</v>
      </c>
      <c r="O107" s="13">
        <v>0.4652777777777778</v>
      </c>
      <c r="Q107" s="67">
        <v>617.0</v>
      </c>
      <c r="R107" s="67">
        <v>56.0</v>
      </c>
      <c r="S107" s="79">
        <v>0.5277777777777778</v>
      </c>
      <c r="T107" s="79">
        <v>0.5305555555555556</v>
      </c>
      <c r="V107" s="67">
        <v>617.0</v>
      </c>
      <c r="W107" s="67">
        <v>52.0</v>
      </c>
      <c r="X107" s="79">
        <v>0.08819444444444445</v>
      </c>
      <c r="Y107" s="79">
        <v>0.08958333333333333</v>
      </c>
      <c r="AA107" s="67">
        <v>617.0</v>
      </c>
      <c r="AB107" s="67">
        <v>51.0</v>
      </c>
      <c r="AC107" s="79">
        <v>0.13125</v>
      </c>
      <c r="AD107" s="79">
        <v>0.1375</v>
      </c>
      <c r="AF107" s="67">
        <f t="shared" si="1"/>
        <v>0</v>
      </c>
    </row>
    <row r="108" ht="15.75" customHeight="1">
      <c r="A108" s="47">
        <v>618.0</v>
      </c>
      <c r="B108" s="11">
        <v>8.0</v>
      </c>
      <c r="C108" s="12">
        <v>0.2520833333333333</v>
      </c>
      <c r="D108" s="13">
        <v>0.25277777777777777</v>
      </c>
      <c r="E108" s="64">
        <v>82.0</v>
      </c>
      <c r="F108" s="65">
        <v>0.3215277777777778</v>
      </c>
      <c r="G108" s="66">
        <v>0.3215277777777778</v>
      </c>
      <c r="H108" s="11">
        <v>4.0</v>
      </c>
      <c r="I108" s="12">
        <v>0.34375</v>
      </c>
      <c r="J108" s="13">
        <v>0.3451388888888889</v>
      </c>
      <c r="K108" s="18"/>
      <c r="L108" s="11">
        <v>618.0</v>
      </c>
      <c r="M108" s="67">
        <v>4.0</v>
      </c>
      <c r="N108" s="12">
        <v>0.4111111111111111</v>
      </c>
      <c r="O108" s="13">
        <v>0.4131944444444444</v>
      </c>
      <c r="Q108" s="67">
        <v>618.0</v>
      </c>
      <c r="R108" s="67">
        <v>4.0</v>
      </c>
      <c r="S108" s="79">
        <v>0.46319444444444446</v>
      </c>
      <c r="T108" s="79">
        <v>0.4652777777777778</v>
      </c>
      <c r="V108" s="67">
        <v>618.0</v>
      </c>
      <c r="W108" s="67">
        <v>3.0</v>
      </c>
      <c r="X108" s="79">
        <v>0.5118055555555555</v>
      </c>
      <c r="Y108" s="79">
        <v>0.5131944444444444</v>
      </c>
      <c r="AA108" s="67">
        <v>618.0</v>
      </c>
      <c r="AB108" s="67">
        <v>3.0</v>
      </c>
      <c r="AC108" s="79">
        <v>0.05</v>
      </c>
      <c r="AD108" s="81"/>
      <c r="AF108" s="67">
        <f t="shared" si="1"/>
        <v>0</v>
      </c>
    </row>
    <row r="109" ht="15.75" customHeight="1">
      <c r="A109" s="47">
        <v>620.0</v>
      </c>
      <c r="B109" s="11">
        <v>10.0</v>
      </c>
      <c r="C109" s="12">
        <v>0.2520833333333333</v>
      </c>
      <c r="D109" s="13">
        <v>0.25277777777777777</v>
      </c>
      <c r="E109" s="64">
        <v>5.0</v>
      </c>
      <c r="F109" s="65">
        <v>0.2923611111111111</v>
      </c>
      <c r="G109" s="66">
        <v>0.2923611111111111</v>
      </c>
      <c r="H109" s="11">
        <v>6.0</v>
      </c>
      <c r="I109" s="12">
        <v>0.34444444444444444</v>
      </c>
      <c r="J109" s="13">
        <v>0.34652777777777777</v>
      </c>
      <c r="K109" s="18"/>
      <c r="L109" s="11">
        <v>620.0</v>
      </c>
      <c r="M109" s="67">
        <v>7.0</v>
      </c>
      <c r="N109" s="12">
        <v>0.41597222222222224</v>
      </c>
      <c r="O109" s="13">
        <v>0.4166666666666667</v>
      </c>
      <c r="Q109" s="67">
        <v>620.0</v>
      </c>
      <c r="R109" s="67">
        <v>7.0</v>
      </c>
      <c r="S109" s="79">
        <v>0.4708333333333333</v>
      </c>
      <c r="T109" s="79">
        <v>0.4722222222222222</v>
      </c>
      <c r="V109" s="67">
        <v>620.0</v>
      </c>
      <c r="W109" s="67">
        <v>7.0</v>
      </c>
      <c r="X109" s="79">
        <v>0.5194444444444445</v>
      </c>
      <c r="Y109" s="79">
        <v>0.5208333333333334</v>
      </c>
      <c r="AA109" s="67">
        <v>620.0</v>
      </c>
      <c r="AB109" s="67">
        <v>7.0</v>
      </c>
      <c r="AC109" s="79">
        <v>0.05277777777777778</v>
      </c>
      <c r="AD109" s="79">
        <v>0.06111111111111111</v>
      </c>
      <c r="AF109" s="67">
        <f t="shared" si="1"/>
        <v>0</v>
      </c>
    </row>
    <row r="110" ht="15.75" customHeight="1">
      <c r="A110" s="47">
        <v>622.0</v>
      </c>
      <c r="B110" s="11">
        <v>184.0</v>
      </c>
      <c r="C110" s="12">
        <v>0.2777777777777778</v>
      </c>
      <c r="D110" s="13">
        <v>0.27847222222222223</v>
      </c>
      <c r="E110" s="64">
        <v>8.0</v>
      </c>
      <c r="F110" s="65">
        <v>0.29444444444444445</v>
      </c>
      <c r="G110" s="66">
        <v>0.29444444444444445</v>
      </c>
      <c r="H110" s="11">
        <v>189.0</v>
      </c>
      <c r="I110" s="12">
        <v>0.4305555555555556</v>
      </c>
      <c r="J110" s="13">
        <v>0.4375</v>
      </c>
      <c r="K110" s="18"/>
      <c r="L110" s="11">
        <v>622.0</v>
      </c>
      <c r="M110" s="67">
        <v>185.0</v>
      </c>
      <c r="N110" s="12">
        <v>0.044444444444444446</v>
      </c>
      <c r="O110" s="13">
        <v>0.04722222222222222</v>
      </c>
      <c r="Q110" s="67">
        <v>622.0</v>
      </c>
      <c r="R110" s="67">
        <v>185.0</v>
      </c>
      <c r="S110" s="79">
        <v>0.1284722222222222</v>
      </c>
      <c r="T110" s="79">
        <v>0.13055555555555556</v>
      </c>
      <c r="V110" s="67">
        <v>622.0</v>
      </c>
      <c r="W110" s="67">
        <v>179.0</v>
      </c>
      <c r="X110" s="79">
        <v>0.2111111111111111</v>
      </c>
      <c r="Y110" s="79">
        <v>0.21319444444444444</v>
      </c>
      <c r="AA110" s="67">
        <v>622.0</v>
      </c>
      <c r="AB110" s="67">
        <v>178.0</v>
      </c>
      <c r="AC110" s="79">
        <v>0.27569444444444446</v>
      </c>
      <c r="AD110" s="79">
        <v>0.27847222222222223</v>
      </c>
      <c r="AF110" s="67">
        <f t="shared" si="1"/>
        <v>0</v>
      </c>
    </row>
    <row r="111" ht="15.75" customHeight="1">
      <c r="A111" s="47">
        <v>623.0</v>
      </c>
      <c r="B111" s="11">
        <v>51.0</v>
      </c>
      <c r="C111" s="12">
        <v>0.2625</v>
      </c>
      <c r="D111" s="13">
        <v>0.26319444444444445</v>
      </c>
      <c r="E111" s="64">
        <v>185.0</v>
      </c>
      <c r="F111" s="65">
        <v>0.34444444444444444</v>
      </c>
      <c r="G111" s="66">
        <v>0.34444444444444444</v>
      </c>
      <c r="H111" s="11">
        <v>37.0</v>
      </c>
      <c r="I111" s="12">
        <v>0.37083333333333335</v>
      </c>
      <c r="J111" s="13">
        <v>0.3736111111111111</v>
      </c>
      <c r="K111" s="18"/>
      <c r="L111" s="11">
        <v>623.0</v>
      </c>
      <c r="M111" s="67">
        <v>32.0</v>
      </c>
      <c r="N111" s="12">
        <v>0.44583333333333336</v>
      </c>
      <c r="O111" s="13">
        <v>0.44722222222222224</v>
      </c>
      <c r="Q111" s="67">
        <v>623.0</v>
      </c>
      <c r="R111" s="67">
        <v>34.0</v>
      </c>
      <c r="S111" s="79">
        <v>0.5069444444444444</v>
      </c>
      <c r="T111" s="79">
        <v>0.5076388888888889</v>
      </c>
      <c r="V111" s="67">
        <v>623.0</v>
      </c>
      <c r="W111" s="67">
        <v>30.0</v>
      </c>
      <c r="X111" s="79">
        <v>0.06458333333333334</v>
      </c>
      <c r="Y111" s="79">
        <v>0.06666666666666667</v>
      </c>
      <c r="AA111" s="67">
        <v>623.0</v>
      </c>
      <c r="AB111" s="67">
        <v>37.0</v>
      </c>
      <c r="AC111" s="79">
        <v>0.11180555555555556</v>
      </c>
      <c r="AD111" s="79">
        <v>0.11180555555555556</v>
      </c>
      <c r="AF111" s="67">
        <f t="shared" si="1"/>
        <v>0</v>
      </c>
    </row>
    <row r="112" ht="15.75" customHeight="1">
      <c r="A112" s="47"/>
      <c r="B112" s="11"/>
      <c r="C112" s="12"/>
      <c r="D112" s="13"/>
      <c r="E112" s="64"/>
      <c r="F112" s="65"/>
      <c r="G112" s="66"/>
      <c r="H112" s="11"/>
      <c r="I112" s="12"/>
      <c r="J112" s="38"/>
      <c r="K112" s="18"/>
      <c r="AA112" s="67">
        <v>623.0</v>
      </c>
      <c r="AB112" s="67">
        <v>55.0</v>
      </c>
      <c r="AC112" s="79">
        <v>0.14097222222222222</v>
      </c>
      <c r="AD112" s="79">
        <v>0.15555555555555556</v>
      </c>
      <c r="AF112" s="67">
        <f t="shared" si="1"/>
        <v>-623</v>
      </c>
    </row>
    <row r="113" ht="15.75" customHeight="1">
      <c r="A113" s="47">
        <v>624.0</v>
      </c>
      <c r="B113" s="11">
        <v>180.0</v>
      </c>
      <c r="C113" s="12">
        <v>0.2777777777777778</v>
      </c>
      <c r="D113" s="13">
        <v>0.27847222222222223</v>
      </c>
      <c r="E113" s="64">
        <v>59.0</v>
      </c>
      <c r="F113" s="65">
        <v>0.3159722222222222</v>
      </c>
      <c r="G113" s="66">
        <v>0.3159722222222222</v>
      </c>
      <c r="H113" s="11">
        <v>199.0</v>
      </c>
      <c r="I113" s="12">
        <v>0.44930555555555557</v>
      </c>
      <c r="J113" s="38" t="s">
        <v>178</v>
      </c>
      <c r="K113" s="18"/>
      <c r="AF113" s="67">
        <f t="shared" si="1"/>
        <v>624</v>
      </c>
    </row>
    <row r="114" ht="15.75" customHeight="1">
      <c r="A114" s="47">
        <v>625.0</v>
      </c>
      <c r="B114" s="11">
        <v>134.0</v>
      </c>
      <c r="C114" s="12">
        <v>0.27152777777777776</v>
      </c>
      <c r="D114" s="13">
        <v>0.2722222222222222</v>
      </c>
      <c r="E114" s="64">
        <v>183.0</v>
      </c>
      <c r="F114" s="65">
        <v>0.34444444444444444</v>
      </c>
      <c r="G114" s="66">
        <v>0.34444444444444444</v>
      </c>
      <c r="H114" s="11">
        <v>125.0</v>
      </c>
      <c r="I114" s="12">
        <v>0.4041666666666667</v>
      </c>
      <c r="J114" s="13">
        <v>0.4125</v>
      </c>
      <c r="K114" s="18"/>
      <c r="L114" s="11">
        <v>625.0</v>
      </c>
      <c r="M114" s="67">
        <v>112.0</v>
      </c>
      <c r="N114" s="12">
        <v>0.4979166666666667</v>
      </c>
      <c r="O114" s="13">
        <v>0.5</v>
      </c>
      <c r="Q114" s="67">
        <v>625.0</v>
      </c>
      <c r="R114" s="67">
        <v>107.0</v>
      </c>
      <c r="S114" s="79">
        <v>0.06875</v>
      </c>
      <c r="T114" s="79">
        <v>0.07152777777777777</v>
      </c>
      <c r="V114" s="67">
        <v>625.0</v>
      </c>
      <c r="W114" s="67">
        <v>100.0</v>
      </c>
      <c r="X114" s="79">
        <v>0.13680555555555557</v>
      </c>
      <c r="Y114" s="79">
        <v>0.14027777777777778</v>
      </c>
      <c r="AA114" s="67">
        <v>625.0</v>
      </c>
      <c r="AB114" s="67">
        <v>96.0</v>
      </c>
      <c r="AC114" s="79">
        <v>0.18541666666666667</v>
      </c>
      <c r="AD114" s="79">
        <v>0.19930555555555557</v>
      </c>
      <c r="AF114" s="67">
        <f t="shared" si="1"/>
        <v>0</v>
      </c>
    </row>
    <row r="115" ht="15.75" customHeight="1">
      <c r="A115" s="47">
        <v>626.0</v>
      </c>
      <c r="B115" s="11">
        <v>139.0</v>
      </c>
      <c r="C115" s="12">
        <v>0.27152777777777776</v>
      </c>
      <c r="D115" s="13">
        <v>0.2722222222222222</v>
      </c>
      <c r="E115" s="64">
        <v>130.0</v>
      </c>
      <c r="F115" s="65">
        <v>0.3326388888888889</v>
      </c>
      <c r="G115" s="66">
        <v>0.3326388888888889</v>
      </c>
      <c r="H115" s="11">
        <v>151.0</v>
      </c>
      <c r="I115" s="12">
        <v>0.4131944444444444</v>
      </c>
      <c r="J115" s="13">
        <v>0.41805555555555557</v>
      </c>
      <c r="K115" s="18"/>
      <c r="L115" s="11">
        <v>626.0</v>
      </c>
      <c r="M115" s="67">
        <v>137.0</v>
      </c>
      <c r="N115" s="12">
        <v>0.5055555555555555</v>
      </c>
      <c r="O115" s="13">
        <v>0.5076388888888889</v>
      </c>
      <c r="Q115" s="67">
        <v>626.0</v>
      </c>
      <c r="R115" s="67">
        <v>127.0</v>
      </c>
      <c r="S115" s="79">
        <v>0.0798611111111111</v>
      </c>
      <c r="T115" s="79">
        <v>0.08333333333333333</v>
      </c>
      <c r="V115" s="67">
        <v>626.0</v>
      </c>
      <c r="W115" s="67">
        <v>110.0</v>
      </c>
      <c r="X115" s="79">
        <v>0.14791666666666667</v>
      </c>
      <c r="Y115" s="79">
        <v>0.15069444444444444</v>
      </c>
      <c r="AA115" s="67">
        <v>626.0</v>
      </c>
      <c r="AB115" s="67">
        <v>106.0</v>
      </c>
      <c r="AC115" s="79">
        <v>0.19791666666666666</v>
      </c>
      <c r="AD115" s="79">
        <v>0.20625</v>
      </c>
      <c r="AF115" s="67">
        <f t="shared" si="1"/>
        <v>0</v>
      </c>
    </row>
    <row r="116" ht="15.75" customHeight="1">
      <c r="A116" s="47">
        <v>627.0</v>
      </c>
      <c r="B116" s="11">
        <v>127.0</v>
      </c>
      <c r="C116" s="12">
        <v>0.2708333333333333</v>
      </c>
      <c r="D116" s="13">
        <v>0.27152777777777776</v>
      </c>
      <c r="E116" s="64">
        <v>145.0</v>
      </c>
      <c r="F116" s="65">
        <v>0.3368055555555556</v>
      </c>
      <c r="G116" s="66">
        <v>0.3368055555555556</v>
      </c>
      <c r="H116" s="11">
        <v>160.0</v>
      </c>
      <c r="I116" s="12">
        <v>0.41597222222222224</v>
      </c>
      <c r="J116" s="13">
        <v>0.4222222222222222</v>
      </c>
      <c r="K116" s="18"/>
      <c r="L116" s="11">
        <v>627.0</v>
      </c>
      <c r="M116" s="67">
        <v>150.0</v>
      </c>
      <c r="N116" s="12">
        <v>0.5145833333333333</v>
      </c>
      <c r="O116" s="13">
        <v>0.5159722222222223</v>
      </c>
      <c r="Q116" s="67">
        <v>627.0</v>
      </c>
      <c r="R116" s="67">
        <v>149.0</v>
      </c>
      <c r="S116" s="79">
        <v>0.09236111111111112</v>
      </c>
      <c r="T116" s="79">
        <v>0.09444444444444444</v>
      </c>
      <c r="V116" s="67">
        <v>627.0</v>
      </c>
      <c r="W116" s="67">
        <v>140.0</v>
      </c>
      <c r="X116" s="79">
        <v>0.1673611111111111</v>
      </c>
      <c r="Y116" s="79">
        <v>0.16944444444444445</v>
      </c>
      <c r="AA116" s="67">
        <v>627.0</v>
      </c>
      <c r="AB116" s="67">
        <v>140.0</v>
      </c>
      <c r="AC116" s="79">
        <v>0.22291666666666668</v>
      </c>
      <c r="AD116" s="79">
        <v>0.2263888888888889</v>
      </c>
      <c r="AF116" s="67">
        <f t="shared" si="1"/>
        <v>0</v>
      </c>
    </row>
    <row r="117" ht="15.75" customHeight="1">
      <c r="A117" s="47">
        <v>628.0</v>
      </c>
      <c r="B117" s="11">
        <v>135.0</v>
      </c>
      <c r="C117" s="12">
        <v>0.27152777777777776</v>
      </c>
      <c r="D117" s="13">
        <v>0.2722222222222222</v>
      </c>
      <c r="E117" s="64">
        <v>147.0</v>
      </c>
      <c r="F117" s="65">
        <v>0.3368055555555556</v>
      </c>
      <c r="G117" s="66">
        <v>0.3368055555555556</v>
      </c>
      <c r="H117" s="11">
        <v>157.0</v>
      </c>
      <c r="I117" s="12">
        <v>0.41458333333333336</v>
      </c>
      <c r="J117" s="13">
        <v>0.42083333333333334</v>
      </c>
      <c r="K117" s="18"/>
      <c r="L117" s="11">
        <v>628.0</v>
      </c>
      <c r="M117" s="67">
        <v>148.0</v>
      </c>
      <c r="N117" s="12">
        <v>0.5138888888888888</v>
      </c>
      <c r="O117" s="13">
        <v>0.5173611111111112</v>
      </c>
      <c r="Q117" s="67">
        <v>628.0</v>
      </c>
      <c r="R117" s="67">
        <v>144.0</v>
      </c>
      <c r="S117" s="79">
        <v>0.09166666666666666</v>
      </c>
      <c r="T117" s="79">
        <v>0.09305555555555556</v>
      </c>
      <c r="V117" s="67">
        <v>628.0</v>
      </c>
      <c r="W117" s="67">
        <v>146.0</v>
      </c>
      <c r="X117" s="79">
        <v>0.16805555555555557</v>
      </c>
      <c r="Y117" s="79">
        <v>0.1701388888888889</v>
      </c>
      <c r="AA117" s="67">
        <v>628.0</v>
      </c>
      <c r="AB117" s="67">
        <v>138.0</v>
      </c>
      <c r="AC117" s="79">
        <v>0.22083333333333333</v>
      </c>
      <c r="AD117" s="79">
        <v>0.225</v>
      </c>
      <c r="AF117" s="67">
        <f t="shared" si="1"/>
        <v>0</v>
      </c>
    </row>
    <row r="118" ht="15.75" customHeight="1">
      <c r="A118" s="47">
        <v>629.0</v>
      </c>
      <c r="B118" s="11">
        <v>29.0</v>
      </c>
      <c r="C118" s="12">
        <v>0.25972222222222224</v>
      </c>
      <c r="D118" s="13">
        <v>0.2604166666666667</v>
      </c>
      <c r="E118" s="64">
        <v>118.0</v>
      </c>
      <c r="F118" s="65">
        <v>0.3298611111111111</v>
      </c>
      <c r="G118" s="66">
        <v>0.3298611111111111</v>
      </c>
      <c r="H118" s="11">
        <v>19.0</v>
      </c>
      <c r="I118" s="12">
        <v>0.3625</v>
      </c>
      <c r="J118" s="13">
        <v>0.36527777777777776</v>
      </c>
      <c r="K118" s="18"/>
      <c r="L118" s="11">
        <v>629.0</v>
      </c>
      <c r="M118" s="67">
        <v>17.0</v>
      </c>
      <c r="N118" s="12">
        <v>0.43472222222222223</v>
      </c>
      <c r="O118" s="13">
        <v>0.43680555555555556</v>
      </c>
      <c r="Q118" s="67">
        <v>629.0</v>
      </c>
      <c r="R118" s="67">
        <v>17.0</v>
      </c>
      <c r="S118" s="79">
        <v>0.4930555555555556</v>
      </c>
      <c r="T118" s="79">
        <v>0.4965277777777778</v>
      </c>
      <c r="V118" s="67">
        <v>629.0</v>
      </c>
      <c r="W118" s="67">
        <v>18.0</v>
      </c>
      <c r="X118" s="79">
        <v>0.050694444444444445</v>
      </c>
      <c r="Y118" s="79">
        <v>0.05416666666666667</v>
      </c>
      <c r="AA118" s="67">
        <v>629.0</v>
      </c>
      <c r="AB118" s="67">
        <v>15.0</v>
      </c>
      <c r="AC118" s="79">
        <v>0.09027777777777778</v>
      </c>
      <c r="AD118" s="79">
        <v>0.09583333333333334</v>
      </c>
      <c r="AF118" s="67">
        <f t="shared" si="1"/>
        <v>0</v>
      </c>
    </row>
    <row r="119" ht="15.75" customHeight="1">
      <c r="A119" s="47">
        <v>630.0</v>
      </c>
      <c r="B119" s="11">
        <v>149.0</v>
      </c>
      <c r="C119" s="12">
        <v>0.27152777777777776</v>
      </c>
      <c r="D119" s="13">
        <v>0.2722222222222222</v>
      </c>
      <c r="E119" s="64">
        <v>28.0</v>
      </c>
      <c r="F119" s="65">
        <v>0.30694444444444446</v>
      </c>
      <c r="G119" s="66">
        <v>0.30694444444444446</v>
      </c>
      <c r="H119" s="11">
        <v>164.0</v>
      </c>
      <c r="I119" s="12">
        <v>0.41875</v>
      </c>
      <c r="J119" s="13">
        <v>0.43472222222222223</v>
      </c>
      <c r="K119" s="18"/>
      <c r="L119" s="11">
        <v>630.0</v>
      </c>
      <c r="M119" s="67">
        <v>167.0</v>
      </c>
      <c r="N119" s="12">
        <v>0.5291666666666667</v>
      </c>
      <c r="O119" s="13">
        <v>0.5333333333333333</v>
      </c>
      <c r="Q119" s="67">
        <v>630.0</v>
      </c>
      <c r="R119" s="67">
        <v>173.0</v>
      </c>
      <c r="S119" s="79">
        <v>0.11388888888888889</v>
      </c>
      <c r="T119" s="79">
        <v>0.12222222222222222</v>
      </c>
      <c r="V119" s="67">
        <v>630.0</v>
      </c>
      <c r="W119" s="67">
        <v>175.0</v>
      </c>
      <c r="X119" s="79">
        <v>0.20555555555555555</v>
      </c>
      <c r="Y119" s="79">
        <v>0.20972222222222223</v>
      </c>
      <c r="AA119" s="67">
        <v>630.0</v>
      </c>
      <c r="AB119" s="67">
        <v>172.0</v>
      </c>
      <c r="AC119" s="79">
        <v>0.2625</v>
      </c>
      <c r="AD119" s="79">
        <v>0.28194444444444444</v>
      </c>
      <c r="AF119" s="67">
        <f t="shared" si="1"/>
        <v>0</v>
      </c>
    </row>
    <row r="120" ht="15.75" customHeight="1">
      <c r="A120" s="47">
        <v>631.0</v>
      </c>
      <c r="B120" s="11">
        <v>33.0</v>
      </c>
      <c r="C120" s="12">
        <v>0.25972222222222224</v>
      </c>
      <c r="D120" s="13">
        <v>0.2604166666666667</v>
      </c>
      <c r="E120" s="64">
        <v>155.0</v>
      </c>
      <c r="F120" s="65">
        <v>0.33819444444444446</v>
      </c>
      <c r="G120" s="66">
        <v>0.33819444444444446</v>
      </c>
      <c r="H120" s="11">
        <v>32.0</v>
      </c>
      <c r="I120" s="12">
        <v>0.36875</v>
      </c>
      <c r="J120" s="13">
        <v>0.37083333333333335</v>
      </c>
      <c r="K120" s="18"/>
      <c r="L120" s="11">
        <v>631.0</v>
      </c>
      <c r="M120" s="67">
        <v>45.0</v>
      </c>
      <c r="N120" s="12">
        <v>0.4534722222222222</v>
      </c>
      <c r="O120" s="13">
        <v>0.45555555555555555</v>
      </c>
      <c r="Q120" s="67">
        <v>631.0</v>
      </c>
      <c r="R120" s="67">
        <v>51.0</v>
      </c>
      <c r="S120" s="79">
        <v>0.5222222222222223</v>
      </c>
      <c r="T120" s="79">
        <v>0.5243055555555556</v>
      </c>
      <c r="V120" s="67">
        <v>631.0</v>
      </c>
      <c r="W120" s="67">
        <v>56.0</v>
      </c>
      <c r="X120" s="79">
        <v>0.09097222222222222</v>
      </c>
      <c r="Y120" s="79">
        <v>0.09236111111111112</v>
      </c>
      <c r="AA120" s="67">
        <v>631.0</v>
      </c>
      <c r="AB120" s="67">
        <v>58.0</v>
      </c>
      <c r="AC120" s="79">
        <v>0.14166666666666666</v>
      </c>
      <c r="AD120" s="79">
        <v>0.14583333333333334</v>
      </c>
      <c r="AF120" s="67">
        <f t="shared" si="1"/>
        <v>0</v>
      </c>
    </row>
    <row r="121" ht="15.75" customHeight="1">
      <c r="A121" s="47">
        <v>632.0</v>
      </c>
      <c r="B121" s="11">
        <v>179.0</v>
      </c>
      <c r="C121" s="12">
        <v>0.2763888888888889</v>
      </c>
      <c r="D121" s="13">
        <v>0.27708333333333335</v>
      </c>
      <c r="E121" s="64">
        <v>32.0</v>
      </c>
      <c r="F121" s="65">
        <v>0.3090277777777778</v>
      </c>
      <c r="G121" s="66">
        <v>0.3090277777777778</v>
      </c>
      <c r="H121" s="11">
        <v>172.0</v>
      </c>
      <c r="I121" s="12">
        <v>0.4236111111111111</v>
      </c>
      <c r="J121" s="13">
        <v>0.4284722222222222</v>
      </c>
      <c r="K121" s="18"/>
      <c r="L121" s="11">
        <v>632.0</v>
      </c>
      <c r="M121" s="67">
        <v>160.0</v>
      </c>
      <c r="N121" s="12">
        <v>0.5256944444444445</v>
      </c>
      <c r="O121" s="13">
        <v>0.5270833333333333</v>
      </c>
      <c r="Q121" s="67">
        <v>632.0</v>
      </c>
      <c r="R121" s="67">
        <v>160.0</v>
      </c>
      <c r="S121" s="79">
        <v>0.10555555555555556</v>
      </c>
      <c r="T121" s="79">
        <v>0.10694444444444444</v>
      </c>
      <c r="V121" s="67">
        <v>632.0</v>
      </c>
      <c r="W121" s="67">
        <v>150.0</v>
      </c>
      <c r="X121" s="79">
        <v>0.18055555555555555</v>
      </c>
      <c r="Y121" s="79">
        <v>0.18125</v>
      </c>
      <c r="AA121" s="67">
        <v>632.0</v>
      </c>
      <c r="AB121" s="67">
        <v>150.0</v>
      </c>
      <c r="AC121" s="79">
        <v>0.2375</v>
      </c>
      <c r="AD121" s="79">
        <v>0.24444444444444444</v>
      </c>
      <c r="AF121" s="67">
        <f t="shared" si="1"/>
        <v>0</v>
      </c>
    </row>
    <row r="122" ht="15.75" customHeight="1">
      <c r="A122" s="47">
        <v>633.0</v>
      </c>
      <c r="B122" s="11">
        <v>183.0</v>
      </c>
      <c r="C122" s="12">
        <v>0.2777777777777778</v>
      </c>
      <c r="D122" s="13">
        <v>0.27847222222222223</v>
      </c>
      <c r="E122" s="64">
        <v>178.0</v>
      </c>
      <c r="F122" s="65">
        <v>0.34375</v>
      </c>
      <c r="G122" s="66">
        <v>0.34375</v>
      </c>
      <c r="H122" s="11">
        <v>186.0</v>
      </c>
      <c r="I122" s="12">
        <v>0.4284722222222222</v>
      </c>
      <c r="J122" s="13">
        <v>0.4326388888888889</v>
      </c>
      <c r="K122" s="18"/>
      <c r="L122" s="11">
        <v>633.0</v>
      </c>
      <c r="M122" s="67">
        <v>168.0</v>
      </c>
      <c r="N122" s="12">
        <v>0.5298611111111111</v>
      </c>
      <c r="O122" s="13">
        <v>0.5326388888888889</v>
      </c>
      <c r="Q122" s="67">
        <v>633.0</v>
      </c>
      <c r="R122" s="67">
        <v>166.0</v>
      </c>
      <c r="S122" s="79">
        <v>0.10833333333333334</v>
      </c>
      <c r="T122" s="79">
        <v>0.11180555555555556</v>
      </c>
      <c r="V122" s="67">
        <v>633.0</v>
      </c>
      <c r="W122" s="67">
        <v>157.0</v>
      </c>
      <c r="X122" s="79">
        <v>0.18541666666666667</v>
      </c>
      <c r="Y122" s="79">
        <v>0.18888888888888888</v>
      </c>
      <c r="AA122" s="67">
        <v>633.0</v>
      </c>
      <c r="AB122" s="67">
        <v>155.0</v>
      </c>
      <c r="AC122" s="79">
        <v>0.24097222222222223</v>
      </c>
      <c r="AD122" s="79">
        <v>0.24861111111111112</v>
      </c>
      <c r="AF122" s="67">
        <f t="shared" si="1"/>
        <v>0</v>
      </c>
    </row>
    <row r="123" ht="15.75" customHeight="1">
      <c r="A123" s="47">
        <v>637.0</v>
      </c>
      <c r="B123" s="11">
        <v>73.0</v>
      </c>
      <c r="C123" s="12">
        <v>0.26458333333333334</v>
      </c>
      <c r="D123" s="13">
        <v>0.2652777777777778</v>
      </c>
      <c r="E123" s="64">
        <v>187.0</v>
      </c>
      <c r="F123" s="65">
        <v>0.3486111111111111</v>
      </c>
      <c r="G123" s="66">
        <v>0.3486111111111111</v>
      </c>
      <c r="H123" s="11">
        <v>76.0</v>
      </c>
      <c r="I123" s="12">
        <v>0.38819444444444445</v>
      </c>
      <c r="J123" s="13">
        <v>0.3909722222222222</v>
      </c>
      <c r="K123" s="18"/>
      <c r="L123" s="11">
        <v>637.0</v>
      </c>
      <c r="M123" s="67">
        <v>72.0</v>
      </c>
      <c r="N123" s="12">
        <v>0.4736111111111111</v>
      </c>
      <c r="O123" s="13">
        <v>0.4756944444444444</v>
      </c>
      <c r="Q123" s="67">
        <v>637.0</v>
      </c>
      <c r="R123" s="67">
        <v>81.0</v>
      </c>
      <c r="S123" s="79">
        <v>0.05</v>
      </c>
      <c r="T123" s="79">
        <v>0.050694444444444445</v>
      </c>
      <c r="V123" s="67">
        <v>637.0</v>
      </c>
      <c r="W123" s="67">
        <v>76.0</v>
      </c>
      <c r="X123" s="79">
        <v>0.11319444444444444</v>
      </c>
      <c r="Y123" s="79">
        <v>0.11458333333333333</v>
      </c>
      <c r="AA123" s="67">
        <v>637.0</v>
      </c>
      <c r="AB123" s="67">
        <v>68.0</v>
      </c>
      <c r="AC123" s="79">
        <v>0.1597222222222222</v>
      </c>
      <c r="AD123" s="79">
        <v>0.1625</v>
      </c>
      <c r="AF123" s="67">
        <f t="shared" si="1"/>
        <v>0</v>
      </c>
    </row>
    <row r="124" ht="15.75" customHeight="1">
      <c r="A124" s="47">
        <v>638.0</v>
      </c>
      <c r="B124" s="11">
        <v>161.0</v>
      </c>
      <c r="C124" s="12">
        <v>0.2743055555555556</v>
      </c>
      <c r="D124" s="13">
        <v>0.275</v>
      </c>
      <c r="E124" s="64">
        <v>69.0</v>
      </c>
      <c r="F124" s="65">
        <v>0.32083333333333336</v>
      </c>
      <c r="G124" s="66">
        <v>0.32083333333333336</v>
      </c>
      <c r="H124" s="11">
        <v>140.0</v>
      </c>
      <c r="I124" s="12">
        <v>0.4097222222222222</v>
      </c>
      <c r="J124" s="13">
        <v>0.4131944444444444</v>
      </c>
      <c r="K124" s="18"/>
      <c r="L124" s="11">
        <v>638.0</v>
      </c>
      <c r="M124" s="67">
        <v>113.0</v>
      </c>
      <c r="N124" s="12">
        <v>0.4986111111111111</v>
      </c>
      <c r="O124" s="13">
        <v>0.5006944444444444</v>
      </c>
      <c r="Q124" s="67">
        <v>638.0</v>
      </c>
      <c r="R124" s="67">
        <v>106.0</v>
      </c>
      <c r="S124" s="79">
        <v>0.06875</v>
      </c>
      <c r="T124" s="79">
        <v>0.07152777777777777</v>
      </c>
      <c r="V124" s="67">
        <v>638.0</v>
      </c>
      <c r="W124" s="67">
        <v>101.0</v>
      </c>
      <c r="X124" s="79">
        <v>0.13680555555555557</v>
      </c>
      <c r="Y124" s="79">
        <v>0.13958333333333334</v>
      </c>
      <c r="AA124" s="67">
        <v>638.0</v>
      </c>
      <c r="AB124" s="67">
        <v>97.0</v>
      </c>
      <c r="AC124" s="79">
        <v>0.18541666666666667</v>
      </c>
      <c r="AD124" s="79">
        <v>0.18958333333333333</v>
      </c>
      <c r="AF124" s="67">
        <f t="shared" si="1"/>
        <v>0</v>
      </c>
    </row>
    <row r="125" ht="15.75" customHeight="1">
      <c r="A125" s="47">
        <v>639.0</v>
      </c>
      <c r="B125" s="11">
        <v>83.0</v>
      </c>
      <c r="C125" s="12">
        <v>0.2659722222222222</v>
      </c>
      <c r="D125" s="13">
        <v>0.26666666666666666</v>
      </c>
      <c r="E125" s="64">
        <v>167.0</v>
      </c>
      <c r="F125" s="65">
        <v>0.3388888888888889</v>
      </c>
      <c r="G125" s="66">
        <v>0.3388888888888889</v>
      </c>
      <c r="H125" s="11">
        <v>105.0</v>
      </c>
      <c r="I125" s="12">
        <v>0.3972222222222222</v>
      </c>
      <c r="J125" s="13">
        <v>0.4041666666666667</v>
      </c>
      <c r="K125" s="18"/>
      <c r="L125" s="11">
        <v>639.0</v>
      </c>
      <c r="M125" s="67">
        <v>120.0</v>
      </c>
      <c r="N125" s="12">
        <v>0.5006944444444444</v>
      </c>
      <c r="O125" s="13">
        <v>0.5041666666666667</v>
      </c>
      <c r="Q125" s="67">
        <v>639.0</v>
      </c>
      <c r="R125" s="67">
        <v>139.0</v>
      </c>
      <c r="S125" s="81"/>
      <c r="T125" s="79">
        <v>0.0875</v>
      </c>
      <c r="V125" s="67">
        <v>639.0</v>
      </c>
      <c r="W125" s="67">
        <v>136.0</v>
      </c>
      <c r="X125" s="79">
        <v>0.16458333333333333</v>
      </c>
      <c r="Y125" s="79">
        <v>0.16944444444444445</v>
      </c>
      <c r="AA125" s="67">
        <v>639.0</v>
      </c>
      <c r="AB125" s="67">
        <v>145.0</v>
      </c>
      <c r="AC125" s="79">
        <v>0.22847222222222222</v>
      </c>
      <c r="AD125" s="79">
        <v>0.24027777777777778</v>
      </c>
      <c r="AF125" s="67">
        <f t="shared" si="1"/>
        <v>0</v>
      </c>
    </row>
    <row r="126" ht="15.75" customHeight="1">
      <c r="A126" s="47">
        <v>640.0</v>
      </c>
      <c r="B126" s="11">
        <v>25.0</v>
      </c>
      <c r="C126" s="12">
        <v>0.2590277777777778</v>
      </c>
      <c r="D126" s="13">
        <v>0.25972222222222224</v>
      </c>
      <c r="E126" s="64">
        <v>89.0</v>
      </c>
      <c r="F126" s="65">
        <v>0.32430555555555557</v>
      </c>
      <c r="G126" s="66">
        <v>0.32430555555555557</v>
      </c>
      <c r="H126" s="11">
        <v>25.0</v>
      </c>
      <c r="I126" s="12">
        <v>0.3638888888888889</v>
      </c>
      <c r="J126" s="13">
        <v>0.3680555555555556</v>
      </c>
      <c r="K126" s="18"/>
      <c r="L126" s="11">
        <v>640.0</v>
      </c>
      <c r="M126" s="67">
        <v>28.0</v>
      </c>
      <c r="N126" s="12">
        <v>0.4444444444444444</v>
      </c>
      <c r="O126" s="13">
        <v>0.44722222222222224</v>
      </c>
      <c r="Q126" s="67">
        <v>640.0</v>
      </c>
      <c r="R126" s="67">
        <v>32.0</v>
      </c>
      <c r="S126" s="79">
        <v>0.5048611111111111</v>
      </c>
      <c r="T126" s="79">
        <v>0.5069444444444444</v>
      </c>
      <c r="V126" s="67">
        <v>640.0</v>
      </c>
      <c r="W126" s="67">
        <v>34.0</v>
      </c>
      <c r="X126" s="79">
        <v>0.06666666666666667</v>
      </c>
      <c r="Y126" s="79">
        <v>0.07013888888888889</v>
      </c>
      <c r="AA126" s="67">
        <v>640.0</v>
      </c>
      <c r="AB126" s="67">
        <v>42.0</v>
      </c>
      <c r="AC126" s="79">
        <v>0.11458333333333333</v>
      </c>
      <c r="AD126" s="67" t="s">
        <v>178</v>
      </c>
      <c r="AF126" s="67">
        <f t="shared" si="1"/>
        <v>0</v>
      </c>
    </row>
    <row r="127" ht="15.75" customHeight="1">
      <c r="A127" s="47">
        <v>641.0</v>
      </c>
      <c r="B127" s="11">
        <v>171.0</v>
      </c>
      <c r="C127" s="12">
        <v>0.2743055555555556</v>
      </c>
      <c r="D127" s="13">
        <v>0.275</v>
      </c>
      <c r="E127" s="64">
        <v>31.0</v>
      </c>
      <c r="F127" s="65">
        <v>0.3076388888888889</v>
      </c>
      <c r="G127" s="66">
        <v>0.3076388888888889</v>
      </c>
      <c r="H127" s="11">
        <v>150.0</v>
      </c>
      <c r="I127" s="12">
        <v>0.4125</v>
      </c>
      <c r="J127" s="13">
        <v>0.4305555555555556</v>
      </c>
      <c r="K127" s="18"/>
      <c r="L127" s="11">
        <v>641.0</v>
      </c>
      <c r="M127" s="67">
        <v>171.0</v>
      </c>
      <c r="N127" s="12">
        <v>0.53125</v>
      </c>
      <c r="O127" s="13">
        <v>0.5361111111111111</v>
      </c>
      <c r="Q127" s="67">
        <v>641.0</v>
      </c>
      <c r="R127" s="67">
        <v>187.0</v>
      </c>
      <c r="S127" s="79">
        <v>0.1326388888888889</v>
      </c>
      <c r="T127" s="79">
        <v>0.13819444444444445</v>
      </c>
      <c r="V127" s="67">
        <v>641.0</v>
      </c>
      <c r="W127" s="67">
        <v>187.0</v>
      </c>
      <c r="X127" s="79">
        <v>0.23194444444444445</v>
      </c>
      <c r="Y127" s="79">
        <v>0.23541666666666666</v>
      </c>
      <c r="AA127" s="67">
        <v>641.0</v>
      </c>
      <c r="AB127" s="67">
        <v>186.0</v>
      </c>
      <c r="AC127" s="79">
        <v>0.29791666666666666</v>
      </c>
      <c r="AD127" s="67" t="s">
        <v>178</v>
      </c>
      <c r="AF127" s="67">
        <f t="shared" si="1"/>
        <v>0</v>
      </c>
    </row>
    <row r="128" ht="15.75" customHeight="1">
      <c r="A128" s="47">
        <v>642.0</v>
      </c>
      <c r="B128" s="11">
        <v>39.0</v>
      </c>
      <c r="C128" s="12">
        <v>0.2604166666666667</v>
      </c>
      <c r="D128" s="13">
        <v>0.26180555555555557</v>
      </c>
      <c r="E128" s="64">
        <v>159.0</v>
      </c>
      <c r="F128" s="65">
        <v>0.3388888888888889</v>
      </c>
      <c r="G128" s="66">
        <v>0.3388888888888889</v>
      </c>
      <c r="H128" s="11">
        <v>45.0</v>
      </c>
      <c r="I128" s="12">
        <v>0.37430555555555556</v>
      </c>
      <c r="J128" s="13">
        <v>0.3763888888888889</v>
      </c>
      <c r="K128" s="18"/>
      <c r="L128" s="11">
        <v>642.0</v>
      </c>
      <c r="M128" s="67">
        <v>50.0</v>
      </c>
      <c r="N128" s="12">
        <v>0.45902777777777776</v>
      </c>
      <c r="O128" s="13">
        <v>0.46041666666666664</v>
      </c>
      <c r="Q128" s="67">
        <v>642.0</v>
      </c>
      <c r="R128" s="67">
        <v>52.0</v>
      </c>
      <c r="S128" s="79">
        <v>0.5229166666666667</v>
      </c>
      <c r="T128" s="81"/>
      <c r="V128" s="67">
        <v>642.0</v>
      </c>
      <c r="W128" s="67">
        <v>54.0</v>
      </c>
      <c r="X128" s="79">
        <v>0.08819444444444445</v>
      </c>
      <c r="Y128" s="79">
        <v>0.08958333333333333</v>
      </c>
      <c r="AA128" s="67">
        <v>642.0</v>
      </c>
      <c r="AB128" s="67">
        <v>54.0</v>
      </c>
      <c r="AC128" s="79">
        <v>0.13333333333333333</v>
      </c>
      <c r="AD128" s="79">
        <v>0.13819444444444445</v>
      </c>
      <c r="AF128" s="67">
        <f t="shared" si="1"/>
        <v>0</v>
      </c>
    </row>
    <row r="129" ht="15.75" customHeight="1">
      <c r="A129" s="47">
        <v>643.0</v>
      </c>
      <c r="B129" s="11">
        <v>66.0</v>
      </c>
      <c r="C129" s="12">
        <v>0.26319444444444445</v>
      </c>
      <c r="D129" s="13">
        <v>0.2638888888888889</v>
      </c>
      <c r="E129" s="64">
        <v>38.0</v>
      </c>
      <c r="F129" s="65">
        <v>0.31319444444444444</v>
      </c>
      <c r="G129" s="66">
        <v>0.31319444444444444</v>
      </c>
      <c r="H129" s="11">
        <v>106.0</v>
      </c>
      <c r="I129" s="12">
        <v>0.3972222222222222</v>
      </c>
      <c r="J129" s="13">
        <v>0.40347222222222223</v>
      </c>
      <c r="K129" s="18"/>
      <c r="L129" s="11">
        <v>643.0</v>
      </c>
      <c r="M129" s="67">
        <v>106.0</v>
      </c>
      <c r="N129" s="12">
        <v>0.49236111111111114</v>
      </c>
      <c r="O129" s="13">
        <v>0.49583333333333335</v>
      </c>
      <c r="Q129" s="67">
        <v>643.0</v>
      </c>
      <c r="R129" s="67">
        <v>103.0</v>
      </c>
      <c r="S129" s="79">
        <v>0.06805555555555555</v>
      </c>
      <c r="T129" s="79">
        <v>0.07222222222222222</v>
      </c>
      <c r="V129" s="67">
        <v>643.0</v>
      </c>
      <c r="W129" s="67">
        <v>108.0</v>
      </c>
      <c r="X129" s="79">
        <v>0.14652777777777778</v>
      </c>
      <c r="Y129" s="79">
        <v>0.15</v>
      </c>
      <c r="AA129" s="67">
        <v>643.0</v>
      </c>
      <c r="AB129" s="67">
        <v>112.0</v>
      </c>
      <c r="AC129" s="79">
        <v>0.2</v>
      </c>
      <c r="AD129" s="79">
        <v>0.21805555555555556</v>
      </c>
      <c r="AF129" s="67">
        <f t="shared" si="1"/>
        <v>0</v>
      </c>
    </row>
    <row r="130" ht="15.75" customHeight="1">
      <c r="A130" s="47">
        <v>644.0</v>
      </c>
      <c r="B130" s="11">
        <v>13.0</v>
      </c>
      <c r="C130" s="12">
        <v>0.25416666666666665</v>
      </c>
      <c r="D130" s="13">
        <v>0.2548611111111111</v>
      </c>
      <c r="E130" s="64">
        <v>85.0</v>
      </c>
      <c r="F130" s="65">
        <v>0.3229166666666667</v>
      </c>
      <c r="G130" s="66">
        <v>0.3229166666666667</v>
      </c>
      <c r="H130" s="11">
        <v>16.0</v>
      </c>
      <c r="I130" s="12">
        <v>0.3590277777777778</v>
      </c>
      <c r="J130" s="13">
        <v>0.3625</v>
      </c>
      <c r="K130" s="18"/>
      <c r="L130" s="11">
        <v>644.0</v>
      </c>
      <c r="M130" s="67">
        <v>23.0</v>
      </c>
      <c r="N130" s="12">
        <v>0.43680555555555556</v>
      </c>
      <c r="O130" s="13">
        <v>0.43819444444444444</v>
      </c>
      <c r="Q130" s="67">
        <v>644.0</v>
      </c>
      <c r="R130" s="67">
        <v>22.0</v>
      </c>
      <c r="S130" s="79">
        <v>0.49722222222222223</v>
      </c>
      <c r="T130" s="79">
        <v>0.5</v>
      </c>
      <c r="V130" s="67">
        <v>644.0</v>
      </c>
      <c r="W130" s="67">
        <v>23.0</v>
      </c>
      <c r="X130" s="79">
        <v>0.05694444444444444</v>
      </c>
      <c r="Y130" s="79">
        <v>0.06041666666666667</v>
      </c>
      <c r="AA130" s="67">
        <v>644.0</v>
      </c>
      <c r="AB130" s="67">
        <v>25.0</v>
      </c>
      <c r="AC130" s="79">
        <v>0.10069444444444445</v>
      </c>
      <c r="AD130" s="79">
        <v>0.10833333333333334</v>
      </c>
      <c r="AF130" s="67">
        <f t="shared" si="1"/>
        <v>0</v>
      </c>
    </row>
    <row r="131" ht="15.75" customHeight="1">
      <c r="A131" s="47">
        <v>645.0</v>
      </c>
      <c r="B131" s="11">
        <v>56.0</v>
      </c>
      <c r="C131" s="12">
        <v>0.26319444444444445</v>
      </c>
      <c r="D131" s="13">
        <v>0.2638888888888889</v>
      </c>
      <c r="E131" s="64">
        <v>13.0</v>
      </c>
      <c r="F131" s="65">
        <v>0.3013888888888889</v>
      </c>
      <c r="G131" s="66">
        <v>0.3013888888888889</v>
      </c>
      <c r="H131" s="11">
        <v>72.0</v>
      </c>
      <c r="I131" s="12">
        <v>0.38680555555555557</v>
      </c>
      <c r="J131" s="13">
        <v>0.38958333333333334</v>
      </c>
      <c r="K131" s="18"/>
      <c r="L131" s="11">
        <v>645.0</v>
      </c>
      <c r="M131" s="67">
        <v>61.0</v>
      </c>
      <c r="N131" s="12">
        <v>0.46458333333333335</v>
      </c>
      <c r="O131" s="13">
        <v>0.46597222222222223</v>
      </c>
      <c r="Q131" s="67">
        <v>645.0</v>
      </c>
      <c r="R131" s="67">
        <v>54.0</v>
      </c>
      <c r="S131" s="79">
        <v>0.525</v>
      </c>
      <c r="T131" s="79">
        <v>0.5277777777777778</v>
      </c>
      <c r="V131" s="67">
        <v>645.0</v>
      </c>
      <c r="W131" s="67">
        <v>50.0</v>
      </c>
      <c r="X131" s="79">
        <v>0.0875</v>
      </c>
      <c r="Y131" s="79">
        <v>0.09027777777777778</v>
      </c>
      <c r="AA131" s="67">
        <v>645.0</v>
      </c>
      <c r="AB131" s="67">
        <v>52.0</v>
      </c>
      <c r="AC131" s="79">
        <v>0.13125</v>
      </c>
      <c r="AD131" s="79">
        <v>0.14166666666666666</v>
      </c>
      <c r="AF131" s="67">
        <f t="shared" si="1"/>
        <v>0</v>
      </c>
    </row>
    <row r="132" ht="15.75" customHeight="1">
      <c r="A132" s="47">
        <v>647.0</v>
      </c>
      <c r="B132" s="11">
        <v>112.0</v>
      </c>
      <c r="C132" s="12">
        <v>0.26944444444444443</v>
      </c>
      <c r="D132" s="13">
        <v>0.2701388888888889</v>
      </c>
      <c r="E132" s="64">
        <v>73.0</v>
      </c>
      <c r="F132" s="65">
        <v>0.32083333333333336</v>
      </c>
      <c r="G132" s="66">
        <v>0.32083333333333336</v>
      </c>
      <c r="H132" s="11">
        <v>93.0</v>
      </c>
      <c r="I132" s="12">
        <v>0.39375</v>
      </c>
      <c r="J132" s="13">
        <v>0.39861111111111114</v>
      </c>
      <c r="K132" s="18"/>
      <c r="L132" s="11">
        <v>647.0</v>
      </c>
      <c r="M132" s="67">
        <v>89.0</v>
      </c>
      <c r="N132" s="12">
        <v>0.4840277777777778</v>
      </c>
      <c r="O132" s="13">
        <v>0.4875</v>
      </c>
      <c r="Q132" s="67">
        <v>647.0</v>
      </c>
      <c r="R132" s="67">
        <v>93.0</v>
      </c>
      <c r="S132" s="79">
        <v>0.05694444444444444</v>
      </c>
      <c r="T132" s="79">
        <v>0.059722222222222225</v>
      </c>
      <c r="V132" s="67">
        <v>647.0</v>
      </c>
      <c r="W132" s="67">
        <v>89.0</v>
      </c>
      <c r="X132" s="79">
        <v>0.125</v>
      </c>
      <c r="Y132" s="79">
        <v>0.12916666666666668</v>
      </c>
      <c r="AA132" s="67">
        <v>647.0</v>
      </c>
      <c r="AB132" s="67">
        <v>83.0</v>
      </c>
      <c r="AC132" s="79">
        <v>0.17430555555555555</v>
      </c>
      <c r="AD132" s="79">
        <v>0.18958333333333333</v>
      </c>
      <c r="AF132" s="67">
        <f t="shared" si="1"/>
        <v>0</v>
      </c>
    </row>
    <row r="133" ht="15.75" customHeight="1">
      <c r="A133" s="47">
        <v>648.0</v>
      </c>
      <c r="B133" s="11">
        <v>99.0</v>
      </c>
      <c r="C133" s="12">
        <v>0.26805555555555555</v>
      </c>
      <c r="D133" s="13">
        <v>0.26875</v>
      </c>
      <c r="E133" s="64">
        <v>108.0</v>
      </c>
      <c r="F133" s="65">
        <v>0.32569444444444445</v>
      </c>
      <c r="G133" s="66">
        <v>0.32569444444444445</v>
      </c>
      <c r="H133" s="11">
        <v>103.0</v>
      </c>
      <c r="I133" s="12">
        <v>0.39652777777777776</v>
      </c>
      <c r="J133" s="13">
        <v>0.4048611111111111</v>
      </c>
      <c r="K133" s="18"/>
      <c r="L133" s="11">
        <v>648.0</v>
      </c>
      <c r="M133" s="67">
        <v>104.0</v>
      </c>
      <c r="N133" s="12">
        <v>0.49166666666666664</v>
      </c>
      <c r="O133" s="13">
        <v>0.5041666666666667</v>
      </c>
      <c r="Q133" s="67">
        <v>648.0</v>
      </c>
      <c r="R133" s="67">
        <v>115.0</v>
      </c>
      <c r="S133" s="79">
        <v>0.07777777777777778</v>
      </c>
      <c r="T133" s="79">
        <v>0.08541666666666667</v>
      </c>
      <c r="V133" s="67">
        <v>648.0</v>
      </c>
      <c r="W133" s="67">
        <v>133.0</v>
      </c>
      <c r="X133" s="79">
        <v>0.1625</v>
      </c>
      <c r="Y133" s="79">
        <v>0.16666666666666666</v>
      </c>
      <c r="AA133" s="67">
        <v>648.0</v>
      </c>
      <c r="AB133" s="67">
        <v>141.0</v>
      </c>
      <c r="AC133" s="79">
        <v>0.22361111111111112</v>
      </c>
      <c r="AD133" s="79">
        <v>0.25972222222222224</v>
      </c>
      <c r="AF133" s="67">
        <f t="shared" si="1"/>
        <v>0</v>
      </c>
    </row>
    <row r="134" ht="15.75" customHeight="1">
      <c r="A134" s="47">
        <v>649.0</v>
      </c>
      <c r="B134" s="11">
        <v>119.0</v>
      </c>
      <c r="C134" s="12">
        <v>0.26944444444444443</v>
      </c>
      <c r="D134" s="13">
        <v>0.2701388888888889</v>
      </c>
      <c r="E134" s="64">
        <v>111.0</v>
      </c>
      <c r="F134" s="65">
        <v>0.32569444444444445</v>
      </c>
      <c r="G134" s="66">
        <v>0.32569444444444445</v>
      </c>
      <c r="H134" s="11">
        <v>115.0</v>
      </c>
      <c r="I134" s="12">
        <v>0.40069444444444446</v>
      </c>
      <c r="J134" s="13">
        <v>0.41180555555555554</v>
      </c>
      <c r="K134" s="18"/>
      <c r="L134" s="11">
        <v>649.0</v>
      </c>
      <c r="M134" s="67">
        <v>109.0</v>
      </c>
      <c r="N134" s="12">
        <v>0.49444444444444446</v>
      </c>
      <c r="O134" s="13">
        <v>0.49930555555555556</v>
      </c>
      <c r="Q134" s="67">
        <v>649.0</v>
      </c>
      <c r="R134" s="67">
        <v>112.0</v>
      </c>
      <c r="S134" s="79">
        <v>0.07291666666666667</v>
      </c>
      <c r="T134" s="79">
        <v>0.07777777777777778</v>
      </c>
      <c r="V134" s="67">
        <v>649.0</v>
      </c>
      <c r="W134" s="67">
        <v>112.0</v>
      </c>
      <c r="X134" s="79">
        <v>0.14791666666666667</v>
      </c>
      <c r="Y134" s="79">
        <v>0.15138888888888888</v>
      </c>
      <c r="AA134" s="67">
        <v>649.0</v>
      </c>
      <c r="AB134" s="67">
        <v>133.0</v>
      </c>
      <c r="AC134" s="79">
        <v>0.21805555555555556</v>
      </c>
      <c r="AD134" s="79">
        <v>0.23194444444444445</v>
      </c>
      <c r="AF134" s="67">
        <f t="shared" si="1"/>
        <v>0</v>
      </c>
    </row>
    <row r="135" ht="15.75" customHeight="1">
      <c r="A135" s="47">
        <v>650.0</v>
      </c>
      <c r="B135" s="11">
        <v>28.0</v>
      </c>
      <c r="C135" s="12">
        <v>0.25972222222222224</v>
      </c>
      <c r="D135" s="13">
        <v>0.2604166666666667</v>
      </c>
      <c r="E135" s="64">
        <v>116.0</v>
      </c>
      <c r="F135" s="65">
        <v>0.3298611111111111</v>
      </c>
      <c r="G135" s="66">
        <v>0.3298611111111111</v>
      </c>
      <c r="H135" s="11">
        <v>31.0</v>
      </c>
      <c r="I135" s="12">
        <v>0.36875</v>
      </c>
      <c r="J135" s="13">
        <v>0.3701388888888889</v>
      </c>
      <c r="K135" s="18"/>
      <c r="L135" s="11">
        <v>650.0</v>
      </c>
      <c r="M135" s="67">
        <v>24.0</v>
      </c>
      <c r="N135" s="12">
        <v>0.44027777777777777</v>
      </c>
      <c r="O135" s="13">
        <v>0.4409722222222222</v>
      </c>
      <c r="Q135" s="67">
        <v>650.0</v>
      </c>
      <c r="R135" s="67">
        <v>24.0</v>
      </c>
      <c r="S135" s="79">
        <v>0.4986111111111111</v>
      </c>
      <c r="T135" s="79">
        <v>0.5</v>
      </c>
      <c r="V135" s="67">
        <v>650.0</v>
      </c>
      <c r="W135" s="67">
        <v>19.0</v>
      </c>
      <c r="X135" s="79">
        <v>0.052083333333333336</v>
      </c>
      <c r="Y135" s="79">
        <v>0.05347222222222222</v>
      </c>
      <c r="AA135" s="67">
        <v>650.0</v>
      </c>
      <c r="AB135" s="67">
        <v>18.0</v>
      </c>
      <c r="AC135" s="79">
        <v>0.09097222222222222</v>
      </c>
      <c r="AD135" s="79">
        <v>0.09375</v>
      </c>
      <c r="AF135" s="67">
        <f t="shared" si="1"/>
        <v>0</v>
      </c>
    </row>
    <row r="136" ht="15.75" customHeight="1">
      <c r="A136" s="47">
        <v>651.0</v>
      </c>
      <c r="B136" s="11">
        <v>123.0</v>
      </c>
      <c r="C136" s="12">
        <v>0.2701388888888889</v>
      </c>
      <c r="D136" s="13">
        <v>0.2708333333333333</v>
      </c>
      <c r="E136" s="64">
        <v>37.0</v>
      </c>
      <c r="F136" s="65">
        <v>0.3125</v>
      </c>
      <c r="G136" s="66">
        <v>0.3125</v>
      </c>
      <c r="H136" s="11">
        <v>67.0</v>
      </c>
      <c r="I136" s="12">
        <v>0.3854166666666667</v>
      </c>
      <c r="J136" s="13">
        <v>0.39305555555555555</v>
      </c>
      <c r="K136" s="18"/>
      <c r="L136" s="11">
        <v>651.0</v>
      </c>
      <c r="M136" s="67">
        <v>73.0</v>
      </c>
      <c r="N136" s="12">
        <v>0.4736111111111111</v>
      </c>
      <c r="O136" s="13">
        <v>0.475</v>
      </c>
      <c r="Q136" s="67">
        <v>651.0</v>
      </c>
      <c r="R136" s="67">
        <v>74.0</v>
      </c>
      <c r="S136" s="79">
        <v>0.04513888888888889</v>
      </c>
      <c r="T136" s="79">
        <v>0.04722222222222222</v>
      </c>
      <c r="V136" s="67">
        <v>651.0</v>
      </c>
      <c r="W136" s="67">
        <v>75.0</v>
      </c>
      <c r="X136" s="79">
        <v>0.1125</v>
      </c>
      <c r="Y136" s="79">
        <v>0.11319444444444444</v>
      </c>
      <c r="AA136" s="67">
        <v>651.0</v>
      </c>
      <c r="AB136" s="67">
        <v>66.0</v>
      </c>
      <c r="AC136" s="79">
        <v>0.15625</v>
      </c>
      <c r="AD136" s="79">
        <v>0.17222222222222222</v>
      </c>
      <c r="AF136" s="67">
        <f t="shared" si="1"/>
        <v>0</v>
      </c>
    </row>
    <row r="137" ht="15.75" customHeight="1">
      <c r="A137" s="47">
        <v>653.0</v>
      </c>
      <c r="B137" s="11">
        <v>41.0</v>
      </c>
      <c r="C137" s="12">
        <v>0.2604166666666667</v>
      </c>
      <c r="D137" s="13">
        <v>0.26180555555555557</v>
      </c>
      <c r="E137" s="64">
        <v>71.0</v>
      </c>
      <c r="F137" s="65">
        <v>0.32083333333333336</v>
      </c>
      <c r="G137" s="66">
        <v>0.32083333333333336</v>
      </c>
      <c r="H137" s="11">
        <v>47.0</v>
      </c>
      <c r="I137" s="12">
        <v>0.375</v>
      </c>
      <c r="J137" s="13">
        <v>0.38125</v>
      </c>
      <c r="K137" s="18"/>
      <c r="L137" s="11">
        <v>653.0</v>
      </c>
      <c r="M137" s="67">
        <v>54.0</v>
      </c>
      <c r="N137" s="12">
        <v>0.46111111111111114</v>
      </c>
      <c r="O137" s="13">
        <v>0.4652777777777778</v>
      </c>
      <c r="Q137" s="67">
        <v>653.0</v>
      </c>
      <c r="R137" s="67">
        <v>60.0</v>
      </c>
      <c r="S137" s="79">
        <v>0.53125</v>
      </c>
      <c r="T137" s="79">
        <v>0.5368055555555555</v>
      </c>
      <c r="V137" s="67">
        <v>653.0</v>
      </c>
      <c r="W137" s="67">
        <v>61.0</v>
      </c>
      <c r="X137" s="79">
        <v>0.09861111111111111</v>
      </c>
      <c r="Y137" s="79">
        <v>0.10208333333333333</v>
      </c>
      <c r="AA137" s="67">
        <v>653.0</v>
      </c>
      <c r="AB137" s="67">
        <v>62.0</v>
      </c>
      <c r="AC137" s="79">
        <v>0.14583333333333334</v>
      </c>
      <c r="AD137" s="79">
        <v>0.1597222222222222</v>
      </c>
      <c r="AF137" s="67">
        <f t="shared" si="1"/>
        <v>0</v>
      </c>
    </row>
    <row r="138" ht="15.75" customHeight="1">
      <c r="A138" s="47">
        <v>654.0</v>
      </c>
      <c r="B138" s="11">
        <v>192.0</v>
      </c>
      <c r="C138" s="12">
        <v>0.28125</v>
      </c>
      <c r="D138" s="13">
        <v>0.28194444444444444</v>
      </c>
      <c r="E138" s="64">
        <v>46.0</v>
      </c>
      <c r="F138" s="65">
        <v>0.3138888888888889</v>
      </c>
      <c r="G138" s="66">
        <v>0.3138888888888889</v>
      </c>
      <c r="H138" s="11">
        <v>198.0</v>
      </c>
      <c r="I138" s="12">
        <v>0.44722222222222224</v>
      </c>
      <c r="J138" s="13">
        <v>0.45416666666666666</v>
      </c>
      <c r="K138" s="18"/>
      <c r="L138" s="11">
        <v>654.0</v>
      </c>
      <c r="M138" s="67">
        <v>194.0</v>
      </c>
      <c r="N138" s="12">
        <v>0.07361111111111111</v>
      </c>
      <c r="O138" s="13">
        <v>0.09583333333333334</v>
      </c>
      <c r="Q138" s="67">
        <v>654.0</v>
      </c>
      <c r="R138" s="67">
        <v>196.0</v>
      </c>
      <c r="S138" s="79">
        <v>0.19236111111111112</v>
      </c>
      <c r="T138" s="67" t="s">
        <v>178</v>
      </c>
      <c r="AF138" s="67">
        <f t="shared" si="1"/>
        <v>654</v>
      </c>
    </row>
    <row r="139" ht="15.75" customHeight="1">
      <c r="A139" s="47">
        <v>655.0</v>
      </c>
      <c r="B139" s="11">
        <v>54.0</v>
      </c>
      <c r="C139" s="12">
        <v>0.26319444444444445</v>
      </c>
      <c r="D139" s="13">
        <v>0.2638888888888889</v>
      </c>
      <c r="E139" s="64">
        <v>195.0</v>
      </c>
      <c r="F139" s="65">
        <v>0.3541666666666667</v>
      </c>
      <c r="G139" s="66">
        <v>0.3541666666666667</v>
      </c>
      <c r="H139" s="11">
        <v>40.0</v>
      </c>
      <c r="I139" s="12">
        <v>0.3715277777777778</v>
      </c>
      <c r="J139" s="13">
        <v>0.37569444444444444</v>
      </c>
      <c r="K139" s="18"/>
      <c r="L139" s="11">
        <v>655.0</v>
      </c>
      <c r="M139" s="67">
        <v>33.0</v>
      </c>
      <c r="N139" s="12">
        <v>0.44583333333333336</v>
      </c>
      <c r="O139" s="13">
        <v>0.44722222222222224</v>
      </c>
      <c r="Q139" s="67">
        <v>655.0</v>
      </c>
      <c r="R139" s="67">
        <v>27.0</v>
      </c>
      <c r="S139" s="79">
        <v>0.5020833333333333</v>
      </c>
      <c r="T139" s="79">
        <v>0.5041666666666667</v>
      </c>
      <c r="V139" s="67">
        <v>655.0</v>
      </c>
      <c r="W139" s="67">
        <v>27.0</v>
      </c>
      <c r="X139" s="79">
        <v>0.06041666666666667</v>
      </c>
      <c r="Y139" s="79">
        <v>0.0625</v>
      </c>
      <c r="AA139" s="67">
        <v>655.0</v>
      </c>
      <c r="AB139" s="67">
        <v>26.0</v>
      </c>
      <c r="AC139" s="79">
        <v>0.10208333333333333</v>
      </c>
      <c r="AD139" s="79">
        <v>0.10972222222222222</v>
      </c>
      <c r="AF139" s="67">
        <f t="shared" si="1"/>
        <v>0</v>
      </c>
    </row>
    <row r="140" ht="15.75" customHeight="1">
      <c r="A140" s="47">
        <v>657.0</v>
      </c>
      <c r="B140" s="11">
        <v>198.0</v>
      </c>
      <c r="C140" s="12">
        <v>0.2833333333333333</v>
      </c>
      <c r="D140" s="13">
        <v>0.28402777777777777</v>
      </c>
      <c r="E140" s="64">
        <v>44.0</v>
      </c>
      <c r="F140" s="65">
        <v>0.3138888888888889</v>
      </c>
      <c r="G140" s="66">
        <v>0.3138888888888889</v>
      </c>
      <c r="H140" s="11">
        <v>185.0</v>
      </c>
      <c r="I140" s="12">
        <v>0.4284722222222222</v>
      </c>
      <c r="J140" s="13">
        <v>0.4361111111111111</v>
      </c>
      <c r="L140" s="11">
        <v>657.0</v>
      </c>
      <c r="M140" s="67">
        <v>175.0</v>
      </c>
      <c r="N140" s="12">
        <v>0.5347222222222222</v>
      </c>
      <c r="O140" s="13">
        <v>0.5402777777777777</v>
      </c>
      <c r="Q140" s="67">
        <v>657.0</v>
      </c>
      <c r="R140" s="67">
        <v>172.0</v>
      </c>
      <c r="S140" s="79">
        <v>0.11388888888888889</v>
      </c>
      <c r="T140" s="79">
        <v>0.11666666666666667</v>
      </c>
      <c r="V140" s="67">
        <v>657.0</v>
      </c>
      <c r="W140" s="67">
        <v>167.0</v>
      </c>
      <c r="X140" s="79">
        <v>0.19444444444444445</v>
      </c>
      <c r="Y140" s="79">
        <v>0.19791666666666666</v>
      </c>
      <c r="AA140" s="67">
        <v>657.0</v>
      </c>
      <c r="AB140" s="67">
        <v>167.0</v>
      </c>
      <c r="AC140" s="79">
        <v>0.2534722222222222</v>
      </c>
      <c r="AD140" s="79">
        <v>0.2722222222222222</v>
      </c>
      <c r="AF140" s="67">
        <f t="shared" si="1"/>
        <v>0</v>
      </c>
    </row>
    <row r="141" ht="15.75" customHeight="1">
      <c r="A141" s="47">
        <v>662.0</v>
      </c>
      <c r="B141" s="11">
        <v>53.0</v>
      </c>
      <c r="C141" s="12">
        <v>0.26319444444444445</v>
      </c>
      <c r="D141" s="13">
        <v>0.2638888888888889</v>
      </c>
      <c r="E141" s="64">
        <v>189.0</v>
      </c>
      <c r="F141" s="65">
        <v>0.3527777777777778</v>
      </c>
      <c r="G141" s="66">
        <v>0.3527777777777778</v>
      </c>
      <c r="H141" s="11">
        <v>46.0</v>
      </c>
      <c r="I141" s="12">
        <v>0.375</v>
      </c>
      <c r="J141" s="13">
        <v>0.3784722222222222</v>
      </c>
      <c r="K141" s="18"/>
      <c r="L141" s="11">
        <v>662.0</v>
      </c>
      <c r="M141" s="67">
        <v>43.0</v>
      </c>
      <c r="N141" s="12">
        <v>0.4527777777777778</v>
      </c>
      <c r="O141" s="13">
        <v>0.4548611111111111</v>
      </c>
      <c r="Q141" s="67">
        <v>662.0</v>
      </c>
      <c r="R141" s="67">
        <v>43.0</v>
      </c>
      <c r="S141" s="79">
        <v>0.5125</v>
      </c>
      <c r="T141" s="79">
        <v>0.5152777777777777</v>
      </c>
      <c r="V141" s="67">
        <v>662.0</v>
      </c>
      <c r="W141" s="67">
        <v>41.0</v>
      </c>
      <c r="X141" s="79">
        <v>0.07083333333333333</v>
      </c>
      <c r="Y141" s="79">
        <v>0.07291666666666667</v>
      </c>
      <c r="AA141" s="67">
        <v>662.0</v>
      </c>
      <c r="AB141" s="67">
        <v>35.0</v>
      </c>
      <c r="AC141" s="79">
        <v>0.1111111111111111</v>
      </c>
      <c r="AD141" s="79">
        <v>0.11666666666666667</v>
      </c>
      <c r="AF141" s="67">
        <f t="shared" si="1"/>
        <v>0</v>
      </c>
    </row>
    <row r="142" ht="15.75" customHeight="1">
      <c r="A142" s="47">
        <v>663.0</v>
      </c>
      <c r="B142" s="11">
        <v>74.0</v>
      </c>
      <c r="C142" s="12">
        <v>0.26458333333333334</v>
      </c>
      <c r="D142" s="13">
        <v>0.2652777777777778</v>
      </c>
      <c r="E142" s="64">
        <v>43.0</v>
      </c>
      <c r="F142" s="65">
        <v>0.3138888888888889</v>
      </c>
      <c r="G142" s="66">
        <v>0.3138888888888889</v>
      </c>
      <c r="H142" s="11">
        <v>95.0</v>
      </c>
      <c r="I142" s="12">
        <v>0.3951388888888889</v>
      </c>
      <c r="J142" s="13">
        <v>0.3972222222222222</v>
      </c>
      <c r="K142" s="18"/>
      <c r="L142" s="11">
        <v>663.0</v>
      </c>
      <c r="M142" s="67">
        <v>95.0</v>
      </c>
      <c r="N142" s="12">
        <v>0.48541666666666666</v>
      </c>
      <c r="O142" s="13">
        <v>0.48680555555555555</v>
      </c>
      <c r="Q142" s="67">
        <v>663.0</v>
      </c>
      <c r="R142" s="67">
        <v>92.0</v>
      </c>
      <c r="S142" s="79">
        <v>0.05694444444444444</v>
      </c>
      <c r="T142" s="79">
        <v>0.05763888888888889</v>
      </c>
      <c r="V142" s="67">
        <v>663.0</v>
      </c>
      <c r="W142" s="67">
        <v>87.0</v>
      </c>
      <c r="X142" s="79">
        <v>0.125</v>
      </c>
      <c r="Y142" s="79">
        <v>0.12708333333333333</v>
      </c>
      <c r="AA142" s="67">
        <v>663.0</v>
      </c>
      <c r="AB142" s="67">
        <v>85.0</v>
      </c>
      <c r="AC142" s="79">
        <v>0.17430555555555555</v>
      </c>
      <c r="AD142" s="79">
        <v>0.17916666666666667</v>
      </c>
      <c r="AF142" s="67">
        <f t="shared" si="1"/>
        <v>0</v>
      </c>
    </row>
    <row r="143" ht="15.75" customHeight="1">
      <c r="A143" s="47">
        <v>664.0</v>
      </c>
      <c r="B143" s="11">
        <v>158.0</v>
      </c>
      <c r="C143" s="12">
        <v>0.2743055555555556</v>
      </c>
      <c r="D143" s="13">
        <v>0.275</v>
      </c>
      <c r="E143" s="64">
        <v>92.0</v>
      </c>
      <c r="F143" s="65">
        <v>0.32430555555555557</v>
      </c>
      <c r="G143" s="66">
        <v>0.32430555555555557</v>
      </c>
      <c r="H143" s="11">
        <v>170.0</v>
      </c>
      <c r="I143" s="12">
        <v>0.4222222222222222</v>
      </c>
      <c r="J143" s="13">
        <v>0.42986111111111114</v>
      </c>
      <c r="K143" s="18"/>
      <c r="L143" s="18">
        <v>664.0</v>
      </c>
      <c r="M143" s="67">
        <v>162.0</v>
      </c>
      <c r="N143" s="12">
        <v>0.5270833333333333</v>
      </c>
      <c r="O143" s="12">
        <v>0.5305555555555556</v>
      </c>
      <c r="Q143" s="67">
        <v>664.0</v>
      </c>
      <c r="R143" s="67">
        <v>163.0</v>
      </c>
      <c r="S143" s="79">
        <v>0.10625</v>
      </c>
      <c r="T143" s="79">
        <v>0.10972222222222222</v>
      </c>
      <c r="V143" s="67">
        <v>664.0</v>
      </c>
      <c r="W143" s="67">
        <v>152.0</v>
      </c>
      <c r="X143" s="79">
        <v>0.18125</v>
      </c>
      <c r="Y143" s="79">
        <v>0.18472222222222223</v>
      </c>
      <c r="AA143" s="67">
        <v>664.0</v>
      </c>
      <c r="AB143" s="67">
        <v>152.0</v>
      </c>
      <c r="AC143" s="79">
        <v>0.24027777777777778</v>
      </c>
      <c r="AD143" s="79">
        <v>0.25625</v>
      </c>
      <c r="AF143" s="67">
        <f t="shared" si="1"/>
        <v>0</v>
      </c>
    </row>
    <row r="144" ht="15.75" customHeight="1">
      <c r="A144" s="47">
        <v>665.0</v>
      </c>
      <c r="B144" s="11">
        <v>159.0</v>
      </c>
      <c r="C144" s="12">
        <v>0.2743055555555556</v>
      </c>
      <c r="D144" s="13">
        <v>0.275</v>
      </c>
      <c r="E144" s="64">
        <v>149.0</v>
      </c>
      <c r="F144" s="65">
        <v>0.3368055555555556</v>
      </c>
      <c r="G144" s="66">
        <v>0.3368055555555556</v>
      </c>
      <c r="H144" s="11">
        <v>169.0</v>
      </c>
      <c r="I144" s="12">
        <v>0.4222222222222222</v>
      </c>
      <c r="J144" s="13">
        <v>0.42986111111111114</v>
      </c>
      <c r="K144" s="18"/>
      <c r="L144" s="18">
        <v>665.0</v>
      </c>
      <c r="M144" s="67">
        <v>161.0</v>
      </c>
      <c r="N144" s="12">
        <v>0.5270833333333333</v>
      </c>
      <c r="O144" s="12">
        <v>0.53125</v>
      </c>
      <c r="Q144" s="67">
        <v>665.0</v>
      </c>
      <c r="R144" s="67">
        <v>164.0</v>
      </c>
      <c r="S144" s="79">
        <v>0.10625</v>
      </c>
      <c r="T144" s="79">
        <v>0.10972222222222222</v>
      </c>
      <c r="V144" s="67">
        <v>665.0</v>
      </c>
      <c r="W144" s="67">
        <v>151.0</v>
      </c>
      <c r="X144" s="79">
        <v>0.18125</v>
      </c>
      <c r="Y144" s="79">
        <v>0.18472222222222223</v>
      </c>
      <c r="AA144" s="67">
        <v>665.0</v>
      </c>
      <c r="AB144" s="67">
        <v>151.0</v>
      </c>
      <c r="AC144" s="79">
        <v>0.24027777777777778</v>
      </c>
      <c r="AD144" s="79">
        <v>0.25625</v>
      </c>
      <c r="AF144" s="67">
        <f t="shared" si="1"/>
        <v>0</v>
      </c>
    </row>
    <row r="145" ht="15.75" customHeight="1">
      <c r="A145" s="47">
        <v>667.0</v>
      </c>
      <c r="B145" s="11">
        <v>188.0</v>
      </c>
      <c r="C145" s="12">
        <v>0.2798611111111111</v>
      </c>
      <c r="D145" s="13">
        <v>0.28055555555555556</v>
      </c>
      <c r="E145" s="64">
        <v>153.0</v>
      </c>
      <c r="F145" s="65">
        <v>0.3368055555555556</v>
      </c>
      <c r="G145" s="66">
        <v>0.3368055555555556</v>
      </c>
      <c r="H145" s="11">
        <v>180.0</v>
      </c>
      <c r="I145" s="12">
        <v>0.425</v>
      </c>
      <c r="J145" s="13">
        <v>0.43472222222222223</v>
      </c>
      <c r="K145" s="18"/>
      <c r="L145" s="11">
        <v>667.0</v>
      </c>
      <c r="M145" s="67">
        <v>180.0</v>
      </c>
      <c r="N145" s="12">
        <v>0.5388888888888889</v>
      </c>
      <c r="O145" s="13">
        <v>0.04375</v>
      </c>
      <c r="Q145" s="67">
        <v>667.0</v>
      </c>
      <c r="R145" s="67">
        <v>183.0</v>
      </c>
      <c r="S145" s="79">
        <v>0.12430555555555556</v>
      </c>
      <c r="T145" s="79">
        <v>0.12916666666666668</v>
      </c>
      <c r="V145" s="67">
        <v>667.0</v>
      </c>
      <c r="W145" s="67">
        <v>182.0</v>
      </c>
      <c r="X145" s="79">
        <v>0.21736111111111112</v>
      </c>
      <c r="Y145" s="79">
        <v>0.22361111111111112</v>
      </c>
      <c r="AA145" s="67">
        <v>667.0</v>
      </c>
      <c r="AB145" s="67">
        <v>188.0</v>
      </c>
      <c r="AC145" s="79">
        <v>0.3034722222222222</v>
      </c>
      <c r="AD145" s="79">
        <v>0.3104166666666667</v>
      </c>
      <c r="AF145" s="67">
        <f t="shared" si="1"/>
        <v>0</v>
      </c>
    </row>
    <row r="146" ht="15.75" customHeight="1">
      <c r="A146" s="47">
        <v>669.0</v>
      </c>
      <c r="B146" s="11">
        <v>194.0</v>
      </c>
      <c r="C146" s="12">
        <v>0.28125</v>
      </c>
      <c r="D146" s="13">
        <v>0.28194444444444444</v>
      </c>
      <c r="E146" s="64">
        <v>176.0</v>
      </c>
      <c r="F146" s="65">
        <v>0.3416666666666667</v>
      </c>
      <c r="G146" s="66">
        <v>0.3416666666666667</v>
      </c>
      <c r="H146" s="11">
        <v>190.0</v>
      </c>
      <c r="I146" s="12">
        <v>0.43472222222222223</v>
      </c>
      <c r="J146" s="13">
        <v>0.44305555555555554</v>
      </c>
      <c r="K146" s="18"/>
      <c r="L146" s="11">
        <v>669.0</v>
      </c>
      <c r="M146" s="67">
        <v>183.0</v>
      </c>
      <c r="N146" s="12">
        <v>0.5409722222222222</v>
      </c>
      <c r="O146" s="13">
        <v>0.043055555555555555</v>
      </c>
      <c r="Q146" s="67">
        <v>669.0</v>
      </c>
      <c r="R146" s="67">
        <v>174.0</v>
      </c>
      <c r="S146" s="79">
        <v>0.11597222222222223</v>
      </c>
      <c r="T146" s="79">
        <v>0.12083333333333333</v>
      </c>
      <c r="V146" s="67">
        <v>669.0</v>
      </c>
      <c r="W146" s="67">
        <v>169.0</v>
      </c>
      <c r="X146" s="79">
        <v>0.19791666666666666</v>
      </c>
      <c r="Y146" s="79">
        <v>0.19930555555555557</v>
      </c>
      <c r="AA146" s="67">
        <v>669.0</v>
      </c>
      <c r="AB146" s="67">
        <v>166.0</v>
      </c>
      <c r="AC146" s="79">
        <v>0.25277777777777777</v>
      </c>
      <c r="AD146" s="79">
        <v>0.26944444444444443</v>
      </c>
      <c r="AF146" s="67">
        <f t="shared" si="1"/>
        <v>0</v>
      </c>
    </row>
    <row r="147" ht="15.75" customHeight="1">
      <c r="A147" s="47">
        <v>670.0</v>
      </c>
      <c r="B147" s="11">
        <v>96.0</v>
      </c>
      <c r="C147" s="12">
        <v>0.26805555555555555</v>
      </c>
      <c r="D147" s="13">
        <v>0.26875</v>
      </c>
      <c r="E147" s="64">
        <v>190.0</v>
      </c>
      <c r="F147" s="65">
        <v>0.3527777777777778</v>
      </c>
      <c r="G147" s="66">
        <v>0.3527777777777778</v>
      </c>
      <c r="H147" s="11"/>
      <c r="I147" s="18"/>
      <c r="J147" s="38"/>
      <c r="K147" s="18"/>
      <c r="L147" s="11">
        <v>670.0</v>
      </c>
      <c r="M147" s="67">
        <v>75.0</v>
      </c>
      <c r="N147" s="12">
        <v>0.47430555555555554</v>
      </c>
      <c r="O147" s="13">
        <v>0.47638888888888886</v>
      </c>
      <c r="Q147" s="67">
        <v>670.0</v>
      </c>
      <c r="R147" s="67">
        <v>73.0</v>
      </c>
      <c r="S147" s="79">
        <v>0.04375</v>
      </c>
      <c r="T147" s="79">
        <v>0.04791666666666667</v>
      </c>
      <c r="V147" s="67">
        <v>670.0</v>
      </c>
      <c r="W147" s="67">
        <v>71.0</v>
      </c>
      <c r="X147" s="79">
        <v>0.10972222222222222</v>
      </c>
      <c r="Y147" s="79">
        <v>0.11180555555555556</v>
      </c>
      <c r="AA147" s="67">
        <v>670.0</v>
      </c>
      <c r="AB147" s="67">
        <v>78.0</v>
      </c>
      <c r="AC147" s="79">
        <v>0.16944444444444445</v>
      </c>
      <c r="AD147" s="79">
        <v>0.1736111111111111</v>
      </c>
      <c r="AF147" s="67">
        <f t="shared" si="1"/>
        <v>0</v>
      </c>
    </row>
    <row r="148" ht="15.75" customHeight="1">
      <c r="A148" s="47">
        <v>673.0</v>
      </c>
      <c r="B148" s="11">
        <v>181.0</v>
      </c>
      <c r="C148" s="12">
        <v>0.2777777777777778</v>
      </c>
      <c r="D148" s="13">
        <v>0.27847222222222223</v>
      </c>
      <c r="E148" s="64">
        <v>115.0</v>
      </c>
      <c r="F148" s="65">
        <v>0.32916666666666666</v>
      </c>
      <c r="G148" s="66">
        <v>0.32916666666666666</v>
      </c>
      <c r="H148" s="11">
        <v>173.0</v>
      </c>
      <c r="I148" s="12">
        <v>0.4236111111111111</v>
      </c>
      <c r="J148" s="13">
        <v>0.43333333333333335</v>
      </c>
      <c r="K148" s="18"/>
      <c r="L148" s="11">
        <v>673.0</v>
      </c>
      <c r="M148" s="67">
        <v>165.0</v>
      </c>
      <c r="N148" s="12">
        <v>0.5284722222222222</v>
      </c>
      <c r="O148" s="13">
        <v>0.5319444444444444</v>
      </c>
      <c r="Q148" s="67">
        <v>673.0</v>
      </c>
      <c r="R148" s="67">
        <v>167.0</v>
      </c>
      <c r="S148" s="79">
        <v>0.10833333333333334</v>
      </c>
      <c r="T148" s="79">
        <v>0.1125</v>
      </c>
      <c r="V148" s="67">
        <v>673.0</v>
      </c>
      <c r="W148" s="67">
        <v>162.0</v>
      </c>
      <c r="X148" s="79">
        <v>0.18888888888888888</v>
      </c>
      <c r="Y148" s="79">
        <v>0.19444444444444445</v>
      </c>
      <c r="AA148" s="67">
        <v>673.0</v>
      </c>
      <c r="AB148" s="67">
        <v>160.0</v>
      </c>
      <c r="AC148" s="79">
        <v>0.24722222222222223</v>
      </c>
      <c r="AD148" s="79">
        <v>0.2569444444444444</v>
      </c>
      <c r="AF148" s="67">
        <f t="shared" si="1"/>
        <v>0</v>
      </c>
    </row>
    <row r="149" ht="15.75" customHeight="1">
      <c r="A149" s="47">
        <v>674.0</v>
      </c>
      <c r="B149" s="11">
        <v>199.0</v>
      </c>
      <c r="C149" s="12">
        <v>0.28680555555555554</v>
      </c>
      <c r="D149" s="13">
        <v>0.2875</v>
      </c>
      <c r="E149" s="64">
        <v>182.0</v>
      </c>
      <c r="F149" s="65">
        <v>0.34444444444444444</v>
      </c>
      <c r="G149" s="66">
        <v>0.34444444444444444</v>
      </c>
      <c r="H149" s="11">
        <v>201.0</v>
      </c>
      <c r="I149" s="12">
        <v>0.4930555555555556</v>
      </c>
      <c r="J149" s="38" t="s">
        <v>178</v>
      </c>
      <c r="AF149" s="67">
        <f t="shared" si="1"/>
        <v>674</v>
      </c>
    </row>
    <row r="150" ht="15.75" customHeight="1">
      <c r="A150" s="47">
        <v>675.0</v>
      </c>
      <c r="B150" s="11">
        <v>94.0</v>
      </c>
      <c r="C150" s="12">
        <v>0.2673611111111111</v>
      </c>
      <c r="D150" s="13">
        <v>0.26805555555555555</v>
      </c>
      <c r="E150" s="64">
        <v>198.0</v>
      </c>
      <c r="F150" s="65">
        <v>0.3729166666666667</v>
      </c>
      <c r="G150" s="66">
        <v>0.3729166666666667</v>
      </c>
      <c r="H150" s="11">
        <v>88.0</v>
      </c>
      <c r="I150" s="18" t="s">
        <v>183</v>
      </c>
      <c r="J150" s="13">
        <v>0.3951388888888889</v>
      </c>
      <c r="K150" s="18"/>
      <c r="L150" s="11">
        <v>675.0</v>
      </c>
      <c r="M150" s="67">
        <v>79.0</v>
      </c>
      <c r="N150" s="12">
        <v>0.4756944444444444</v>
      </c>
      <c r="O150" s="13">
        <v>0.48055555555555557</v>
      </c>
      <c r="Q150" s="67">
        <v>675.0</v>
      </c>
      <c r="R150" s="67">
        <v>77.0</v>
      </c>
      <c r="S150" s="79">
        <v>0.04652777777777778</v>
      </c>
      <c r="T150" s="79">
        <v>0.04791666666666667</v>
      </c>
      <c r="V150" s="67">
        <v>675.0</v>
      </c>
      <c r="W150" s="67">
        <v>65.0</v>
      </c>
      <c r="X150" s="79">
        <v>0.10625</v>
      </c>
      <c r="Y150" s="79">
        <v>0.1076388888888889</v>
      </c>
      <c r="AA150" s="67">
        <v>675.0</v>
      </c>
      <c r="AB150" s="67">
        <v>64.0</v>
      </c>
      <c r="AC150" s="79">
        <v>0.14930555555555555</v>
      </c>
      <c r="AD150" s="79">
        <v>0.15763888888888888</v>
      </c>
      <c r="AF150" s="67">
        <f t="shared" si="1"/>
        <v>0</v>
      </c>
    </row>
    <row r="151" ht="15.75" customHeight="1">
      <c r="A151" s="47">
        <v>676.0</v>
      </c>
      <c r="B151" s="11">
        <v>130.0</v>
      </c>
      <c r="C151" s="12">
        <v>0.2708333333333333</v>
      </c>
      <c r="D151" s="13">
        <v>0.27152777777777776</v>
      </c>
      <c r="E151" s="64">
        <v>109.0</v>
      </c>
      <c r="F151" s="65">
        <v>0.32569444444444445</v>
      </c>
      <c r="G151" s="66">
        <v>0.32569444444444445</v>
      </c>
      <c r="H151" s="11">
        <v>127.0</v>
      </c>
      <c r="I151" s="12">
        <v>0.40555555555555556</v>
      </c>
      <c r="J151" s="13">
        <v>0.4076388888888889</v>
      </c>
      <c r="K151" s="18"/>
      <c r="L151" s="11">
        <v>676.0</v>
      </c>
      <c r="M151" s="67">
        <v>125.0</v>
      </c>
      <c r="N151" s="12">
        <v>0.5027777777777778</v>
      </c>
      <c r="O151" s="13">
        <v>0.5048611111111111</v>
      </c>
      <c r="Q151" s="67">
        <v>676.0</v>
      </c>
      <c r="R151" s="67">
        <v>132.0</v>
      </c>
      <c r="S151" s="79">
        <v>0.08055555555555556</v>
      </c>
      <c r="T151" s="79">
        <v>0.08333333333333333</v>
      </c>
      <c r="V151" s="67">
        <v>676.0</v>
      </c>
      <c r="W151" s="67">
        <v>138.0</v>
      </c>
      <c r="X151" s="79">
        <v>0.16527777777777777</v>
      </c>
      <c r="Y151" s="79">
        <v>0.1673611111111111</v>
      </c>
      <c r="AA151" s="67">
        <v>676.0</v>
      </c>
      <c r="AB151" s="67">
        <v>136.0</v>
      </c>
      <c r="AC151" s="79">
        <v>0.21875</v>
      </c>
      <c r="AD151" s="79">
        <v>0.2263888888888889</v>
      </c>
      <c r="AF151" s="67">
        <f t="shared" si="1"/>
        <v>0</v>
      </c>
    </row>
    <row r="152" ht="15.75" customHeight="1">
      <c r="A152" s="47">
        <v>677.0</v>
      </c>
      <c r="B152" s="11">
        <v>35.0</v>
      </c>
      <c r="C152" s="12">
        <v>0.2604166666666667</v>
      </c>
      <c r="D152" s="13">
        <v>0.26180555555555557</v>
      </c>
      <c r="E152" s="64">
        <v>132.0</v>
      </c>
      <c r="F152" s="65">
        <v>0.3326388888888889</v>
      </c>
      <c r="G152" s="66">
        <v>0.3326388888888889</v>
      </c>
      <c r="H152" s="11">
        <v>78.0</v>
      </c>
      <c r="I152" s="12">
        <v>0.38819444444444445</v>
      </c>
      <c r="J152" s="13">
        <v>0.3923611111111111</v>
      </c>
      <c r="K152" s="18"/>
      <c r="L152" s="11">
        <v>677.0</v>
      </c>
      <c r="M152" s="67">
        <v>98.0</v>
      </c>
      <c r="N152" s="12">
        <v>0.4875</v>
      </c>
      <c r="O152" s="13">
        <v>0.4930555555555556</v>
      </c>
      <c r="Q152" s="67">
        <v>677.0</v>
      </c>
      <c r="R152" s="67">
        <v>105.0</v>
      </c>
      <c r="S152" s="79">
        <v>0.06805555555555555</v>
      </c>
      <c r="T152" s="79">
        <v>0.07708333333333334</v>
      </c>
      <c r="V152" s="67">
        <v>677.0</v>
      </c>
      <c r="W152" s="67">
        <v>116.0</v>
      </c>
      <c r="X152" s="79">
        <v>0.1527777777777778</v>
      </c>
      <c r="Y152" s="79">
        <v>0.15763888888888888</v>
      </c>
      <c r="AA152" s="67">
        <v>677.0</v>
      </c>
      <c r="AB152" s="67">
        <v>129.0</v>
      </c>
      <c r="AC152" s="79">
        <v>0.21388888888888888</v>
      </c>
      <c r="AD152" s="79">
        <v>0.21944444444444444</v>
      </c>
      <c r="AF152" s="67">
        <f t="shared" si="1"/>
        <v>0</v>
      </c>
    </row>
    <row r="153" ht="15.75" customHeight="1">
      <c r="A153" s="47">
        <v>678.0</v>
      </c>
      <c r="B153" s="11">
        <v>195.0</v>
      </c>
      <c r="C153" s="12">
        <v>0.28125</v>
      </c>
      <c r="D153" s="13">
        <v>0.28194444444444444</v>
      </c>
      <c r="E153" s="64">
        <v>54.0</v>
      </c>
      <c r="F153" s="65">
        <v>0.3145833333333333</v>
      </c>
      <c r="G153" s="66">
        <v>0.3145833333333333</v>
      </c>
      <c r="H153" s="11">
        <v>193.0</v>
      </c>
      <c r="I153" s="12">
        <v>0.4409722222222222</v>
      </c>
      <c r="J153" s="13">
        <v>0.45</v>
      </c>
      <c r="L153" s="11">
        <v>678.0</v>
      </c>
      <c r="M153" s="67">
        <v>191.0</v>
      </c>
      <c r="N153" s="12">
        <v>0.06388888888888888</v>
      </c>
      <c r="O153" s="13">
        <v>0.06597222222222222</v>
      </c>
      <c r="Q153" s="67">
        <v>678.0</v>
      </c>
      <c r="R153" s="67">
        <v>189.0</v>
      </c>
      <c r="S153" s="79">
        <v>0.1486111111111111</v>
      </c>
      <c r="T153" s="79">
        <v>0.15138888888888888</v>
      </c>
      <c r="V153" s="67">
        <v>678.0</v>
      </c>
      <c r="W153" s="67">
        <v>186.0</v>
      </c>
      <c r="X153" s="79">
        <v>0.23194444444444445</v>
      </c>
      <c r="Y153" s="79">
        <v>0.23402777777777778</v>
      </c>
      <c r="AA153" s="67">
        <v>678.0</v>
      </c>
      <c r="AB153" s="67">
        <v>183.0</v>
      </c>
      <c r="AC153" s="79">
        <v>0.2951388888888889</v>
      </c>
      <c r="AD153" s="79">
        <v>0.3145833333333333</v>
      </c>
      <c r="AF153" s="67">
        <f t="shared" si="1"/>
        <v>0</v>
      </c>
    </row>
    <row r="154" ht="15.75" customHeight="1">
      <c r="A154" s="47">
        <v>680.0</v>
      </c>
      <c r="B154" s="11">
        <v>191.0</v>
      </c>
      <c r="C154" s="12">
        <v>0.28055555555555556</v>
      </c>
      <c r="D154" s="13">
        <v>0.28125</v>
      </c>
      <c r="E154" s="64">
        <v>194.0</v>
      </c>
      <c r="F154" s="65">
        <v>0.3541666666666667</v>
      </c>
      <c r="G154" s="66">
        <v>0.3541666666666667</v>
      </c>
      <c r="H154" s="11">
        <v>179.0</v>
      </c>
      <c r="I154" s="12">
        <v>0.425</v>
      </c>
      <c r="J154" s="13">
        <v>0.4388888888888889</v>
      </c>
      <c r="K154" s="18"/>
      <c r="L154" s="11">
        <v>680.0</v>
      </c>
      <c r="M154" s="67">
        <v>178.0</v>
      </c>
      <c r="N154" s="12">
        <v>0.5375</v>
      </c>
      <c r="O154" s="13">
        <v>0.041666666666666664</v>
      </c>
      <c r="Q154" s="67">
        <v>680.0</v>
      </c>
      <c r="R154" s="67">
        <v>175.0</v>
      </c>
      <c r="S154" s="79">
        <v>0.11666666666666667</v>
      </c>
      <c r="T154" s="79">
        <v>0.12222222222222222</v>
      </c>
      <c r="V154" s="67">
        <v>680.0</v>
      </c>
      <c r="W154" s="67">
        <v>168.0</v>
      </c>
      <c r="X154" s="79">
        <v>0.19583333333333333</v>
      </c>
      <c r="Y154" s="79">
        <v>0.19930555555555557</v>
      </c>
      <c r="AA154" s="67">
        <v>680.0</v>
      </c>
      <c r="AB154" s="67">
        <v>164.0</v>
      </c>
      <c r="AC154" s="79">
        <v>0.25</v>
      </c>
      <c r="AD154" s="79">
        <v>0.25416666666666665</v>
      </c>
      <c r="AF154" s="67">
        <f t="shared" si="1"/>
        <v>0</v>
      </c>
    </row>
    <row r="155" ht="15.75" customHeight="1">
      <c r="A155" s="47">
        <v>681.0</v>
      </c>
      <c r="B155" s="11">
        <v>175.0</v>
      </c>
      <c r="C155" s="12">
        <v>0.275</v>
      </c>
      <c r="D155" s="13">
        <v>0.27569444444444446</v>
      </c>
      <c r="E155" s="64">
        <v>179.0</v>
      </c>
      <c r="F155" s="65">
        <v>0.34444444444444444</v>
      </c>
      <c r="G155" s="66">
        <v>0.34444444444444444</v>
      </c>
      <c r="H155" s="11">
        <v>143.0</v>
      </c>
      <c r="I155" s="12">
        <v>0.41180555555555554</v>
      </c>
      <c r="J155" s="13">
        <v>0.4270833333333333</v>
      </c>
      <c r="K155" s="18"/>
      <c r="L155" s="11">
        <v>681.0</v>
      </c>
      <c r="M155" s="67">
        <v>156.0</v>
      </c>
      <c r="N155" s="12">
        <v>0.51875</v>
      </c>
      <c r="O155" s="13">
        <v>0.5208333333333334</v>
      </c>
      <c r="Q155" s="67">
        <v>681.0</v>
      </c>
      <c r="R155" s="67">
        <v>158.0</v>
      </c>
      <c r="S155" s="79">
        <v>0.09861111111111111</v>
      </c>
      <c r="T155" s="79">
        <v>0.10625</v>
      </c>
      <c r="V155" s="67">
        <v>681.0</v>
      </c>
      <c r="W155" s="67">
        <v>154.0</v>
      </c>
      <c r="X155" s="79">
        <v>0.18125</v>
      </c>
      <c r="Y155" s="79">
        <v>0.18472222222222223</v>
      </c>
      <c r="AA155" s="67">
        <v>681.0</v>
      </c>
      <c r="AB155" s="67">
        <v>153.0</v>
      </c>
      <c r="AC155" s="79">
        <v>0.24027777777777778</v>
      </c>
      <c r="AD155" s="79">
        <v>0.25416666666666665</v>
      </c>
      <c r="AF155" s="67">
        <f t="shared" si="1"/>
        <v>0</v>
      </c>
    </row>
    <row r="156" ht="15.75" customHeight="1">
      <c r="A156" s="47">
        <v>683.0</v>
      </c>
      <c r="B156" s="11">
        <v>38.0</v>
      </c>
      <c r="C156" s="12">
        <v>0.2604166666666667</v>
      </c>
      <c r="D156" s="13">
        <v>0.26180555555555557</v>
      </c>
      <c r="E156" s="64">
        <v>151.0</v>
      </c>
      <c r="F156" s="65">
        <v>0.3368055555555556</v>
      </c>
      <c r="G156" s="66">
        <v>0.3368055555555556</v>
      </c>
      <c r="H156" s="11">
        <v>26.0</v>
      </c>
      <c r="I156" s="12">
        <v>0.36527777777777776</v>
      </c>
      <c r="J156" s="13">
        <v>0.3680555555555556</v>
      </c>
      <c r="K156" s="18"/>
      <c r="L156" s="11">
        <v>683.0</v>
      </c>
      <c r="M156" s="67">
        <v>27.0</v>
      </c>
      <c r="N156" s="12">
        <v>0.44166666666666665</v>
      </c>
      <c r="O156" s="13">
        <v>0.44375</v>
      </c>
      <c r="Q156" s="67">
        <v>683.0</v>
      </c>
      <c r="R156" s="67">
        <v>28.0</v>
      </c>
      <c r="S156" s="79">
        <v>0.5020833333333333</v>
      </c>
      <c r="T156" s="79">
        <v>0.5048611111111111</v>
      </c>
      <c r="V156" s="67">
        <v>683.0</v>
      </c>
      <c r="W156" s="67">
        <v>37.0</v>
      </c>
      <c r="X156" s="79">
        <v>0.06875</v>
      </c>
      <c r="Y156" s="79">
        <v>0.07222222222222222</v>
      </c>
      <c r="AA156" s="67">
        <v>683.0</v>
      </c>
      <c r="AB156" s="67">
        <v>43.0</v>
      </c>
      <c r="AC156" s="79">
        <v>0.11944444444444445</v>
      </c>
      <c r="AD156" s="79">
        <v>0.12708333333333333</v>
      </c>
      <c r="AF156" s="67">
        <f t="shared" si="1"/>
        <v>0</v>
      </c>
    </row>
    <row r="157" ht="15.75" customHeight="1">
      <c r="A157" s="47">
        <v>684.0</v>
      </c>
      <c r="B157" s="11">
        <v>121.0</v>
      </c>
      <c r="C157" s="12">
        <v>0.2701388888888889</v>
      </c>
      <c r="D157" s="13">
        <v>0.2708333333333333</v>
      </c>
      <c r="E157" s="64">
        <v>26.0</v>
      </c>
      <c r="F157" s="65">
        <v>0.30694444444444446</v>
      </c>
      <c r="G157" s="66">
        <v>0.30694444444444446</v>
      </c>
      <c r="H157" s="11">
        <v>66.0</v>
      </c>
      <c r="I157" s="12">
        <v>0.3854166666666667</v>
      </c>
      <c r="J157" s="13">
        <v>0.3875</v>
      </c>
      <c r="K157" s="18"/>
      <c r="L157" s="11">
        <v>684.0</v>
      </c>
      <c r="M157" s="67">
        <v>53.0</v>
      </c>
      <c r="N157" s="12">
        <v>0.4597222222222222</v>
      </c>
      <c r="O157" s="13">
        <v>0.46111111111111114</v>
      </c>
      <c r="Q157" s="67">
        <v>684.0</v>
      </c>
      <c r="R157" s="67">
        <v>47.0</v>
      </c>
      <c r="S157" s="79">
        <v>0.5180555555555556</v>
      </c>
      <c r="T157" s="79">
        <v>0.5236111111111111</v>
      </c>
      <c r="V157" s="67">
        <v>684.0</v>
      </c>
      <c r="W157" s="67">
        <v>47.0</v>
      </c>
      <c r="X157" s="79">
        <v>0.08263888888888889</v>
      </c>
      <c r="Y157" s="79">
        <v>0.08541666666666667</v>
      </c>
      <c r="AA157" s="67">
        <v>684.0</v>
      </c>
      <c r="AB157" s="67">
        <v>46.0</v>
      </c>
      <c r="AC157" s="79">
        <v>0.12361111111111112</v>
      </c>
      <c r="AD157" s="79">
        <v>0.1375</v>
      </c>
      <c r="AF157" s="67">
        <f t="shared" si="1"/>
        <v>0</v>
      </c>
    </row>
    <row r="158" ht="15.75" customHeight="1">
      <c r="A158" s="47">
        <v>685.0</v>
      </c>
      <c r="B158" s="11">
        <v>31.0</v>
      </c>
      <c r="C158" s="12">
        <v>0.25972222222222224</v>
      </c>
      <c r="D158" s="13">
        <v>0.2604166666666667</v>
      </c>
      <c r="E158" s="64">
        <v>101.0</v>
      </c>
      <c r="F158" s="65">
        <v>0.32569444444444445</v>
      </c>
      <c r="G158" s="66">
        <v>0.32569444444444445</v>
      </c>
      <c r="H158" s="11">
        <v>33.0</v>
      </c>
      <c r="I158" s="12">
        <v>0.36875</v>
      </c>
      <c r="J158" s="13">
        <v>0.37083333333333335</v>
      </c>
      <c r="K158" s="18"/>
      <c r="L158" s="11">
        <v>685.0</v>
      </c>
      <c r="M158" s="67">
        <v>29.0</v>
      </c>
      <c r="N158" s="12">
        <v>0.44513888888888886</v>
      </c>
      <c r="O158" s="13">
        <v>0.44583333333333336</v>
      </c>
      <c r="Q158" s="67">
        <v>685.0</v>
      </c>
      <c r="R158" s="67">
        <v>26.0</v>
      </c>
      <c r="S158" s="79">
        <v>0.5020833333333333</v>
      </c>
      <c r="T158" s="79">
        <v>0.5041666666666667</v>
      </c>
      <c r="V158" s="67">
        <v>685.0</v>
      </c>
      <c r="W158" s="67">
        <v>28.0</v>
      </c>
      <c r="X158" s="79">
        <v>0.06180555555555556</v>
      </c>
      <c r="Y158" s="79">
        <v>0.06319444444444444</v>
      </c>
      <c r="AA158" s="67">
        <v>685.0</v>
      </c>
      <c r="AB158" s="67">
        <v>28.0</v>
      </c>
      <c r="AC158" s="79">
        <v>0.10277777777777777</v>
      </c>
      <c r="AD158" s="81"/>
      <c r="AF158" s="67">
        <f t="shared" si="1"/>
        <v>0</v>
      </c>
    </row>
    <row r="159" ht="15.75" customHeight="1">
      <c r="A159" s="47">
        <v>686.0</v>
      </c>
      <c r="B159" s="11">
        <v>43.0</v>
      </c>
      <c r="C159" s="12">
        <v>0.2604166666666667</v>
      </c>
      <c r="D159" s="13">
        <v>0.26180555555555557</v>
      </c>
      <c r="E159" s="64">
        <v>34.0</v>
      </c>
      <c r="F159" s="65">
        <v>0.3111111111111111</v>
      </c>
      <c r="G159" s="66">
        <v>0.3111111111111111</v>
      </c>
      <c r="H159" s="11">
        <v>55.0</v>
      </c>
      <c r="I159" s="12">
        <v>0.3770833333333333</v>
      </c>
      <c r="J159" s="13">
        <v>0.3798611111111111</v>
      </c>
      <c r="K159" s="18"/>
      <c r="L159" s="11">
        <v>686.0</v>
      </c>
      <c r="M159" s="67">
        <v>51.0</v>
      </c>
      <c r="N159" s="12">
        <v>0.45902777777777776</v>
      </c>
      <c r="O159" s="13">
        <v>0.46041666666666664</v>
      </c>
      <c r="Q159" s="67">
        <v>686.0</v>
      </c>
      <c r="R159" s="67">
        <v>53.0</v>
      </c>
      <c r="S159" s="79">
        <v>0.5229166666666667</v>
      </c>
      <c r="T159" s="79">
        <v>0.5256944444444445</v>
      </c>
      <c r="V159" s="67">
        <v>686.0</v>
      </c>
      <c r="W159" s="67">
        <v>55.0</v>
      </c>
      <c r="X159" s="79">
        <v>0.08888888888888889</v>
      </c>
      <c r="Y159" s="79">
        <v>0.09097222222222222</v>
      </c>
      <c r="AA159" s="67">
        <v>686.0</v>
      </c>
      <c r="AB159" s="67">
        <v>53.0</v>
      </c>
      <c r="AC159" s="79">
        <v>0.13333333333333333</v>
      </c>
      <c r="AD159" s="79">
        <v>0.1361111111111111</v>
      </c>
      <c r="AF159" s="67">
        <f t="shared" si="1"/>
        <v>0</v>
      </c>
    </row>
    <row r="160" ht="15.75" customHeight="1">
      <c r="A160" s="47">
        <v>687.0</v>
      </c>
      <c r="B160" s="11">
        <v>65.0</v>
      </c>
      <c r="C160" s="12">
        <v>0.26319444444444445</v>
      </c>
      <c r="D160" s="13">
        <v>0.2638888888888889</v>
      </c>
      <c r="E160" s="64">
        <v>50.0</v>
      </c>
      <c r="F160" s="65">
        <v>0.3138888888888889</v>
      </c>
      <c r="G160" s="66">
        <v>0.3138888888888889</v>
      </c>
      <c r="H160" s="11">
        <v>43.0</v>
      </c>
      <c r="I160" s="12">
        <v>0.3729166666666667</v>
      </c>
      <c r="J160" s="13">
        <v>0.3784722222222222</v>
      </c>
      <c r="K160" s="18"/>
      <c r="L160" s="11">
        <v>687.0</v>
      </c>
      <c r="M160" s="67">
        <v>41.0</v>
      </c>
      <c r="N160" s="12">
        <v>0.45</v>
      </c>
      <c r="O160" s="13">
        <v>0.4527777777777778</v>
      </c>
      <c r="Q160" s="67">
        <v>687.0</v>
      </c>
      <c r="R160" s="67">
        <v>39.0</v>
      </c>
      <c r="S160" s="79">
        <v>0.5097222222222222</v>
      </c>
      <c r="T160" s="79">
        <v>0.5118055555555555</v>
      </c>
      <c r="V160" s="67">
        <v>687.0</v>
      </c>
      <c r="W160" s="67">
        <v>39.0</v>
      </c>
      <c r="X160" s="79">
        <v>0.07013888888888889</v>
      </c>
      <c r="Y160" s="79">
        <v>0.07083333333333333</v>
      </c>
      <c r="AA160" s="67">
        <v>687.0</v>
      </c>
      <c r="AB160" s="67">
        <v>36.0</v>
      </c>
      <c r="AC160" s="79">
        <v>0.1111111111111111</v>
      </c>
      <c r="AD160" s="79">
        <v>0.125</v>
      </c>
      <c r="AF160" s="67">
        <f t="shared" si="1"/>
        <v>0</v>
      </c>
    </row>
    <row r="161" ht="15.75" customHeight="1">
      <c r="A161" s="47">
        <v>688.0</v>
      </c>
      <c r="B161" s="11">
        <v>152.0</v>
      </c>
      <c r="C161" s="12">
        <v>0.2743055555555556</v>
      </c>
      <c r="D161" s="13">
        <v>0.275</v>
      </c>
      <c r="E161" s="64">
        <v>57.0</v>
      </c>
      <c r="F161" s="65">
        <v>0.3145833333333333</v>
      </c>
      <c r="G161" s="66">
        <v>0.3145833333333333</v>
      </c>
      <c r="H161" s="11">
        <v>148.0</v>
      </c>
      <c r="I161" s="12">
        <v>0.4125</v>
      </c>
      <c r="J161" s="13">
        <v>0.42083333333333334</v>
      </c>
      <c r="K161" s="18"/>
      <c r="L161" s="11">
        <v>688.0</v>
      </c>
      <c r="M161" s="67">
        <v>128.0</v>
      </c>
      <c r="N161" s="12">
        <v>0.5041666666666667</v>
      </c>
      <c r="O161" s="13">
        <v>0.5076388888888889</v>
      </c>
      <c r="Q161" s="67">
        <v>688.0</v>
      </c>
      <c r="R161" s="67">
        <v>125.0</v>
      </c>
      <c r="S161" s="79">
        <v>0.0798611111111111</v>
      </c>
      <c r="T161" s="79">
        <v>0.08263888888888889</v>
      </c>
      <c r="V161" s="67">
        <v>688.0</v>
      </c>
      <c r="W161" s="67">
        <v>113.0</v>
      </c>
      <c r="X161" s="79">
        <v>0.14791666666666667</v>
      </c>
      <c r="Y161" s="79">
        <v>0.15</v>
      </c>
      <c r="AA161" s="67">
        <v>688.0</v>
      </c>
      <c r="AB161" s="67">
        <v>104.0</v>
      </c>
      <c r="AC161" s="79">
        <v>0.19583333333333333</v>
      </c>
      <c r="AD161" s="79">
        <v>0.20625</v>
      </c>
      <c r="AF161" s="67">
        <f t="shared" si="1"/>
        <v>0</v>
      </c>
    </row>
    <row r="162" ht="15.75" customHeight="1">
      <c r="A162" s="47">
        <v>689.0</v>
      </c>
      <c r="B162" s="11">
        <v>12.0</v>
      </c>
      <c r="C162" s="12">
        <v>0.25416666666666665</v>
      </c>
      <c r="D162" s="13">
        <v>0.25416666666666665</v>
      </c>
      <c r="E162" s="64">
        <v>141.0</v>
      </c>
      <c r="F162" s="65">
        <v>0.33611111111111114</v>
      </c>
      <c r="G162" s="66">
        <v>0.33611111111111114</v>
      </c>
      <c r="H162" s="11">
        <v>13.0</v>
      </c>
      <c r="I162" s="12">
        <v>0.35555555555555557</v>
      </c>
      <c r="J162" s="13">
        <v>0.3590277777777778</v>
      </c>
      <c r="K162" s="18"/>
      <c r="L162" s="11">
        <v>689.0</v>
      </c>
      <c r="M162" s="67">
        <v>14.0</v>
      </c>
      <c r="N162" s="12">
        <v>0.4284722222222222</v>
      </c>
      <c r="O162" s="13">
        <v>0.42916666666666664</v>
      </c>
      <c r="Q162" s="67">
        <v>689.0</v>
      </c>
      <c r="R162" s="67">
        <v>14.0</v>
      </c>
      <c r="S162" s="79">
        <v>0.4895833333333333</v>
      </c>
      <c r="T162" s="79">
        <v>0.4909722222222222</v>
      </c>
      <c r="V162" s="67">
        <v>689.0</v>
      </c>
      <c r="W162" s="67">
        <v>13.0</v>
      </c>
      <c r="X162" s="79">
        <v>0.04375</v>
      </c>
      <c r="Y162" s="79">
        <v>0.044444444444444446</v>
      </c>
      <c r="AA162" s="67">
        <v>689.0</v>
      </c>
      <c r="AB162" s="67">
        <v>13.0</v>
      </c>
      <c r="AC162" s="79">
        <v>0.07916666666666666</v>
      </c>
      <c r="AD162" s="79">
        <v>0.08680555555555555</v>
      </c>
      <c r="AF162" s="67">
        <f t="shared" si="1"/>
        <v>0</v>
      </c>
    </row>
    <row r="163" ht="15.75" customHeight="1">
      <c r="A163" s="47">
        <v>689.0</v>
      </c>
      <c r="B163" s="11">
        <v>14.0</v>
      </c>
      <c r="C163" s="12">
        <v>0.2548611111111111</v>
      </c>
      <c r="D163" s="13">
        <v>0.25555555555555554</v>
      </c>
      <c r="E163" s="64">
        <v>14.0</v>
      </c>
      <c r="F163" s="65">
        <v>0.3013888888888889</v>
      </c>
      <c r="G163" s="66">
        <v>0.3013888888888889</v>
      </c>
      <c r="H163" s="11"/>
      <c r="I163" s="18"/>
      <c r="J163" s="38"/>
      <c r="K163" s="18"/>
      <c r="AF163" s="67">
        <f t="shared" si="1"/>
        <v>689</v>
      </c>
    </row>
    <row r="164" ht="15.75" customHeight="1">
      <c r="A164" s="47">
        <v>690.0</v>
      </c>
      <c r="B164" s="11">
        <v>97.0</v>
      </c>
      <c r="C164" s="12">
        <v>0.26805555555555555</v>
      </c>
      <c r="D164" s="13">
        <v>0.26875</v>
      </c>
      <c r="E164" s="64">
        <v>96.0</v>
      </c>
      <c r="F164" s="65">
        <v>0.32430555555555557</v>
      </c>
      <c r="G164" s="66">
        <v>0.32430555555555557</v>
      </c>
      <c r="H164" s="11">
        <v>89.0</v>
      </c>
      <c r="I164" s="12">
        <v>0.3902777777777778</v>
      </c>
      <c r="J164" s="13">
        <v>0.39305555555555555</v>
      </c>
      <c r="K164" s="18"/>
      <c r="L164" s="11">
        <v>690.0</v>
      </c>
      <c r="M164" s="67">
        <v>84.0</v>
      </c>
      <c r="N164" s="12">
        <v>0.48055555555555557</v>
      </c>
      <c r="O164" s="13">
        <v>0.48333333333333334</v>
      </c>
      <c r="Q164" s="67">
        <v>690.0</v>
      </c>
      <c r="R164" s="67">
        <v>90.0</v>
      </c>
      <c r="S164" s="79">
        <v>0.05555555555555555</v>
      </c>
      <c r="T164" s="79">
        <v>0.05625</v>
      </c>
      <c r="V164" s="67">
        <v>690.0</v>
      </c>
      <c r="W164" s="67">
        <v>86.0</v>
      </c>
      <c r="X164" s="79">
        <v>0.125</v>
      </c>
      <c r="Y164" s="79">
        <v>0.12638888888888888</v>
      </c>
      <c r="AA164" s="67">
        <v>690.0</v>
      </c>
      <c r="AB164" s="67">
        <v>88.0</v>
      </c>
      <c r="AC164" s="79">
        <v>0.17847222222222223</v>
      </c>
      <c r="AD164" s="79">
        <v>0.19027777777777777</v>
      </c>
      <c r="AF164" s="67">
        <f t="shared" si="1"/>
        <v>0</v>
      </c>
    </row>
    <row r="165" ht="15.75" customHeight="1">
      <c r="A165" s="47">
        <v>691.0</v>
      </c>
      <c r="B165" s="11">
        <v>128.0</v>
      </c>
      <c r="C165" s="12">
        <v>0.2708333333333333</v>
      </c>
      <c r="D165" s="13">
        <v>0.27152777777777776</v>
      </c>
      <c r="E165" s="64">
        <v>150.0</v>
      </c>
      <c r="F165" s="65">
        <v>0.3368055555555556</v>
      </c>
      <c r="G165" s="66">
        <v>0.3368055555555556</v>
      </c>
      <c r="H165" s="11">
        <v>167.0</v>
      </c>
      <c r="I165" s="12">
        <v>0.42083333333333334</v>
      </c>
      <c r="J165" s="13">
        <v>0.4340277777777778</v>
      </c>
      <c r="K165" s="18"/>
      <c r="L165" s="11">
        <v>691.0</v>
      </c>
      <c r="M165" s="67">
        <v>174.0</v>
      </c>
      <c r="N165" s="12">
        <v>0.5333333333333333</v>
      </c>
      <c r="O165" s="13">
        <v>0.5381944444444444</v>
      </c>
      <c r="Q165" s="67">
        <v>691.0</v>
      </c>
      <c r="R165" s="67">
        <v>177.0</v>
      </c>
      <c r="S165" s="79">
        <v>0.11736111111111111</v>
      </c>
      <c r="T165" s="79">
        <v>0.12430555555555556</v>
      </c>
      <c r="V165" s="67">
        <v>691.0</v>
      </c>
      <c r="W165" s="67">
        <v>171.0</v>
      </c>
      <c r="X165" s="79">
        <v>0.19930555555555557</v>
      </c>
      <c r="Y165" s="79">
        <v>0.2076388888888889</v>
      </c>
      <c r="AA165" s="67">
        <v>691.0</v>
      </c>
      <c r="AB165" s="67">
        <v>171.0</v>
      </c>
      <c r="AC165" s="79">
        <v>0.2625</v>
      </c>
      <c r="AD165" s="79">
        <v>0.27708333333333335</v>
      </c>
      <c r="AF165" s="67">
        <f t="shared" si="1"/>
        <v>0</v>
      </c>
    </row>
    <row r="166" ht="15.75" customHeight="1">
      <c r="A166" s="47">
        <v>692.0</v>
      </c>
      <c r="B166" s="11">
        <v>45.0</v>
      </c>
      <c r="C166" s="12">
        <v>0.2611111111111111</v>
      </c>
      <c r="D166" s="13">
        <v>0.26180555555555557</v>
      </c>
      <c r="E166" s="64">
        <v>49.0</v>
      </c>
      <c r="F166" s="65">
        <v>0.3138888888888889</v>
      </c>
      <c r="G166" s="66">
        <v>0.3138888888888889</v>
      </c>
      <c r="H166" s="11">
        <v>53.0</v>
      </c>
      <c r="I166" s="12">
        <v>0.3763888888888889</v>
      </c>
      <c r="J166" s="13">
        <v>0.38055555555555554</v>
      </c>
      <c r="K166" s="18"/>
      <c r="L166" s="11">
        <v>692.0</v>
      </c>
      <c r="M166" s="67">
        <v>57.0</v>
      </c>
      <c r="N166" s="12">
        <v>0.4618055555555556</v>
      </c>
      <c r="O166" s="13">
        <v>0.4652777777777778</v>
      </c>
      <c r="Q166" s="67">
        <v>692.0</v>
      </c>
      <c r="R166" s="67">
        <v>62.0</v>
      </c>
      <c r="S166" s="79">
        <v>0.5333333333333333</v>
      </c>
      <c r="T166" s="79">
        <v>0.5354166666666667</v>
      </c>
      <c r="V166" s="67">
        <v>692.0</v>
      </c>
      <c r="W166" s="67">
        <v>62.0</v>
      </c>
      <c r="X166" s="79">
        <v>0.1</v>
      </c>
      <c r="Y166" s="79">
        <v>0.10347222222222222</v>
      </c>
      <c r="AA166" s="67">
        <v>692.0</v>
      </c>
      <c r="AB166" s="67">
        <v>61.0</v>
      </c>
      <c r="AC166" s="79">
        <v>0.1451388888888889</v>
      </c>
      <c r="AD166" s="79">
        <v>0.15416666666666667</v>
      </c>
      <c r="AF166" s="67">
        <f t="shared" si="1"/>
        <v>0</v>
      </c>
    </row>
    <row r="167" ht="15.75" customHeight="1">
      <c r="A167" s="47">
        <v>693.0</v>
      </c>
      <c r="B167" s="11">
        <v>129.0</v>
      </c>
      <c r="C167" s="12">
        <v>0.2708333333333333</v>
      </c>
      <c r="D167" s="13">
        <v>0.27152777777777776</v>
      </c>
      <c r="E167" s="64">
        <v>123.0</v>
      </c>
      <c r="F167" s="65">
        <v>0.33055555555555555</v>
      </c>
      <c r="G167" s="66">
        <v>0.33055555555555555</v>
      </c>
      <c r="H167" s="11">
        <v>111.0</v>
      </c>
      <c r="I167" s="12">
        <v>0.40208333333333335</v>
      </c>
      <c r="J167" s="38"/>
      <c r="K167" s="18"/>
      <c r="L167" s="11">
        <v>693.0</v>
      </c>
      <c r="M167" s="67">
        <v>111.0</v>
      </c>
      <c r="N167" s="12">
        <v>0.49722222222222223</v>
      </c>
      <c r="O167" s="13">
        <v>0.5</v>
      </c>
      <c r="Q167" s="67">
        <v>693.0</v>
      </c>
      <c r="R167" s="67">
        <v>110.0</v>
      </c>
      <c r="S167" s="79">
        <v>0.07291666666666667</v>
      </c>
      <c r="T167" s="79">
        <v>0.0763888888888889</v>
      </c>
      <c r="V167" s="67">
        <v>693.0</v>
      </c>
      <c r="W167" s="67">
        <v>106.0</v>
      </c>
      <c r="X167" s="79">
        <v>0.14375</v>
      </c>
      <c r="Y167" s="79">
        <v>0.14583333333333334</v>
      </c>
      <c r="AA167" s="67">
        <v>693.0</v>
      </c>
      <c r="AB167" s="67">
        <v>109.0</v>
      </c>
      <c r="AC167" s="79">
        <v>0.19930555555555557</v>
      </c>
      <c r="AD167" s="79">
        <v>0.20694444444444443</v>
      </c>
      <c r="AF167" s="67">
        <f t="shared" si="1"/>
        <v>0</v>
      </c>
    </row>
    <row r="168" ht="15.75" customHeight="1">
      <c r="A168" s="47">
        <v>694.0</v>
      </c>
      <c r="B168" s="11">
        <v>173.0</v>
      </c>
      <c r="C168" s="12">
        <v>0.2743055555555556</v>
      </c>
      <c r="D168" s="13">
        <v>0.275</v>
      </c>
      <c r="E168" s="64">
        <v>172.0</v>
      </c>
      <c r="F168" s="65">
        <v>0.3388888888888889</v>
      </c>
      <c r="G168" s="66">
        <v>0.3388888888888889</v>
      </c>
      <c r="H168" s="11">
        <v>145.0</v>
      </c>
      <c r="I168" s="12">
        <v>0.41180555555555554</v>
      </c>
      <c r="J168" s="13">
        <v>0.4173611111111111</v>
      </c>
      <c r="K168" s="18"/>
      <c r="L168" s="11">
        <v>694.0</v>
      </c>
      <c r="M168" s="67">
        <v>143.0</v>
      </c>
      <c r="N168" s="12">
        <v>0.5104166666666666</v>
      </c>
      <c r="O168" s="13">
        <v>0.5138888888888888</v>
      </c>
      <c r="Q168" s="67">
        <v>694.0</v>
      </c>
      <c r="R168" s="67">
        <v>147.0</v>
      </c>
      <c r="S168" s="79">
        <v>0.09375</v>
      </c>
      <c r="T168" s="79">
        <v>0.09513888888888888</v>
      </c>
      <c r="V168" s="67">
        <v>694.0</v>
      </c>
      <c r="W168" s="67">
        <v>147.0</v>
      </c>
      <c r="X168" s="79">
        <v>0.1701388888888889</v>
      </c>
      <c r="Y168" s="79">
        <v>0.17222222222222222</v>
      </c>
      <c r="AA168" s="67">
        <v>694.0</v>
      </c>
      <c r="AB168" s="67">
        <v>146.0</v>
      </c>
      <c r="AC168" s="79">
        <v>0.23125</v>
      </c>
      <c r="AD168" s="79">
        <v>0.2534722222222222</v>
      </c>
      <c r="AF168" s="67">
        <f t="shared" si="1"/>
        <v>0</v>
      </c>
    </row>
    <row r="169" ht="15.75" customHeight="1">
      <c r="A169" s="47">
        <v>695.0</v>
      </c>
      <c r="B169" s="11">
        <v>68.0</v>
      </c>
      <c r="C169" s="12">
        <v>0.2638888888888889</v>
      </c>
      <c r="D169" s="13">
        <v>0.26458333333333334</v>
      </c>
      <c r="E169" s="64">
        <v>65.0</v>
      </c>
      <c r="F169" s="65">
        <v>0.31875</v>
      </c>
      <c r="G169" s="66">
        <v>0.31875</v>
      </c>
      <c r="H169" s="11">
        <v>64.0</v>
      </c>
      <c r="I169" s="12">
        <v>0.3840277777777778</v>
      </c>
      <c r="J169" s="13">
        <v>0.3875</v>
      </c>
      <c r="K169" s="18"/>
      <c r="L169" s="11">
        <v>695.0</v>
      </c>
      <c r="M169" s="67">
        <v>63.0</v>
      </c>
      <c r="N169" s="12">
        <v>0.46944444444444444</v>
      </c>
      <c r="O169" s="13">
        <v>0.47291666666666665</v>
      </c>
      <c r="Q169" s="67">
        <v>695.0</v>
      </c>
      <c r="R169" s="67">
        <v>70.0</v>
      </c>
      <c r="S169" s="79">
        <v>0.043055555555555555</v>
      </c>
      <c r="T169" s="79">
        <v>0.04722222222222222</v>
      </c>
      <c r="V169" s="67">
        <v>695.0</v>
      </c>
      <c r="W169" s="67">
        <v>68.0</v>
      </c>
      <c r="X169" s="79">
        <v>0.10694444444444444</v>
      </c>
      <c r="Y169" s="79">
        <v>0.1111111111111111</v>
      </c>
      <c r="AA169" s="67">
        <v>695.0</v>
      </c>
      <c r="AB169" s="67">
        <v>79.0</v>
      </c>
      <c r="AC169" s="79">
        <v>0.16944444444444445</v>
      </c>
      <c r="AD169" s="79">
        <v>0.18125</v>
      </c>
      <c r="AF169" s="67">
        <f t="shared" si="1"/>
        <v>0</v>
      </c>
    </row>
    <row r="170" ht="15.75" customHeight="1">
      <c r="A170" s="47">
        <v>696.0</v>
      </c>
      <c r="B170" s="11">
        <v>113.0</v>
      </c>
      <c r="C170" s="12">
        <v>0.26944444444444443</v>
      </c>
      <c r="D170" s="13">
        <v>0.2701388888888889</v>
      </c>
      <c r="E170" s="64">
        <v>110.0</v>
      </c>
      <c r="F170" s="65">
        <v>0.32569444444444445</v>
      </c>
      <c r="G170" s="66">
        <v>0.32569444444444445</v>
      </c>
      <c r="H170" s="11">
        <v>91.0</v>
      </c>
      <c r="I170" s="12">
        <v>0.39305555555555555</v>
      </c>
      <c r="J170" s="13">
        <v>0.39861111111111114</v>
      </c>
      <c r="K170" s="18"/>
      <c r="L170" s="11">
        <v>696.0</v>
      </c>
      <c r="M170" s="67">
        <v>91.0</v>
      </c>
      <c r="N170" s="12">
        <v>0.4840277777777778</v>
      </c>
      <c r="O170" s="13">
        <v>0.4875</v>
      </c>
      <c r="Q170" s="67">
        <v>696.0</v>
      </c>
      <c r="R170" s="67">
        <v>89.0</v>
      </c>
      <c r="S170" s="79">
        <v>0.05555555555555555</v>
      </c>
      <c r="T170" s="79">
        <v>0.06041666666666667</v>
      </c>
      <c r="V170" s="67">
        <v>696.0</v>
      </c>
      <c r="W170" s="67">
        <v>90.0</v>
      </c>
      <c r="X170" s="79">
        <v>0.12569444444444444</v>
      </c>
      <c r="Y170" s="79">
        <v>0.12916666666666668</v>
      </c>
      <c r="AA170" s="67">
        <v>696.0</v>
      </c>
      <c r="AB170" s="67">
        <v>86.0</v>
      </c>
      <c r="AC170" s="79">
        <v>0.17430555555555555</v>
      </c>
      <c r="AD170" s="79">
        <v>0.18888888888888888</v>
      </c>
      <c r="AF170" s="67">
        <f t="shared" si="1"/>
        <v>0</v>
      </c>
    </row>
    <row r="171" ht="15.75" customHeight="1">
      <c r="A171" s="47">
        <v>697.0</v>
      </c>
      <c r="B171" s="11">
        <v>34.0</v>
      </c>
      <c r="C171" s="12">
        <v>0.25972222222222224</v>
      </c>
      <c r="D171" s="13">
        <v>0.2604166666666667</v>
      </c>
      <c r="E171" s="64">
        <v>29.0</v>
      </c>
      <c r="F171" s="65">
        <v>0.30694444444444446</v>
      </c>
      <c r="G171" s="66">
        <v>0.30694444444444446</v>
      </c>
      <c r="H171" s="11">
        <v>21.0</v>
      </c>
      <c r="I171" s="12">
        <v>0.36319444444444443</v>
      </c>
      <c r="J171" s="13">
        <v>0.3638888888888889</v>
      </c>
      <c r="K171" s="18"/>
      <c r="L171" s="11">
        <v>697.0</v>
      </c>
      <c r="M171" s="67">
        <v>15.0</v>
      </c>
      <c r="N171" s="12">
        <v>0.42986111111111114</v>
      </c>
      <c r="O171" s="13">
        <v>0.4326388888888889</v>
      </c>
      <c r="Q171" s="67">
        <v>697.0</v>
      </c>
      <c r="R171" s="67">
        <v>13.0</v>
      </c>
      <c r="S171" s="79">
        <v>0.48680555555555555</v>
      </c>
      <c r="T171" s="79">
        <v>0.4888888888888889</v>
      </c>
      <c r="V171" s="67">
        <v>697.0</v>
      </c>
      <c r="W171" s="67">
        <v>14.0</v>
      </c>
      <c r="X171" s="79">
        <v>0.044444444444444446</v>
      </c>
      <c r="Y171" s="79">
        <v>0.04722222222222222</v>
      </c>
      <c r="AA171" s="67">
        <v>697.0</v>
      </c>
      <c r="AB171" s="67">
        <v>14.0</v>
      </c>
      <c r="AC171" s="79">
        <v>0.0875</v>
      </c>
      <c r="AD171" s="79">
        <v>0.09513888888888888</v>
      </c>
      <c r="AF171" s="67">
        <f t="shared" si="1"/>
        <v>0</v>
      </c>
    </row>
    <row r="172" ht="15.75" customHeight="1">
      <c r="A172" s="47">
        <v>699.0</v>
      </c>
      <c r="B172" s="11">
        <v>125.0</v>
      </c>
      <c r="C172" s="12">
        <v>0.2708333333333333</v>
      </c>
      <c r="D172" s="13">
        <v>0.27152777777777776</v>
      </c>
      <c r="E172" s="64">
        <v>134.0</v>
      </c>
      <c r="F172" s="65">
        <v>0.33402777777777776</v>
      </c>
      <c r="G172" s="66">
        <v>0.33402777777777776</v>
      </c>
      <c r="H172" s="11">
        <v>126.0</v>
      </c>
      <c r="I172" s="12">
        <v>0.4048611111111111</v>
      </c>
      <c r="J172" s="13">
        <v>0.41458333333333336</v>
      </c>
      <c r="K172" s="18"/>
      <c r="L172" s="11">
        <v>699.0</v>
      </c>
      <c r="M172" s="67">
        <v>136.0</v>
      </c>
      <c r="N172" s="12">
        <v>0.5055555555555555</v>
      </c>
      <c r="O172" s="13">
        <v>0.50625</v>
      </c>
      <c r="Q172" s="67">
        <v>699.0</v>
      </c>
      <c r="R172" s="67">
        <v>113.0</v>
      </c>
      <c r="S172" s="79">
        <v>0.07708333333333334</v>
      </c>
      <c r="T172" s="79">
        <v>0.07916666666666666</v>
      </c>
      <c r="V172" s="67">
        <v>699.0</v>
      </c>
      <c r="W172" s="67">
        <v>111.0</v>
      </c>
      <c r="X172" s="79">
        <v>0.14791666666666667</v>
      </c>
      <c r="Y172" s="79">
        <v>0.1486111111111111</v>
      </c>
      <c r="AA172" s="67">
        <v>699.0</v>
      </c>
      <c r="AB172" s="67">
        <v>108.0</v>
      </c>
      <c r="AC172" s="79">
        <v>0.1986111111111111</v>
      </c>
      <c r="AD172" s="81"/>
      <c r="AF172" s="67">
        <f t="shared" si="1"/>
        <v>0</v>
      </c>
    </row>
    <row r="173" ht="15.75" customHeight="1">
      <c r="A173" s="47">
        <v>700.0</v>
      </c>
      <c r="B173" s="11">
        <v>108.0</v>
      </c>
      <c r="C173" s="12">
        <v>0.26944444444444443</v>
      </c>
      <c r="D173" s="13">
        <v>0.2701388888888889</v>
      </c>
      <c r="E173" s="64">
        <v>106.0</v>
      </c>
      <c r="F173" s="65">
        <v>0.32569444444444445</v>
      </c>
      <c r="G173" s="66">
        <v>0.32569444444444445</v>
      </c>
      <c r="H173" s="11">
        <v>117.0</v>
      </c>
      <c r="I173" s="12">
        <v>0.4013888888888889</v>
      </c>
      <c r="J173" s="13">
        <v>0.4152777777777778</v>
      </c>
      <c r="K173" s="18"/>
      <c r="L173" s="11">
        <v>700.0</v>
      </c>
      <c r="M173" s="67">
        <v>141.0</v>
      </c>
      <c r="N173" s="12">
        <v>0.5069444444444444</v>
      </c>
      <c r="O173" s="13">
        <v>0.5125</v>
      </c>
      <c r="Q173" s="67">
        <v>700.0</v>
      </c>
      <c r="R173" s="67">
        <v>142.0</v>
      </c>
      <c r="S173" s="79">
        <v>0.08958333333333333</v>
      </c>
      <c r="T173" s="67" t="s">
        <v>178</v>
      </c>
      <c r="AF173" s="67">
        <f t="shared" si="1"/>
        <v>700</v>
      </c>
    </row>
    <row r="174" ht="15.75" customHeight="1">
      <c r="A174" s="47">
        <v>701.0</v>
      </c>
      <c r="B174" s="11">
        <v>165.0</v>
      </c>
      <c r="C174" s="12">
        <v>0.2743055555555556</v>
      </c>
      <c r="D174" s="13">
        <v>0.275</v>
      </c>
      <c r="E174" s="64">
        <v>163.0</v>
      </c>
      <c r="F174" s="65">
        <v>0.3388888888888889</v>
      </c>
      <c r="G174" s="66">
        <v>0.3388888888888889</v>
      </c>
      <c r="H174" s="11">
        <v>165.0</v>
      </c>
      <c r="I174" s="12">
        <v>0.41944444444444445</v>
      </c>
      <c r="J174" s="13">
        <v>0.4222222222222222</v>
      </c>
      <c r="K174" s="18"/>
      <c r="L174" s="11">
        <v>701.0</v>
      </c>
      <c r="M174" s="67">
        <v>153.0</v>
      </c>
      <c r="N174" s="12">
        <v>0.5159722222222223</v>
      </c>
      <c r="O174" s="13">
        <v>0.5194444444444445</v>
      </c>
      <c r="Q174" s="67">
        <v>701.0</v>
      </c>
      <c r="R174" s="67">
        <v>159.0</v>
      </c>
      <c r="S174" s="79">
        <v>0.09861111111111111</v>
      </c>
      <c r="T174" s="79">
        <v>0.10138888888888889</v>
      </c>
      <c r="V174" s="67">
        <v>701.0</v>
      </c>
      <c r="W174" s="67">
        <v>155.0</v>
      </c>
      <c r="X174" s="79">
        <v>0.18125</v>
      </c>
      <c r="Y174" s="79">
        <v>0.18472222222222223</v>
      </c>
      <c r="AA174" s="67">
        <v>701.0</v>
      </c>
      <c r="AB174" s="67">
        <v>154.0</v>
      </c>
      <c r="AC174" s="79">
        <v>0.24027777777777778</v>
      </c>
      <c r="AD174" s="79">
        <v>0.25416666666666665</v>
      </c>
      <c r="AF174" s="67">
        <f t="shared" si="1"/>
        <v>0</v>
      </c>
    </row>
    <row r="175" ht="15.75" customHeight="1">
      <c r="A175" s="47">
        <v>702.0</v>
      </c>
      <c r="B175" s="11">
        <v>27.0</v>
      </c>
      <c r="C175" s="12">
        <v>0.25972222222222224</v>
      </c>
      <c r="D175" s="13">
        <v>0.2604166666666667</v>
      </c>
      <c r="E175" s="64">
        <v>24.0</v>
      </c>
      <c r="F175" s="65">
        <v>0.30694444444444446</v>
      </c>
      <c r="G175" s="66">
        <v>0.30694444444444446</v>
      </c>
      <c r="H175" s="11">
        <v>23.0</v>
      </c>
      <c r="I175" s="12">
        <v>0.3638888888888889</v>
      </c>
      <c r="J175" s="13">
        <v>0.36736111111111114</v>
      </c>
      <c r="K175" s="18"/>
      <c r="L175" s="11">
        <v>702.0</v>
      </c>
      <c r="M175" s="67">
        <v>20.0</v>
      </c>
      <c r="N175" s="12">
        <v>0.4354166666666667</v>
      </c>
      <c r="O175" s="13">
        <v>0.4375</v>
      </c>
      <c r="Q175" s="67">
        <v>702.0</v>
      </c>
      <c r="R175" s="67">
        <v>15.0</v>
      </c>
      <c r="S175" s="79">
        <v>0.49166666666666664</v>
      </c>
      <c r="T175" s="79">
        <v>0.4951388888888889</v>
      </c>
      <c r="V175" s="67">
        <v>702.0</v>
      </c>
      <c r="W175" s="67">
        <v>15.0</v>
      </c>
      <c r="X175" s="79">
        <v>0.04861111111111111</v>
      </c>
      <c r="Y175" s="79">
        <v>0.05138888888888889</v>
      </c>
      <c r="AA175" s="67">
        <v>702.0</v>
      </c>
      <c r="AB175" s="67">
        <v>17.0</v>
      </c>
      <c r="AC175" s="79">
        <v>0.09097222222222222</v>
      </c>
      <c r="AD175" s="79">
        <v>0.10277777777777777</v>
      </c>
      <c r="AF175" s="67">
        <f t="shared" si="1"/>
        <v>0</v>
      </c>
    </row>
    <row r="176" ht="15.75" customHeight="1">
      <c r="A176" s="47">
        <v>703.0</v>
      </c>
      <c r="B176" s="11">
        <v>18.0</v>
      </c>
      <c r="C176" s="12">
        <v>0.25763888888888886</v>
      </c>
      <c r="D176" s="13">
        <v>0.25833333333333336</v>
      </c>
      <c r="E176" s="64">
        <v>27.0</v>
      </c>
      <c r="F176" s="65">
        <v>0.30694444444444446</v>
      </c>
      <c r="G176" s="66">
        <v>0.30694444444444446</v>
      </c>
      <c r="H176" s="11">
        <v>29.0</v>
      </c>
      <c r="I176" s="12">
        <v>0.36666666666666664</v>
      </c>
      <c r="J176" s="13">
        <v>0.3729166666666667</v>
      </c>
      <c r="K176" s="18"/>
      <c r="L176" s="11">
        <v>703.0</v>
      </c>
      <c r="M176" s="67">
        <v>26.0</v>
      </c>
      <c r="N176" s="12">
        <v>0.44166666666666665</v>
      </c>
      <c r="O176" s="13">
        <v>0.44305555555555554</v>
      </c>
      <c r="Q176" s="67">
        <v>703.0</v>
      </c>
      <c r="R176" s="67">
        <v>35.0</v>
      </c>
      <c r="S176" s="79">
        <v>0.5069444444444444</v>
      </c>
      <c r="T176" s="79">
        <v>0.5083333333333333</v>
      </c>
      <c r="V176" s="67">
        <v>703.0</v>
      </c>
      <c r="W176" s="67">
        <v>36.0</v>
      </c>
      <c r="X176" s="79">
        <v>0.06805555555555555</v>
      </c>
      <c r="Y176" s="79">
        <v>0.06944444444444445</v>
      </c>
      <c r="AA176" s="67">
        <v>703.0</v>
      </c>
      <c r="AB176" s="67">
        <v>41.0</v>
      </c>
      <c r="AC176" s="79">
        <v>0.11388888888888889</v>
      </c>
      <c r="AD176" s="79">
        <v>0.11736111111111111</v>
      </c>
      <c r="AF176" s="67">
        <f t="shared" si="1"/>
        <v>0</v>
      </c>
    </row>
    <row r="177" ht="15.75" customHeight="1">
      <c r="A177" s="47">
        <v>704.0</v>
      </c>
      <c r="B177" s="11">
        <v>131.0</v>
      </c>
      <c r="C177" s="12">
        <v>0.2708333333333333</v>
      </c>
      <c r="D177" s="13">
        <v>0.27152777777777776</v>
      </c>
      <c r="E177" s="64">
        <v>133.0</v>
      </c>
      <c r="F177" s="65">
        <v>0.3326388888888889</v>
      </c>
      <c r="G177" s="66">
        <v>0.3326388888888889</v>
      </c>
      <c r="H177" s="11">
        <v>122.0</v>
      </c>
      <c r="I177" s="12">
        <v>0.40347222222222223</v>
      </c>
      <c r="J177" s="13">
        <v>0.4048611111111111</v>
      </c>
      <c r="K177" s="18"/>
      <c r="L177" s="11">
        <v>704.0</v>
      </c>
      <c r="M177" s="67">
        <v>102.0</v>
      </c>
      <c r="N177" s="12">
        <v>0.4895833333333333</v>
      </c>
      <c r="O177" s="13">
        <v>0.4909722222222222</v>
      </c>
      <c r="Q177" s="67">
        <v>704.0</v>
      </c>
      <c r="R177" s="67">
        <v>99.0</v>
      </c>
      <c r="S177" s="79">
        <v>0.0625</v>
      </c>
      <c r="T177" s="79">
        <v>0.06388888888888888</v>
      </c>
      <c r="V177" s="67">
        <v>704.0</v>
      </c>
      <c r="W177" s="67">
        <v>99.0</v>
      </c>
      <c r="X177" s="79">
        <v>0.13541666666666666</v>
      </c>
      <c r="Y177" s="79">
        <v>0.1361111111111111</v>
      </c>
      <c r="AA177" s="67">
        <v>704.0</v>
      </c>
      <c r="AB177" s="67">
        <v>103.0</v>
      </c>
      <c r="AC177" s="79">
        <v>0.19444444444444445</v>
      </c>
      <c r="AD177" s="81"/>
      <c r="AF177" s="67">
        <f t="shared" si="1"/>
        <v>0</v>
      </c>
    </row>
    <row r="178" ht="15.75" customHeight="1">
      <c r="A178" s="47">
        <v>705.0</v>
      </c>
      <c r="B178" s="11">
        <v>95.0</v>
      </c>
      <c r="C178" s="12">
        <v>0.26805555555555555</v>
      </c>
      <c r="D178" s="13">
        <v>0.26875</v>
      </c>
      <c r="E178" s="64">
        <v>100.0</v>
      </c>
      <c r="F178" s="65">
        <v>0.32569444444444445</v>
      </c>
      <c r="G178" s="66">
        <v>0.32569444444444445</v>
      </c>
      <c r="H178" s="11">
        <v>108.0</v>
      </c>
      <c r="I178" s="12">
        <v>0.3993055555555556</v>
      </c>
      <c r="J178" s="13">
        <v>0.40347222222222223</v>
      </c>
      <c r="K178" s="18"/>
      <c r="L178" s="11">
        <v>705.0</v>
      </c>
      <c r="M178" s="67">
        <v>107.0</v>
      </c>
      <c r="N178" s="12">
        <v>0.4930555555555556</v>
      </c>
      <c r="O178" s="13">
        <v>0.4979166666666667</v>
      </c>
      <c r="Q178" s="67">
        <v>705.0</v>
      </c>
      <c r="R178" s="67">
        <v>102.0</v>
      </c>
      <c r="S178" s="79">
        <v>0.06736111111111111</v>
      </c>
      <c r="T178" s="79">
        <v>0.07222222222222222</v>
      </c>
      <c r="V178" s="67">
        <v>705.0</v>
      </c>
      <c r="W178" s="67">
        <v>104.0</v>
      </c>
      <c r="X178" s="79">
        <v>0.14097222222222222</v>
      </c>
      <c r="Y178" s="79">
        <v>0.15347222222222223</v>
      </c>
      <c r="AA178" s="67">
        <v>705.0</v>
      </c>
      <c r="AB178" s="67">
        <v>111.0</v>
      </c>
      <c r="AC178" s="79">
        <v>0.19930555555555557</v>
      </c>
      <c r="AD178" s="79">
        <v>0.21666666666666667</v>
      </c>
      <c r="AF178" s="67">
        <f t="shared" si="1"/>
        <v>0</v>
      </c>
    </row>
    <row r="179" ht="15.75" customHeight="1">
      <c r="A179" s="47">
        <v>706.0</v>
      </c>
      <c r="B179" s="11">
        <v>79.0</v>
      </c>
      <c r="C179" s="12">
        <v>0.2659722222222222</v>
      </c>
      <c r="D179" s="13">
        <v>0.26666666666666666</v>
      </c>
      <c r="E179" s="64">
        <v>64.0</v>
      </c>
      <c r="F179" s="65">
        <v>0.31875</v>
      </c>
      <c r="G179" s="66">
        <v>0.31875</v>
      </c>
      <c r="H179" s="11">
        <v>62.0</v>
      </c>
      <c r="I179" s="12">
        <v>0.38333333333333336</v>
      </c>
      <c r="J179" s="13">
        <v>0.38958333333333334</v>
      </c>
      <c r="K179" s="18"/>
      <c r="L179" s="11">
        <v>706.0</v>
      </c>
      <c r="M179" s="67">
        <v>64.0</v>
      </c>
      <c r="N179" s="12">
        <v>0.46944444444444444</v>
      </c>
      <c r="O179" s="13">
        <v>0.4722222222222222</v>
      </c>
      <c r="Q179" s="67">
        <v>706.0</v>
      </c>
      <c r="R179" s="67">
        <v>66.0</v>
      </c>
      <c r="S179" s="79">
        <v>0.5402777777777777</v>
      </c>
      <c r="T179" s="79">
        <v>0.04513888888888889</v>
      </c>
      <c r="V179" s="67">
        <v>706.0</v>
      </c>
      <c r="W179" s="67">
        <v>73.0</v>
      </c>
      <c r="X179" s="79">
        <v>0.10972222222222222</v>
      </c>
      <c r="Y179" s="79">
        <v>0.11180555555555556</v>
      </c>
      <c r="AA179" s="67">
        <v>706.0</v>
      </c>
      <c r="AB179" s="67">
        <v>81.0</v>
      </c>
      <c r="AC179" s="79">
        <v>0.16944444444444445</v>
      </c>
      <c r="AD179" s="79">
        <v>0.18055555555555555</v>
      </c>
      <c r="AF179" s="67">
        <f t="shared" si="1"/>
        <v>0</v>
      </c>
    </row>
    <row r="180" ht="15.75" customHeight="1">
      <c r="A180" s="47">
        <v>707.0</v>
      </c>
      <c r="B180" s="11">
        <v>151.0</v>
      </c>
      <c r="C180" s="12">
        <v>0.2743055555555556</v>
      </c>
      <c r="D180" s="13">
        <v>0.275</v>
      </c>
      <c r="E180" s="64">
        <v>154.0</v>
      </c>
      <c r="F180" s="65">
        <v>0.3368055555555556</v>
      </c>
      <c r="G180" s="66">
        <v>0.3368055555555556</v>
      </c>
      <c r="H180" s="11">
        <v>149.0</v>
      </c>
      <c r="I180" s="12">
        <v>0.4125</v>
      </c>
      <c r="J180" s="13">
        <v>0.4215277777777778</v>
      </c>
      <c r="K180" s="18"/>
      <c r="L180" s="11">
        <v>707.0</v>
      </c>
      <c r="M180" s="67">
        <v>132.0</v>
      </c>
      <c r="N180" s="12">
        <v>0.5048611111111111</v>
      </c>
      <c r="O180" s="13">
        <v>0.5076388888888889</v>
      </c>
      <c r="Q180" s="67">
        <v>707.0</v>
      </c>
      <c r="R180" s="67">
        <v>126.0</v>
      </c>
      <c r="S180" s="79">
        <v>0.0798611111111111</v>
      </c>
      <c r="T180" s="79">
        <v>0.08333333333333333</v>
      </c>
      <c r="V180" s="67">
        <v>707.0</v>
      </c>
      <c r="W180" s="67">
        <v>118.0</v>
      </c>
      <c r="X180" s="79">
        <v>0.1527777777777778</v>
      </c>
      <c r="Y180" s="79">
        <v>0.15625</v>
      </c>
      <c r="AA180" s="67">
        <v>707.0</v>
      </c>
      <c r="AB180" s="67">
        <v>121.0</v>
      </c>
      <c r="AC180" s="79">
        <v>0.20972222222222223</v>
      </c>
      <c r="AD180" s="79">
        <v>0.225</v>
      </c>
      <c r="AF180" s="67">
        <f t="shared" si="1"/>
        <v>0</v>
      </c>
    </row>
    <row r="181" ht="15.75" customHeight="1">
      <c r="A181" s="47">
        <v>708.0</v>
      </c>
      <c r="B181" s="11">
        <v>62.0</v>
      </c>
      <c r="C181" s="12">
        <v>0.26319444444444445</v>
      </c>
      <c r="D181" s="13">
        <v>0.2638888888888889</v>
      </c>
      <c r="E181" s="64">
        <v>52.0</v>
      </c>
      <c r="F181" s="65">
        <v>0.3145833333333333</v>
      </c>
      <c r="G181" s="66">
        <v>0.3145833333333333</v>
      </c>
      <c r="H181" s="11">
        <v>35.0</v>
      </c>
      <c r="I181" s="12">
        <v>0.37083333333333335</v>
      </c>
      <c r="J181" s="13">
        <v>0.38055555555555554</v>
      </c>
      <c r="K181" s="18"/>
      <c r="L181" s="11">
        <v>708.0</v>
      </c>
      <c r="M181" s="67">
        <v>34.0</v>
      </c>
      <c r="N181" s="12">
        <v>0.44583333333333336</v>
      </c>
      <c r="O181" s="13">
        <v>0.4479166666666667</v>
      </c>
      <c r="Q181" s="67">
        <v>708.0</v>
      </c>
      <c r="R181" s="67">
        <v>29.0</v>
      </c>
      <c r="S181" s="79">
        <v>0.5034722222222222</v>
      </c>
      <c r="T181" s="79">
        <v>0.5055555555555555</v>
      </c>
      <c r="V181" s="67">
        <v>708.0</v>
      </c>
      <c r="W181" s="67">
        <v>25.0</v>
      </c>
      <c r="X181" s="79">
        <v>0.06041666666666667</v>
      </c>
      <c r="Y181" s="79">
        <v>0.0625</v>
      </c>
      <c r="AA181" s="67">
        <v>708.0</v>
      </c>
      <c r="AB181" s="67">
        <v>23.0</v>
      </c>
      <c r="AC181" s="79">
        <v>0.1</v>
      </c>
      <c r="AD181" s="81"/>
      <c r="AF181" s="67">
        <f t="shared" si="1"/>
        <v>0</v>
      </c>
    </row>
    <row r="182" ht="15.75" customHeight="1">
      <c r="A182" s="47">
        <v>709.0</v>
      </c>
      <c r="B182" s="11">
        <v>78.0</v>
      </c>
      <c r="C182" s="12">
        <v>0.2659722222222222</v>
      </c>
      <c r="D182" s="13">
        <v>0.26666666666666666</v>
      </c>
      <c r="E182" s="64">
        <v>81.0</v>
      </c>
      <c r="F182" s="65">
        <v>0.3215277777777778</v>
      </c>
      <c r="G182" s="66">
        <v>0.3215277777777778</v>
      </c>
      <c r="H182" s="11">
        <v>80.0</v>
      </c>
      <c r="I182" s="12">
        <v>0.38819444444444445</v>
      </c>
      <c r="J182" s="13">
        <v>0.3909722222222222</v>
      </c>
      <c r="K182" s="18"/>
      <c r="L182" s="11">
        <v>709.0</v>
      </c>
      <c r="M182" s="67">
        <v>68.0</v>
      </c>
      <c r="N182" s="12">
        <v>0.4708333333333333</v>
      </c>
      <c r="O182" s="13">
        <v>0.47430555555555554</v>
      </c>
      <c r="Q182" s="67">
        <v>709.0</v>
      </c>
      <c r="R182" s="67">
        <v>63.0</v>
      </c>
      <c r="S182" s="79">
        <v>0.5375</v>
      </c>
      <c r="T182" s="79">
        <v>0.041666666666666664</v>
      </c>
      <c r="V182" s="67">
        <v>709.0</v>
      </c>
      <c r="W182" s="67">
        <v>64.0</v>
      </c>
      <c r="X182" s="79">
        <v>0.10625</v>
      </c>
      <c r="Y182" s="79">
        <v>0.10833333333333334</v>
      </c>
      <c r="AA182" s="67">
        <v>709.0</v>
      </c>
      <c r="AB182" s="67">
        <v>72.0</v>
      </c>
      <c r="AC182" s="79">
        <v>0.16319444444444445</v>
      </c>
      <c r="AD182" s="79">
        <v>0.17222222222222222</v>
      </c>
      <c r="AF182" s="67">
        <f t="shared" si="1"/>
        <v>0</v>
      </c>
    </row>
    <row r="183" ht="15.75" customHeight="1">
      <c r="A183" s="47">
        <v>711.0</v>
      </c>
      <c r="B183" s="11">
        <v>102.0</v>
      </c>
      <c r="C183" s="12">
        <v>0.26875</v>
      </c>
      <c r="D183" s="13">
        <v>0.26944444444444443</v>
      </c>
      <c r="E183" s="64">
        <v>77.0</v>
      </c>
      <c r="F183" s="65">
        <v>0.32083333333333336</v>
      </c>
      <c r="G183" s="66">
        <v>0.32083333333333336</v>
      </c>
      <c r="H183" s="11">
        <v>59.0</v>
      </c>
      <c r="I183" s="12">
        <v>0.3798611111111111</v>
      </c>
      <c r="J183" s="13">
        <v>0.3840277777777778</v>
      </c>
      <c r="K183" s="18"/>
      <c r="L183" s="11">
        <v>711.0</v>
      </c>
      <c r="M183" s="67">
        <v>42.0</v>
      </c>
      <c r="N183" s="12">
        <v>0.45</v>
      </c>
      <c r="O183" s="13">
        <v>0.4534722222222222</v>
      </c>
      <c r="Q183" s="67">
        <v>711.0</v>
      </c>
      <c r="R183" s="67">
        <v>42.0</v>
      </c>
      <c r="S183" s="79">
        <v>0.5125</v>
      </c>
      <c r="T183" s="79">
        <v>0.5194444444444445</v>
      </c>
      <c r="V183" s="67">
        <v>711.0</v>
      </c>
      <c r="W183" s="67">
        <v>44.0</v>
      </c>
      <c r="X183" s="79">
        <v>0.0763888888888889</v>
      </c>
      <c r="Y183" s="79">
        <v>0.07847222222222222</v>
      </c>
      <c r="AA183" s="67">
        <v>711.0</v>
      </c>
      <c r="AB183" s="67">
        <v>40.0</v>
      </c>
      <c r="AC183" s="79">
        <v>0.11388888888888889</v>
      </c>
      <c r="AD183" s="79">
        <v>0.125</v>
      </c>
      <c r="AF183" s="67">
        <f t="shared" si="1"/>
        <v>0</v>
      </c>
    </row>
    <row r="184" ht="15.75" customHeight="1">
      <c r="A184" s="47">
        <v>712.0</v>
      </c>
      <c r="B184" s="11">
        <v>47.0</v>
      </c>
      <c r="C184" s="12">
        <v>0.2611111111111111</v>
      </c>
      <c r="D184" s="13">
        <v>0.26180555555555557</v>
      </c>
      <c r="E184" s="64">
        <v>61.0</v>
      </c>
      <c r="F184" s="65">
        <v>0.3173611111111111</v>
      </c>
      <c r="G184" s="66">
        <v>0.3173611111111111</v>
      </c>
      <c r="H184" s="11">
        <v>68.0</v>
      </c>
      <c r="I184" s="12">
        <v>0.3861111111111111</v>
      </c>
      <c r="J184" s="13">
        <v>0.3875</v>
      </c>
      <c r="K184" s="18"/>
      <c r="L184" s="11">
        <v>712.0</v>
      </c>
      <c r="M184" s="67">
        <v>85.0</v>
      </c>
      <c r="N184" s="12">
        <v>0.48055555555555557</v>
      </c>
      <c r="O184" s="13">
        <v>0.48333333333333334</v>
      </c>
      <c r="Q184" s="67">
        <v>712.0</v>
      </c>
      <c r="R184" s="67">
        <v>96.0</v>
      </c>
      <c r="S184" s="79">
        <v>0.059722222222222225</v>
      </c>
      <c r="T184" s="79">
        <v>0.06180555555555556</v>
      </c>
      <c r="V184" s="67">
        <v>712.0</v>
      </c>
      <c r="W184" s="67">
        <v>105.0</v>
      </c>
      <c r="X184" s="79">
        <v>0.14166666666666666</v>
      </c>
      <c r="Y184" s="79">
        <v>0.14444444444444443</v>
      </c>
      <c r="AA184" s="67">
        <v>712.0</v>
      </c>
      <c r="AB184" s="67">
        <v>113.0</v>
      </c>
      <c r="AC184" s="79">
        <v>0.20069444444444445</v>
      </c>
      <c r="AD184" s="79">
        <v>0.2125</v>
      </c>
      <c r="AF184" s="67">
        <f t="shared" si="1"/>
        <v>0</v>
      </c>
    </row>
    <row r="185" ht="15.75" customHeight="1">
      <c r="A185" s="47">
        <v>713.0</v>
      </c>
      <c r="B185" s="11">
        <v>17.0</v>
      </c>
      <c r="C185" s="12">
        <v>0.25763888888888886</v>
      </c>
      <c r="D185" s="13">
        <v>0.25833333333333336</v>
      </c>
      <c r="E185" s="64">
        <v>20.0</v>
      </c>
      <c r="F185" s="65">
        <v>0.30625</v>
      </c>
      <c r="G185" s="66">
        <v>0.30625</v>
      </c>
      <c r="H185" s="11">
        <v>20.0</v>
      </c>
      <c r="I185" s="12">
        <v>0.36319444444444443</v>
      </c>
      <c r="J185" s="13">
        <v>0.36527777777777776</v>
      </c>
      <c r="K185" s="18"/>
      <c r="L185" s="11">
        <v>713.0</v>
      </c>
      <c r="M185" s="67">
        <v>16.0</v>
      </c>
      <c r="N185" s="12">
        <v>0.43333333333333335</v>
      </c>
      <c r="O185" s="13">
        <v>0.43680555555555556</v>
      </c>
      <c r="Q185" s="67">
        <v>713.0</v>
      </c>
      <c r="R185" s="67">
        <v>23.0</v>
      </c>
      <c r="S185" s="79">
        <v>0.4979166666666667</v>
      </c>
      <c r="T185" s="79">
        <v>0.5020833333333333</v>
      </c>
      <c r="V185" s="67">
        <v>713.0</v>
      </c>
      <c r="W185" s="67">
        <v>43.0</v>
      </c>
      <c r="X185" s="79">
        <v>0.07291666666666667</v>
      </c>
      <c r="Y185" s="79">
        <v>0.07569444444444444</v>
      </c>
      <c r="AA185" s="67">
        <v>713.0</v>
      </c>
      <c r="AB185" s="67">
        <v>50.0</v>
      </c>
      <c r="AC185" s="79">
        <v>0.13125</v>
      </c>
      <c r="AD185" s="79">
        <v>0.14652777777777778</v>
      </c>
      <c r="AF185" s="67">
        <f t="shared" si="1"/>
        <v>0</v>
      </c>
    </row>
    <row r="186" ht="15.75" customHeight="1">
      <c r="A186" s="47">
        <v>714.0</v>
      </c>
      <c r="B186" s="11">
        <v>124.0</v>
      </c>
      <c r="C186" s="12">
        <v>0.2701388888888889</v>
      </c>
      <c r="D186" s="13">
        <v>0.2708333333333333</v>
      </c>
      <c r="E186" s="64">
        <v>138.0</v>
      </c>
      <c r="F186" s="65">
        <v>0.33402777777777776</v>
      </c>
      <c r="G186" s="66">
        <v>0.33402777777777776</v>
      </c>
      <c r="H186" s="11">
        <v>156.0</v>
      </c>
      <c r="I186" s="12">
        <v>0.41388888888888886</v>
      </c>
      <c r="J186" s="13">
        <v>0.4215277777777778</v>
      </c>
      <c r="K186" s="18"/>
      <c r="L186" s="11">
        <v>714.0</v>
      </c>
      <c r="M186" s="67">
        <v>155.0</v>
      </c>
      <c r="N186" s="12">
        <v>0.5166666666666667</v>
      </c>
      <c r="O186" s="13">
        <v>0.5222222222222223</v>
      </c>
      <c r="Q186" s="67">
        <v>714.0</v>
      </c>
      <c r="R186" s="67">
        <v>153.0</v>
      </c>
      <c r="S186" s="79">
        <v>0.09444444444444444</v>
      </c>
      <c r="T186" s="79">
        <v>0.10069444444444445</v>
      </c>
      <c r="V186" s="67">
        <v>714.0</v>
      </c>
      <c r="W186" s="67">
        <v>134.0</v>
      </c>
      <c r="X186" s="79">
        <v>0.16319444444444445</v>
      </c>
      <c r="Y186" s="79">
        <v>0.16666666666666666</v>
      </c>
      <c r="AA186" s="67">
        <v>714.0</v>
      </c>
      <c r="AB186" s="67">
        <v>127.0</v>
      </c>
      <c r="AC186" s="79">
        <v>0.21180555555555555</v>
      </c>
      <c r="AD186" s="79">
        <v>0.2222222222222222</v>
      </c>
      <c r="AF186" s="67">
        <f t="shared" si="1"/>
        <v>0</v>
      </c>
    </row>
    <row r="187" ht="15.75" customHeight="1">
      <c r="A187" s="47">
        <v>715.0</v>
      </c>
      <c r="B187" s="11"/>
      <c r="C187" s="12"/>
      <c r="D187" s="13"/>
      <c r="E187" s="64"/>
      <c r="F187" s="65"/>
      <c r="G187" s="66"/>
      <c r="H187" s="11">
        <v>48.0</v>
      </c>
      <c r="I187" s="12">
        <v>0.375</v>
      </c>
      <c r="J187" s="13">
        <v>0.37916666666666665</v>
      </c>
      <c r="L187" s="11">
        <v>715.0</v>
      </c>
      <c r="M187" s="67">
        <v>44.0</v>
      </c>
      <c r="N187" s="12">
        <v>0.4527777777777778</v>
      </c>
      <c r="O187" s="13">
        <v>0.4548611111111111</v>
      </c>
      <c r="Q187" s="67">
        <v>715.0</v>
      </c>
      <c r="R187" s="67">
        <v>44.0</v>
      </c>
      <c r="S187" s="79">
        <v>0.5125</v>
      </c>
      <c r="T187" s="79">
        <v>0.5152777777777777</v>
      </c>
      <c r="V187" s="67">
        <v>715.0</v>
      </c>
      <c r="W187" s="67">
        <v>42.0</v>
      </c>
      <c r="X187" s="79">
        <v>0.07152777777777777</v>
      </c>
      <c r="Y187" s="79">
        <v>0.07291666666666667</v>
      </c>
      <c r="AA187" s="67">
        <v>715.0</v>
      </c>
      <c r="AB187" s="67">
        <v>39.0</v>
      </c>
      <c r="AC187" s="79">
        <v>0.11180555555555556</v>
      </c>
      <c r="AD187" s="79">
        <v>0.11944444444444445</v>
      </c>
      <c r="AF187" s="67">
        <f t="shared" si="1"/>
        <v>0</v>
      </c>
    </row>
    <row r="188" ht="15.75" customHeight="1">
      <c r="A188" s="47">
        <v>716.0</v>
      </c>
      <c r="B188" s="11">
        <v>72.0</v>
      </c>
      <c r="C188" s="12">
        <v>0.26458333333333334</v>
      </c>
      <c r="D188" s="13">
        <v>0.2652777777777778</v>
      </c>
      <c r="E188" s="64">
        <v>84.0</v>
      </c>
      <c r="F188" s="65">
        <v>0.3229166666666667</v>
      </c>
      <c r="G188" s="66">
        <v>0.3229166666666667</v>
      </c>
      <c r="H188" s="11">
        <v>90.0</v>
      </c>
      <c r="I188" s="12">
        <v>0.3923611111111111</v>
      </c>
      <c r="J188" s="13">
        <v>0.3958333333333333</v>
      </c>
      <c r="K188" s="18"/>
      <c r="L188" s="11">
        <v>716.0</v>
      </c>
      <c r="M188" s="67">
        <v>83.0</v>
      </c>
      <c r="N188" s="12">
        <v>0.4791666666666667</v>
      </c>
      <c r="O188" s="13">
        <v>0.48333333333333334</v>
      </c>
      <c r="Q188" s="67">
        <v>716.0</v>
      </c>
      <c r="R188" s="67">
        <v>83.0</v>
      </c>
      <c r="S188" s="79">
        <v>0.050694444444444445</v>
      </c>
      <c r="T188" s="79">
        <v>0.05625</v>
      </c>
      <c r="V188" s="67">
        <v>716.0</v>
      </c>
      <c r="W188" s="67">
        <v>82.0</v>
      </c>
      <c r="X188" s="79">
        <v>0.12222222222222222</v>
      </c>
      <c r="Y188" s="79">
        <v>0.12777777777777777</v>
      </c>
      <c r="AA188" s="67">
        <v>716.0</v>
      </c>
      <c r="AB188" s="67">
        <v>87.0</v>
      </c>
      <c r="AC188" s="79">
        <v>0.1763888888888889</v>
      </c>
      <c r="AD188" s="79">
        <v>0.18680555555555556</v>
      </c>
      <c r="AF188" s="67">
        <f t="shared" si="1"/>
        <v>0</v>
      </c>
    </row>
    <row r="189" ht="15.75" customHeight="1">
      <c r="A189" s="47">
        <v>717.0</v>
      </c>
      <c r="B189" s="11">
        <v>116.0</v>
      </c>
      <c r="C189" s="12">
        <v>0.26944444444444443</v>
      </c>
      <c r="D189" s="13">
        <v>0.2701388888888889</v>
      </c>
      <c r="E189" s="64">
        <v>124.0</v>
      </c>
      <c r="F189" s="65">
        <v>0.33125</v>
      </c>
      <c r="G189" s="66">
        <v>0.33125</v>
      </c>
      <c r="H189" s="11">
        <v>113.0</v>
      </c>
      <c r="I189" s="12">
        <v>0.40069444444444446</v>
      </c>
      <c r="J189" s="13">
        <v>0.4083333333333333</v>
      </c>
      <c r="K189" s="18"/>
      <c r="L189" s="11">
        <v>717.0</v>
      </c>
      <c r="M189" s="67">
        <v>110.0</v>
      </c>
      <c r="N189" s="12">
        <v>0.49722222222222223</v>
      </c>
      <c r="O189" s="13">
        <v>0.4986111111111111</v>
      </c>
      <c r="Q189" s="67">
        <v>717.0</v>
      </c>
      <c r="R189" s="67">
        <v>109.0</v>
      </c>
      <c r="S189" s="79">
        <v>0.07152777777777777</v>
      </c>
      <c r="T189" s="79">
        <v>0.07361111111111111</v>
      </c>
      <c r="V189" s="67">
        <v>717.0</v>
      </c>
      <c r="W189" s="67">
        <v>107.0</v>
      </c>
      <c r="X189" s="79">
        <v>0.14375</v>
      </c>
      <c r="Y189" s="79">
        <v>0.14652777777777778</v>
      </c>
      <c r="AA189" s="67">
        <v>717.0</v>
      </c>
      <c r="AB189" s="67">
        <v>110.0</v>
      </c>
      <c r="AC189" s="79">
        <v>0.19930555555555557</v>
      </c>
      <c r="AD189" s="79">
        <v>0.2125</v>
      </c>
      <c r="AF189" s="67">
        <f t="shared" si="1"/>
        <v>0</v>
      </c>
    </row>
    <row r="190" ht="15.75" customHeight="1">
      <c r="A190" s="47">
        <v>718.0</v>
      </c>
      <c r="B190" s="11">
        <v>90.0</v>
      </c>
      <c r="C190" s="12">
        <v>0.2673611111111111</v>
      </c>
      <c r="D190" s="13">
        <v>0.26805555555555555</v>
      </c>
      <c r="E190" s="64">
        <v>45.0</v>
      </c>
      <c r="F190" s="65">
        <v>0.3138888888888889</v>
      </c>
      <c r="G190" s="66">
        <v>0.3138888888888889</v>
      </c>
      <c r="H190" s="11">
        <v>85.0</v>
      </c>
      <c r="I190" s="12">
        <v>0.3888888888888889</v>
      </c>
      <c r="J190" s="13">
        <v>0.39375</v>
      </c>
      <c r="K190" s="18"/>
      <c r="L190" s="11">
        <v>718.0</v>
      </c>
      <c r="M190" s="67">
        <v>80.0</v>
      </c>
      <c r="N190" s="12">
        <v>0.47638888888888886</v>
      </c>
      <c r="O190" s="13">
        <v>0.4791666666666667</v>
      </c>
      <c r="Q190" s="67">
        <v>718.0</v>
      </c>
      <c r="R190" s="67">
        <v>69.0</v>
      </c>
      <c r="S190" s="79">
        <v>0.04236111111111111</v>
      </c>
      <c r="T190" s="79">
        <v>0.04513888888888889</v>
      </c>
      <c r="V190" s="67">
        <v>718.0</v>
      </c>
      <c r="W190" s="67">
        <v>70.0</v>
      </c>
      <c r="X190" s="79">
        <v>0.10833333333333334</v>
      </c>
      <c r="Y190" s="79">
        <v>0.1111111111111111</v>
      </c>
      <c r="AA190" s="67">
        <v>718.0</v>
      </c>
      <c r="AB190" s="67">
        <v>82.0</v>
      </c>
      <c r="AC190" s="79">
        <v>0.1701388888888889</v>
      </c>
      <c r="AD190" s="79">
        <v>0.19375</v>
      </c>
      <c r="AF190" s="67">
        <f t="shared" si="1"/>
        <v>0</v>
      </c>
    </row>
    <row r="191" ht="15.75" customHeight="1">
      <c r="A191" s="47">
        <v>719.0</v>
      </c>
      <c r="B191" s="11">
        <v>86.0</v>
      </c>
      <c r="C191" s="12">
        <v>0.26666666666666666</v>
      </c>
      <c r="D191" s="13">
        <v>0.2673611111111111</v>
      </c>
      <c r="E191" s="64">
        <v>105.0</v>
      </c>
      <c r="F191" s="65">
        <v>0.32569444444444445</v>
      </c>
      <c r="G191" s="66">
        <v>0.32569444444444445</v>
      </c>
      <c r="H191" s="11">
        <v>99.0</v>
      </c>
      <c r="I191" s="12">
        <v>0.39652777777777776</v>
      </c>
      <c r="J191" s="13">
        <v>0.4013888888888889</v>
      </c>
      <c r="K191" s="18"/>
      <c r="L191" s="11">
        <v>719.0</v>
      </c>
      <c r="M191" s="67">
        <v>100.0</v>
      </c>
      <c r="N191" s="12">
        <v>0.4888888888888889</v>
      </c>
      <c r="O191" s="13">
        <v>0.4930555555555556</v>
      </c>
      <c r="Q191" s="67">
        <v>719.0</v>
      </c>
      <c r="R191" s="67">
        <v>98.0</v>
      </c>
      <c r="S191" s="79">
        <v>0.06111111111111111</v>
      </c>
      <c r="T191" s="79">
        <v>0.06458333333333334</v>
      </c>
      <c r="V191" s="67">
        <v>719.0</v>
      </c>
      <c r="W191" s="67">
        <v>93.0</v>
      </c>
      <c r="X191" s="79">
        <v>0.1284722222222222</v>
      </c>
      <c r="Y191" s="79">
        <v>0.13333333333333333</v>
      </c>
      <c r="AA191" s="67">
        <v>719.0</v>
      </c>
      <c r="AB191" s="67">
        <v>94.0</v>
      </c>
      <c r="AC191" s="79">
        <v>0.18055555555555555</v>
      </c>
      <c r="AD191" s="79">
        <v>0.19791666666666666</v>
      </c>
      <c r="AF191" s="67">
        <f t="shared" si="1"/>
        <v>0</v>
      </c>
    </row>
    <row r="192" ht="15.75" customHeight="1">
      <c r="A192" s="47">
        <v>721.0</v>
      </c>
      <c r="B192" s="11">
        <v>57.0</v>
      </c>
      <c r="C192" s="12">
        <v>0.26319444444444445</v>
      </c>
      <c r="D192" s="13">
        <v>0.2638888888888889</v>
      </c>
      <c r="E192" s="64">
        <v>48.0</v>
      </c>
      <c r="F192" s="65">
        <v>0.3138888888888889</v>
      </c>
      <c r="G192" s="66">
        <v>0.3138888888888889</v>
      </c>
      <c r="H192" s="11">
        <v>39.0</v>
      </c>
      <c r="I192" s="12">
        <v>0.3715277777777778</v>
      </c>
      <c r="J192" s="13">
        <v>0.3736111111111111</v>
      </c>
      <c r="K192" s="18"/>
      <c r="L192" s="11">
        <v>721.0</v>
      </c>
      <c r="M192" s="67">
        <v>35.0</v>
      </c>
      <c r="N192" s="12">
        <v>0.44583333333333336</v>
      </c>
      <c r="O192" s="13">
        <v>0.44722222222222224</v>
      </c>
      <c r="Q192" s="67">
        <v>721.0</v>
      </c>
      <c r="R192" s="67">
        <v>33.0</v>
      </c>
      <c r="S192" s="79">
        <v>0.5069444444444444</v>
      </c>
      <c r="T192" s="79">
        <v>0.5118055555555555</v>
      </c>
      <c r="V192" s="67">
        <v>721.0</v>
      </c>
      <c r="W192" s="67">
        <v>40.0</v>
      </c>
      <c r="X192" s="79">
        <v>0.07083333333333333</v>
      </c>
      <c r="Y192" s="79">
        <v>0.07291666666666667</v>
      </c>
      <c r="AA192" s="67">
        <v>721.0</v>
      </c>
      <c r="AB192" s="67">
        <v>38.0</v>
      </c>
      <c r="AC192" s="79">
        <v>0.11180555555555556</v>
      </c>
      <c r="AD192" s="79">
        <v>0.11527777777777778</v>
      </c>
      <c r="AF192" s="67">
        <f t="shared" si="1"/>
        <v>0</v>
      </c>
    </row>
    <row r="193" ht="15.75" customHeight="1">
      <c r="A193" s="47">
        <v>722.0</v>
      </c>
      <c r="B193" s="11">
        <v>64.0</v>
      </c>
      <c r="C193" s="12">
        <v>0.26319444444444445</v>
      </c>
      <c r="D193" s="13">
        <v>0.2638888888888889</v>
      </c>
      <c r="E193" s="64">
        <v>60.0</v>
      </c>
      <c r="F193" s="65">
        <v>0.3159722222222222</v>
      </c>
      <c r="G193" s="66">
        <v>0.3159722222222222</v>
      </c>
      <c r="H193" s="11">
        <v>71.0</v>
      </c>
      <c r="I193" s="12">
        <v>0.3861111111111111</v>
      </c>
      <c r="J193" s="13">
        <v>0.3923611111111111</v>
      </c>
      <c r="K193" s="18"/>
      <c r="L193" s="11">
        <v>722.0</v>
      </c>
      <c r="M193" s="67">
        <v>78.0</v>
      </c>
      <c r="N193" s="12">
        <v>0.4756944444444444</v>
      </c>
      <c r="O193" s="13">
        <v>0.4791666666666667</v>
      </c>
      <c r="Q193" s="67">
        <v>722.0</v>
      </c>
      <c r="R193" s="67">
        <v>78.0</v>
      </c>
      <c r="S193" s="79">
        <v>0.04652777777777778</v>
      </c>
      <c r="T193" s="79">
        <v>0.049305555555555554</v>
      </c>
      <c r="V193" s="67">
        <v>722.0</v>
      </c>
      <c r="W193" s="67">
        <v>77.0</v>
      </c>
      <c r="X193" s="79">
        <v>0.11319444444444444</v>
      </c>
      <c r="Y193" s="79">
        <v>0.11805555555555555</v>
      </c>
      <c r="AA193" s="67">
        <v>722.0</v>
      </c>
      <c r="AB193" s="67">
        <v>73.0</v>
      </c>
      <c r="AC193" s="79">
        <v>0.1638888888888889</v>
      </c>
      <c r="AD193" s="79">
        <v>0.17430555555555555</v>
      </c>
      <c r="AF193" s="67">
        <f t="shared" si="1"/>
        <v>0</v>
      </c>
    </row>
    <row r="194" ht="15.75" customHeight="1">
      <c r="A194" s="47">
        <v>723.0</v>
      </c>
      <c r="B194" s="11">
        <v>162.0</v>
      </c>
      <c r="C194" s="12">
        <v>0.2743055555555556</v>
      </c>
      <c r="D194" s="13">
        <v>0.275</v>
      </c>
      <c r="E194" s="64">
        <v>146.0</v>
      </c>
      <c r="F194" s="65">
        <v>0.3368055555555556</v>
      </c>
      <c r="G194" s="66">
        <v>0.3368055555555556</v>
      </c>
      <c r="H194" s="11">
        <v>137.0</v>
      </c>
      <c r="I194" s="12">
        <v>0.4083333333333333</v>
      </c>
      <c r="J194" s="13">
        <v>0.4215277777777778</v>
      </c>
      <c r="K194" s="18"/>
      <c r="L194" s="11">
        <v>723.0</v>
      </c>
      <c r="M194" s="67">
        <v>135.0</v>
      </c>
      <c r="N194" s="12">
        <v>0.5055555555555555</v>
      </c>
      <c r="O194" s="13">
        <v>0.5097222222222222</v>
      </c>
      <c r="Q194" s="67">
        <v>723.0</v>
      </c>
      <c r="R194" s="67">
        <v>133.0</v>
      </c>
      <c r="S194" s="79">
        <v>0.08055555555555556</v>
      </c>
      <c r="T194" s="79">
        <v>0.08611111111111111</v>
      </c>
      <c r="V194" s="67">
        <v>723.0</v>
      </c>
      <c r="W194" s="67">
        <v>139.0</v>
      </c>
      <c r="X194" s="79">
        <v>0.16527777777777777</v>
      </c>
      <c r="Y194" s="79">
        <v>0.1701388888888889</v>
      </c>
      <c r="AA194" s="67">
        <v>723.0</v>
      </c>
      <c r="AB194" s="67">
        <v>142.0</v>
      </c>
      <c r="AC194" s="79">
        <v>0.22430555555555556</v>
      </c>
      <c r="AD194" s="79">
        <v>0.2361111111111111</v>
      </c>
      <c r="AF194" s="67">
        <f t="shared" si="1"/>
        <v>0</v>
      </c>
    </row>
    <row r="195" ht="15.75" customHeight="1">
      <c r="A195" s="47">
        <v>726.0</v>
      </c>
      <c r="B195" s="11">
        <v>168.0</v>
      </c>
      <c r="C195" s="12">
        <v>0.2743055555555556</v>
      </c>
      <c r="D195" s="13">
        <v>0.275</v>
      </c>
      <c r="E195" s="64">
        <v>162.0</v>
      </c>
      <c r="F195" s="65">
        <v>0.3388888888888889</v>
      </c>
      <c r="G195" s="66">
        <v>0.3388888888888889</v>
      </c>
      <c r="H195" s="11">
        <v>158.0</v>
      </c>
      <c r="I195" s="12">
        <v>0.41458333333333336</v>
      </c>
      <c r="J195" s="13">
        <v>0.4236111111111111</v>
      </c>
      <c r="K195" s="18"/>
      <c r="L195" s="11">
        <v>726.0</v>
      </c>
      <c r="M195" s="67">
        <v>158.0</v>
      </c>
      <c r="N195" s="12">
        <v>0.5208333333333334</v>
      </c>
      <c r="O195" s="13">
        <v>0.525</v>
      </c>
      <c r="Q195" s="67">
        <v>726.0</v>
      </c>
      <c r="R195" s="67">
        <v>168.0</v>
      </c>
      <c r="S195" s="79">
        <v>0.10833333333333334</v>
      </c>
      <c r="T195" s="79">
        <v>0.12152777777777778</v>
      </c>
      <c r="V195" s="67">
        <v>726.0</v>
      </c>
      <c r="W195" s="67">
        <v>172.0</v>
      </c>
      <c r="X195" s="79">
        <v>0.2</v>
      </c>
      <c r="Y195" s="79">
        <v>0.2076388888888889</v>
      </c>
      <c r="AA195" s="67">
        <v>726.0</v>
      </c>
      <c r="AB195" s="67">
        <v>179.0</v>
      </c>
      <c r="AC195" s="79">
        <v>0.27569444444444446</v>
      </c>
      <c r="AD195" s="67" t="s">
        <v>178</v>
      </c>
      <c r="AF195" s="67">
        <f t="shared" si="1"/>
        <v>0</v>
      </c>
    </row>
    <row r="196" ht="15.75" customHeight="1">
      <c r="A196" s="47">
        <v>727.0</v>
      </c>
      <c r="B196" s="11">
        <v>77.0</v>
      </c>
      <c r="C196" s="12">
        <v>0.2659722222222222</v>
      </c>
      <c r="D196" s="13">
        <v>0.26666666666666666</v>
      </c>
      <c r="E196" s="64">
        <v>78.0</v>
      </c>
      <c r="F196" s="65">
        <v>0.32083333333333336</v>
      </c>
      <c r="G196" s="66">
        <v>0.32083333333333336</v>
      </c>
      <c r="H196" s="11">
        <v>83.0</v>
      </c>
      <c r="I196" s="12">
        <v>0.38819444444444445</v>
      </c>
      <c r="J196" s="13">
        <v>0.39652777777777776</v>
      </c>
      <c r="K196" s="18"/>
      <c r="L196" s="11">
        <v>727.0</v>
      </c>
      <c r="M196" s="67">
        <v>82.0</v>
      </c>
      <c r="N196" s="12">
        <v>0.47847222222222224</v>
      </c>
      <c r="O196" s="13">
        <v>0.48055555555555557</v>
      </c>
      <c r="Q196" s="67">
        <v>727.0</v>
      </c>
      <c r="R196" s="67">
        <v>75.0</v>
      </c>
      <c r="S196" s="79">
        <v>0.04513888888888889</v>
      </c>
      <c r="T196" s="79">
        <v>0.05416666666666667</v>
      </c>
      <c r="V196" s="67">
        <v>727.0</v>
      </c>
      <c r="W196" s="67">
        <v>79.0</v>
      </c>
      <c r="X196" s="79">
        <v>0.11666666666666667</v>
      </c>
      <c r="Y196" s="79">
        <v>0.11944444444444445</v>
      </c>
      <c r="AA196" s="67">
        <v>727.0</v>
      </c>
      <c r="AB196" s="67">
        <v>76.0</v>
      </c>
      <c r="AC196" s="79">
        <v>0.1673611111111111</v>
      </c>
      <c r="AD196" s="79">
        <v>0.17222222222222222</v>
      </c>
      <c r="AF196" s="67">
        <f t="shared" si="1"/>
        <v>0</v>
      </c>
    </row>
    <row r="197" ht="15.75" customHeight="1">
      <c r="A197" s="47">
        <v>728.0</v>
      </c>
      <c r="B197" s="11">
        <v>60.0</v>
      </c>
      <c r="C197" s="12">
        <v>0.26319444444444445</v>
      </c>
      <c r="D197" s="13">
        <v>0.2638888888888889</v>
      </c>
      <c r="E197" s="64">
        <v>79.0</v>
      </c>
      <c r="F197" s="65">
        <v>0.32083333333333336</v>
      </c>
      <c r="G197" s="66">
        <v>0.32083333333333336</v>
      </c>
      <c r="H197" s="11">
        <v>34.0</v>
      </c>
      <c r="I197" s="12">
        <v>0.37083333333333335</v>
      </c>
      <c r="J197" s="13">
        <v>0.3736111111111111</v>
      </c>
      <c r="K197" s="18"/>
      <c r="L197" s="18">
        <v>728.0</v>
      </c>
      <c r="M197" s="67">
        <v>37.0</v>
      </c>
      <c r="N197" s="12">
        <v>0.44722222222222224</v>
      </c>
      <c r="O197" s="12">
        <v>0.4486111111111111</v>
      </c>
      <c r="Q197" s="67">
        <v>728.0</v>
      </c>
      <c r="R197" s="67">
        <v>37.0</v>
      </c>
      <c r="S197" s="79">
        <v>0.5083333333333333</v>
      </c>
      <c r="T197" s="79">
        <v>0.5104166666666666</v>
      </c>
      <c r="V197" s="67">
        <v>728.0</v>
      </c>
      <c r="W197" s="67">
        <v>33.0</v>
      </c>
      <c r="X197" s="79">
        <v>0.06597222222222222</v>
      </c>
      <c r="Y197" s="79">
        <v>0.06666666666666667</v>
      </c>
      <c r="AA197" s="67">
        <v>728.0</v>
      </c>
      <c r="AB197" s="67">
        <v>30.0</v>
      </c>
      <c r="AC197" s="79">
        <v>0.10555555555555556</v>
      </c>
      <c r="AD197" s="79">
        <v>0.11041666666666666</v>
      </c>
      <c r="AF197" s="67">
        <f t="shared" si="1"/>
        <v>0</v>
      </c>
    </row>
    <row r="198" ht="15.75" customHeight="1">
      <c r="A198" s="47">
        <v>729.0</v>
      </c>
      <c r="B198" s="11">
        <v>67.0</v>
      </c>
      <c r="C198" s="12">
        <v>0.2638888888888889</v>
      </c>
      <c r="D198" s="13">
        <v>0.26458333333333334</v>
      </c>
      <c r="E198" s="64">
        <v>72.0</v>
      </c>
      <c r="F198" s="65">
        <v>0.32083333333333336</v>
      </c>
      <c r="G198" s="66">
        <v>0.32083333333333336</v>
      </c>
      <c r="H198" s="11">
        <v>63.0</v>
      </c>
      <c r="I198" s="12">
        <v>0.3840277777777778</v>
      </c>
      <c r="J198" s="13">
        <v>0.3861111111111111</v>
      </c>
      <c r="K198" s="18"/>
      <c r="L198" s="11">
        <v>729.0</v>
      </c>
      <c r="M198" s="67">
        <v>62.0</v>
      </c>
      <c r="N198" s="12">
        <v>0.4652777777777778</v>
      </c>
      <c r="O198" s="13">
        <v>0.4666666666666667</v>
      </c>
      <c r="Q198" s="67">
        <v>729.0</v>
      </c>
      <c r="R198" s="67">
        <v>59.0</v>
      </c>
      <c r="S198" s="79">
        <v>0.5291666666666667</v>
      </c>
      <c r="T198" s="79">
        <v>0.5305555555555556</v>
      </c>
      <c r="V198" s="67">
        <v>729.0</v>
      </c>
      <c r="W198" s="67">
        <v>53.0</v>
      </c>
      <c r="X198" s="79">
        <v>0.08819444444444445</v>
      </c>
      <c r="Y198" s="79">
        <v>0.08958333333333333</v>
      </c>
      <c r="AA198" s="67">
        <v>729.0</v>
      </c>
      <c r="AB198" s="67">
        <v>48.0</v>
      </c>
      <c r="AC198" s="79">
        <v>0.12916666666666668</v>
      </c>
      <c r="AD198" s="79">
        <v>0.13125</v>
      </c>
      <c r="AF198" s="67">
        <f t="shared" si="1"/>
        <v>0</v>
      </c>
    </row>
    <row r="199" ht="15.75" customHeight="1">
      <c r="A199" s="47"/>
      <c r="B199" s="11"/>
      <c r="C199" s="12"/>
      <c r="D199" s="13"/>
      <c r="E199" s="64"/>
      <c r="F199" s="65"/>
      <c r="G199" s="66"/>
      <c r="H199" s="11"/>
      <c r="I199" s="12"/>
      <c r="J199" s="13"/>
      <c r="K199" s="18"/>
      <c r="L199" s="11"/>
      <c r="M199" s="67"/>
      <c r="N199" s="12"/>
      <c r="O199" s="13"/>
      <c r="Q199" s="67">
        <v>729.0</v>
      </c>
      <c r="R199" s="67">
        <v>137.0</v>
      </c>
      <c r="S199" s="79">
        <v>0.08125</v>
      </c>
      <c r="T199" s="81"/>
      <c r="AF199" s="67">
        <f t="shared" si="1"/>
        <v>0</v>
      </c>
    </row>
    <row r="200" ht="15.75" customHeight="1">
      <c r="A200" s="47">
        <v>730.0</v>
      </c>
      <c r="B200" s="11">
        <v>59.0</v>
      </c>
      <c r="C200" s="12">
        <v>0.26319444444444445</v>
      </c>
      <c r="D200" s="13">
        <v>0.2638888888888889</v>
      </c>
      <c r="E200" s="64">
        <v>67.0</v>
      </c>
      <c r="F200" s="65">
        <v>0.31875</v>
      </c>
      <c r="G200" s="66">
        <v>0.31875</v>
      </c>
      <c r="H200" s="11">
        <v>70.0</v>
      </c>
      <c r="I200" s="12">
        <v>0.3861111111111111</v>
      </c>
      <c r="J200" s="13">
        <v>0.3902777777777778</v>
      </c>
      <c r="K200" s="18"/>
      <c r="L200" s="11">
        <v>730.0</v>
      </c>
      <c r="M200" s="67">
        <v>74.0</v>
      </c>
      <c r="N200" s="12">
        <v>0.47430555555555554</v>
      </c>
      <c r="O200" s="13">
        <v>0.4777777777777778</v>
      </c>
      <c r="Q200" s="67">
        <v>730.0</v>
      </c>
      <c r="R200" s="67">
        <v>84.0</v>
      </c>
      <c r="S200" s="79">
        <v>0.052083333333333336</v>
      </c>
      <c r="T200" s="79">
        <v>0.05486111111111111</v>
      </c>
      <c r="V200" s="67">
        <v>730.0</v>
      </c>
      <c r="W200" s="67">
        <v>91.0</v>
      </c>
      <c r="X200" s="79">
        <v>0.12777777777777777</v>
      </c>
      <c r="Y200" s="79">
        <v>0.1284722222222222</v>
      </c>
      <c r="AA200" s="67">
        <v>730.0</v>
      </c>
      <c r="AB200" s="67">
        <v>100.0</v>
      </c>
      <c r="AC200" s="79">
        <v>0.1909722222222222</v>
      </c>
      <c r="AD200" s="79">
        <v>0.2076388888888889</v>
      </c>
      <c r="AF200" s="67">
        <f t="shared" si="1"/>
        <v>0</v>
      </c>
    </row>
    <row r="201" ht="15.75" customHeight="1">
      <c r="A201" s="47">
        <v>731.0</v>
      </c>
      <c r="B201" s="11">
        <v>24.0</v>
      </c>
      <c r="C201" s="12">
        <v>0.2590277777777778</v>
      </c>
      <c r="D201" s="13">
        <v>0.25972222222222224</v>
      </c>
      <c r="E201" s="64">
        <v>30.0</v>
      </c>
      <c r="F201" s="65">
        <v>0.30694444444444446</v>
      </c>
      <c r="G201" s="66">
        <v>0.30694444444444446</v>
      </c>
      <c r="H201" s="11">
        <v>30.0</v>
      </c>
      <c r="I201" s="12">
        <v>0.36736111111111114</v>
      </c>
      <c r="J201" s="13">
        <v>0.36875</v>
      </c>
      <c r="K201" s="18"/>
      <c r="L201" s="11">
        <v>731.0</v>
      </c>
      <c r="M201" s="67">
        <v>25.0</v>
      </c>
      <c r="N201" s="12">
        <v>0.44166666666666665</v>
      </c>
      <c r="O201" s="13">
        <v>0.4423611111111111</v>
      </c>
      <c r="Q201" s="67">
        <v>731.0</v>
      </c>
      <c r="R201" s="67">
        <v>25.0</v>
      </c>
      <c r="S201" s="79">
        <v>0.5</v>
      </c>
      <c r="T201" s="79">
        <v>0.5013888888888889</v>
      </c>
      <c r="V201" s="67">
        <v>731.0</v>
      </c>
      <c r="W201" s="67">
        <v>22.0</v>
      </c>
      <c r="X201" s="79">
        <v>0.05555555555555555</v>
      </c>
      <c r="Y201" s="79">
        <v>0.05625</v>
      </c>
      <c r="AA201" s="67">
        <v>731.0</v>
      </c>
      <c r="AB201" s="67">
        <v>20.0</v>
      </c>
      <c r="AC201" s="79">
        <v>0.09305555555555556</v>
      </c>
      <c r="AD201" s="79">
        <v>0.09444444444444444</v>
      </c>
      <c r="AF201" s="67">
        <f t="shared" si="1"/>
        <v>0</v>
      </c>
    </row>
    <row r="202" ht="15.75" customHeight="1">
      <c r="A202" s="47">
        <v>732.0</v>
      </c>
      <c r="B202" s="11">
        <v>153.0</v>
      </c>
      <c r="C202" s="12">
        <v>0.2743055555555556</v>
      </c>
      <c r="D202" s="13">
        <v>0.275</v>
      </c>
      <c r="E202" s="64">
        <v>119.0</v>
      </c>
      <c r="F202" s="65">
        <v>0.3298611111111111</v>
      </c>
      <c r="G202" s="66">
        <v>0.3298611111111111</v>
      </c>
      <c r="H202" s="11">
        <v>109.0</v>
      </c>
      <c r="I202" s="12">
        <v>0.4</v>
      </c>
      <c r="J202" s="13">
        <v>0.4076388888888889</v>
      </c>
      <c r="K202" s="18"/>
      <c r="L202" s="11">
        <v>732.0</v>
      </c>
      <c r="M202" s="67">
        <v>103.0</v>
      </c>
      <c r="N202" s="12">
        <v>0.49166666666666664</v>
      </c>
      <c r="O202" s="13">
        <v>0.4979166666666667</v>
      </c>
      <c r="Q202" s="67">
        <v>732.0</v>
      </c>
      <c r="R202" s="67">
        <v>101.0</v>
      </c>
      <c r="S202" s="79">
        <v>0.06458333333333334</v>
      </c>
      <c r="T202" s="79">
        <v>0.07013888888888889</v>
      </c>
      <c r="V202" s="67">
        <v>732.0</v>
      </c>
      <c r="W202" s="67">
        <v>98.0</v>
      </c>
      <c r="X202" s="79">
        <v>0.13402777777777777</v>
      </c>
      <c r="Y202" s="79">
        <v>0.1361111111111111</v>
      </c>
      <c r="AA202" s="67">
        <v>732.0</v>
      </c>
      <c r="AB202" s="67">
        <v>99.0</v>
      </c>
      <c r="AC202" s="79">
        <v>0.1909722222222222</v>
      </c>
      <c r="AD202" s="79">
        <v>0.2048611111111111</v>
      </c>
      <c r="AF202" s="67">
        <f t="shared" si="1"/>
        <v>0</v>
      </c>
    </row>
    <row r="203" ht="15.75" customHeight="1">
      <c r="A203" s="47">
        <v>733.0</v>
      </c>
      <c r="B203" s="11">
        <v>110.0</v>
      </c>
      <c r="C203" s="12">
        <v>0.26944444444444443</v>
      </c>
      <c r="D203" s="13">
        <v>0.2701388888888889</v>
      </c>
      <c r="E203" s="64">
        <v>127.0</v>
      </c>
      <c r="F203" s="65">
        <v>0.33194444444444443</v>
      </c>
      <c r="G203" s="66">
        <v>0.33194444444444443</v>
      </c>
      <c r="H203" s="11">
        <v>141.0</v>
      </c>
      <c r="I203" s="12">
        <v>0.4097222222222222</v>
      </c>
      <c r="J203" s="13">
        <v>0.425</v>
      </c>
      <c r="K203" s="18"/>
      <c r="L203" s="11">
        <v>733.0</v>
      </c>
      <c r="M203" s="67">
        <v>152.0</v>
      </c>
      <c r="N203" s="12">
        <v>0.5152777777777777</v>
      </c>
      <c r="O203" s="13">
        <v>0.5222222222222223</v>
      </c>
      <c r="Q203" s="67">
        <v>733.0</v>
      </c>
      <c r="R203" s="67">
        <v>155.0</v>
      </c>
      <c r="S203" s="79">
        <v>0.09722222222222222</v>
      </c>
      <c r="T203" s="79">
        <v>0.11041666666666666</v>
      </c>
      <c r="V203" s="67">
        <v>733.0</v>
      </c>
      <c r="W203" s="67">
        <v>158.0</v>
      </c>
      <c r="X203" s="79">
        <v>0.18541666666666667</v>
      </c>
      <c r="Y203" s="79">
        <v>0.18888888888888888</v>
      </c>
      <c r="AA203" s="67">
        <v>733.0</v>
      </c>
      <c r="AB203" s="67">
        <v>159.0</v>
      </c>
      <c r="AC203" s="79">
        <v>0.2465277777777778</v>
      </c>
      <c r="AD203" s="79">
        <v>0.2638888888888889</v>
      </c>
      <c r="AF203" s="67">
        <f t="shared" si="1"/>
        <v>0</v>
      </c>
    </row>
    <row r="204" ht="15.75" customHeight="1">
      <c r="A204" s="47">
        <v>734.0</v>
      </c>
      <c r="B204" s="11">
        <v>89.0</v>
      </c>
      <c r="C204" s="12">
        <v>0.2673611111111111</v>
      </c>
      <c r="D204" s="13">
        <v>0.26805555555555555</v>
      </c>
      <c r="E204" s="64">
        <v>68.0</v>
      </c>
      <c r="F204" s="65">
        <v>0.3194444444444444</v>
      </c>
      <c r="G204" s="66">
        <v>0.3194444444444444</v>
      </c>
      <c r="H204" s="11">
        <v>65.0</v>
      </c>
      <c r="I204" s="12">
        <v>0.38472222222222224</v>
      </c>
      <c r="J204" s="13">
        <v>0.38819444444444445</v>
      </c>
      <c r="K204" s="18"/>
      <c r="L204" s="11">
        <v>734.0</v>
      </c>
      <c r="M204" s="67">
        <v>66.0</v>
      </c>
      <c r="N204" s="12">
        <v>0.4708333333333333</v>
      </c>
      <c r="O204" s="13">
        <v>0.4736111111111111</v>
      </c>
      <c r="Q204" s="67">
        <v>734.0</v>
      </c>
      <c r="R204" s="67">
        <v>68.0</v>
      </c>
      <c r="S204" s="79">
        <v>0.5409722222222222</v>
      </c>
      <c r="T204" s="79">
        <v>0.04513888888888889</v>
      </c>
      <c r="V204" s="67">
        <v>734.0</v>
      </c>
      <c r="W204" s="67">
        <v>69.0</v>
      </c>
      <c r="X204" s="79">
        <v>0.1076388888888889</v>
      </c>
      <c r="Y204" s="79">
        <v>0.11666666666666667</v>
      </c>
      <c r="AA204" s="67">
        <v>734.0</v>
      </c>
      <c r="AB204" s="67">
        <v>67.0</v>
      </c>
      <c r="AC204" s="79">
        <v>0.15694444444444444</v>
      </c>
      <c r="AD204" s="79">
        <v>0.16666666666666666</v>
      </c>
      <c r="AF204" s="67">
        <f t="shared" si="1"/>
        <v>0</v>
      </c>
    </row>
    <row r="205" ht="15.75" customHeight="1">
      <c r="A205" s="47">
        <v>736.0</v>
      </c>
      <c r="B205" s="11">
        <v>5.0</v>
      </c>
      <c r="C205" s="12">
        <v>0.2513888888888889</v>
      </c>
      <c r="D205" s="13">
        <v>0.2520833333333333</v>
      </c>
      <c r="E205" s="64">
        <v>3.0</v>
      </c>
      <c r="F205" s="65">
        <v>0.2923611111111111</v>
      </c>
      <c r="G205" s="66">
        <v>0.2923611111111111</v>
      </c>
      <c r="H205" s="11">
        <v>1.0</v>
      </c>
      <c r="I205" s="12">
        <v>0.33958333333333335</v>
      </c>
      <c r="J205" s="13">
        <v>0.34375</v>
      </c>
      <c r="K205" s="18"/>
      <c r="L205" s="11">
        <v>736.0</v>
      </c>
      <c r="M205" s="67">
        <v>3.0</v>
      </c>
      <c r="N205" s="12">
        <v>0.40555555555555556</v>
      </c>
      <c r="O205" s="13">
        <v>0.40694444444444444</v>
      </c>
      <c r="Q205" s="67">
        <v>736.0</v>
      </c>
      <c r="R205" s="67">
        <v>3.0</v>
      </c>
      <c r="S205" s="79">
        <v>0.46319444444444446</v>
      </c>
      <c r="T205" s="79">
        <v>0.46319444444444446</v>
      </c>
      <c r="V205" s="67">
        <v>736.0</v>
      </c>
      <c r="W205" s="67">
        <v>6.0</v>
      </c>
      <c r="X205" s="79">
        <v>0.5194444444444445</v>
      </c>
      <c r="Y205" s="79">
        <v>0.5201388888888889</v>
      </c>
      <c r="AA205" s="67">
        <v>736.0</v>
      </c>
      <c r="AB205" s="67">
        <v>4.0</v>
      </c>
      <c r="AC205" s="79">
        <v>0.05</v>
      </c>
      <c r="AD205" s="79">
        <v>0.05277777777777778</v>
      </c>
      <c r="AF205" s="67">
        <f t="shared" si="1"/>
        <v>0</v>
      </c>
    </row>
    <row r="206" ht="15.75" customHeight="1">
      <c r="A206" s="47">
        <v>737.0</v>
      </c>
      <c r="B206" s="11">
        <v>154.0</v>
      </c>
      <c r="C206" s="12">
        <v>0.2743055555555556</v>
      </c>
      <c r="D206" s="13">
        <v>0.275</v>
      </c>
      <c r="E206" s="64">
        <v>156.0</v>
      </c>
      <c r="F206" s="65">
        <v>0.33819444444444446</v>
      </c>
      <c r="G206" s="66">
        <v>0.33819444444444446</v>
      </c>
      <c r="H206" s="11">
        <v>139.0</v>
      </c>
      <c r="I206" s="12">
        <v>0.4097222222222222</v>
      </c>
      <c r="J206" s="13">
        <v>0.4125</v>
      </c>
      <c r="K206" s="18"/>
      <c r="L206" s="11">
        <v>737.0</v>
      </c>
      <c r="M206" s="67">
        <v>133.0</v>
      </c>
      <c r="N206" s="12">
        <v>0.5048611111111111</v>
      </c>
      <c r="O206" s="13">
        <v>0.50625</v>
      </c>
      <c r="Q206" s="67">
        <v>737.0</v>
      </c>
      <c r="R206" s="67">
        <v>134.0</v>
      </c>
      <c r="S206" s="79">
        <v>0.08125</v>
      </c>
      <c r="T206" s="79">
        <v>0.08611111111111111</v>
      </c>
      <c r="V206" s="67">
        <v>737.0</v>
      </c>
      <c r="W206" s="67">
        <v>131.0</v>
      </c>
      <c r="X206" s="79">
        <v>0.15694444444444444</v>
      </c>
      <c r="Y206" s="79">
        <v>0.1597222222222222</v>
      </c>
      <c r="AA206" s="67">
        <v>737.0</v>
      </c>
      <c r="AB206" s="67">
        <v>123.0</v>
      </c>
      <c r="AC206" s="79">
        <v>0.21041666666666667</v>
      </c>
      <c r="AD206" s="79">
        <v>0.21875</v>
      </c>
      <c r="AF206" s="67">
        <f t="shared" si="1"/>
        <v>0</v>
      </c>
    </row>
    <row r="207" ht="15.75" customHeight="1">
      <c r="A207" s="47">
        <v>738.0</v>
      </c>
      <c r="B207" s="11">
        <v>140.0</v>
      </c>
      <c r="C207" s="12">
        <v>0.27152777777777776</v>
      </c>
      <c r="D207" s="13">
        <v>0.2722222222222222</v>
      </c>
      <c r="E207" s="64">
        <v>137.0</v>
      </c>
      <c r="F207" s="65">
        <v>0.33402777777777776</v>
      </c>
      <c r="G207" s="66">
        <v>0.33402777777777776</v>
      </c>
      <c r="H207" s="11">
        <v>175.0</v>
      </c>
      <c r="I207" s="12">
        <v>0.42430555555555555</v>
      </c>
      <c r="J207" s="13">
        <v>0.4284722222222222</v>
      </c>
      <c r="K207" s="18"/>
      <c r="L207" s="11">
        <v>738.0</v>
      </c>
      <c r="M207" s="67">
        <v>181.0</v>
      </c>
      <c r="N207" s="12">
        <v>0.5388888888888889</v>
      </c>
      <c r="O207" s="13">
        <v>0.04236111111111111</v>
      </c>
      <c r="Q207" s="67">
        <v>738.0</v>
      </c>
      <c r="R207" s="67">
        <v>181.0</v>
      </c>
      <c r="S207" s="79">
        <v>0.12291666666666666</v>
      </c>
      <c r="T207" s="79">
        <v>0.12569444444444444</v>
      </c>
      <c r="V207" s="67">
        <v>738.0</v>
      </c>
      <c r="W207" s="67">
        <v>178.0</v>
      </c>
      <c r="X207" s="79">
        <v>0.20902777777777778</v>
      </c>
      <c r="Y207" s="79">
        <v>0.21180555555555555</v>
      </c>
      <c r="AA207" s="67">
        <v>738.0</v>
      </c>
      <c r="AB207" s="67">
        <v>180.0</v>
      </c>
      <c r="AC207" s="79">
        <v>0.2777777777777778</v>
      </c>
      <c r="AD207" s="79">
        <v>0.28888888888888886</v>
      </c>
      <c r="AF207" s="67">
        <f t="shared" si="1"/>
        <v>0</v>
      </c>
    </row>
    <row r="208" ht="15.75" customHeight="1">
      <c r="A208" s="47">
        <v>739.0</v>
      </c>
      <c r="B208" s="11">
        <v>146.0</v>
      </c>
      <c r="C208" s="12">
        <v>0.27152777777777776</v>
      </c>
      <c r="D208" s="13">
        <v>0.2722222222222222</v>
      </c>
      <c r="E208" s="64">
        <v>199.0</v>
      </c>
      <c r="F208" s="65">
        <v>0.3770833333333333</v>
      </c>
      <c r="G208" s="66">
        <v>0.3770833333333333</v>
      </c>
      <c r="H208" s="11">
        <v>131.0</v>
      </c>
      <c r="I208" s="12">
        <v>0.40555555555555556</v>
      </c>
      <c r="J208" s="13">
        <v>0.4097222222222222</v>
      </c>
      <c r="K208" s="18"/>
      <c r="L208" s="11">
        <v>739.0</v>
      </c>
      <c r="M208" s="67">
        <v>121.0</v>
      </c>
      <c r="N208" s="12">
        <v>0.5013888888888889</v>
      </c>
      <c r="O208" s="13">
        <v>0.5055555555555555</v>
      </c>
      <c r="Q208" s="67">
        <v>739.0</v>
      </c>
      <c r="R208" s="67">
        <v>118.0</v>
      </c>
      <c r="S208" s="79">
        <v>0.07847222222222222</v>
      </c>
      <c r="T208" s="79">
        <v>0.08333333333333333</v>
      </c>
      <c r="V208" s="67">
        <v>739.0</v>
      </c>
      <c r="W208" s="67">
        <v>124.0</v>
      </c>
      <c r="X208" s="79">
        <v>0.15625</v>
      </c>
      <c r="Y208" s="79">
        <v>0.1597222222222222</v>
      </c>
      <c r="AA208" s="67">
        <v>739.0</v>
      </c>
      <c r="AB208" s="67">
        <v>125.0</v>
      </c>
      <c r="AC208" s="79">
        <v>0.2111111111111111</v>
      </c>
      <c r="AD208" s="79">
        <v>0.21805555555555556</v>
      </c>
      <c r="AF208" s="67">
        <f t="shared" si="1"/>
        <v>0</v>
      </c>
    </row>
    <row r="209" ht="15.75" customHeight="1">
      <c r="A209" s="47"/>
      <c r="B209" s="11"/>
      <c r="C209" s="12"/>
      <c r="D209" s="13"/>
      <c r="E209" s="64"/>
      <c r="F209" s="65"/>
      <c r="G209" s="66"/>
      <c r="H209" s="11"/>
      <c r="I209" s="12"/>
      <c r="J209" s="13"/>
    </row>
    <row r="210" ht="15.75" customHeight="1">
      <c r="B210" s="11"/>
      <c r="C210" s="12"/>
      <c r="D210" s="13"/>
      <c r="E210" s="83"/>
      <c r="F210" s="65"/>
      <c r="G210" s="66"/>
      <c r="H210" s="73"/>
      <c r="J210" s="72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</row>
    <row r="223" ht="15.75" customHeight="1"/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2" width="7.25"/>
    <col customWidth="1" min="13" max="14" width="5.13"/>
    <col customWidth="1" min="15" max="15" width="7.25"/>
    <col customWidth="1" min="16" max="16" width="6.88"/>
    <col customWidth="1" min="17" max="17" width="7.63"/>
    <col customWidth="1" min="18" max="18" width="5.0"/>
    <col customWidth="1" min="19" max="19" width="5.13"/>
    <col customWidth="1" min="20" max="20" width="7.25"/>
    <col customWidth="1" min="21" max="21" width="6.88"/>
    <col customWidth="1" min="22" max="22" width="7.63"/>
    <col customWidth="1" min="23" max="23" width="5.0"/>
    <col customWidth="1" min="24" max="24" width="5.13"/>
    <col customWidth="1" min="25" max="25" width="7.25"/>
    <col customWidth="1" min="26" max="26" width="6.88"/>
    <col customWidth="1" min="27" max="27" width="7.63"/>
    <col customWidth="1" min="28" max="28" width="4.88"/>
    <col customWidth="1" min="29" max="29" width="5.13"/>
    <col customWidth="1" min="30" max="30" width="7.25"/>
    <col customWidth="1" min="31" max="31" width="9.38"/>
  </cols>
  <sheetData>
    <row r="1" ht="15.75" customHeight="1">
      <c r="A1" s="6" t="s">
        <v>1</v>
      </c>
      <c r="B1" s="95" t="s">
        <v>45</v>
      </c>
      <c r="C1" s="6" t="s">
        <v>46</v>
      </c>
      <c r="D1" s="96" t="s">
        <v>47</v>
      </c>
      <c r="E1" s="6"/>
      <c r="F1" s="6" t="s">
        <v>1</v>
      </c>
      <c r="G1" s="95" t="s">
        <v>48</v>
      </c>
      <c r="H1" s="6" t="s">
        <v>49</v>
      </c>
      <c r="I1" s="96" t="s">
        <v>50</v>
      </c>
      <c r="J1" s="95"/>
      <c r="K1" s="6"/>
      <c r="L1" s="6"/>
      <c r="M1" s="6"/>
      <c r="N1" s="6"/>
      <c r="O1" s="6"/>
      <c r="P1" s="6"/>
      <c r="Q1" s="6"/>
      <c r="S1" s="6"/>
      <c r="T1" s="6"/>
      <c r="U1" s="6"/>
      <c r="V1" s="6"/>
      <c r="X1" s="6"/>
      <c r="Y1" s="6"/>
      <c r="Z1" s="6"/>
      <c r="AA1" s="6"/>
      <c r="AC1" s="6"/>
      <c r="AD1" s="6"/>
      <c r="AE1" s="6"/>
    </row>
    <row r="2" ht="15.75" customHeight="1">
      <c r="A2" s="47">
        <v>632.0</v>
      </c>
      <c r="B2" s="18">
        <v>111.0</v>
      </c>
      <c r="C2" s="12">
        <v>0.5145833333333333</v>
      </c>
      <c r="D2" s="12">
        <v>0.51875</v>
      </c>
      <c r="E2" s="64"/>
      <c r="F2" s="64">
        <v>500.0</v>
      </c>
      <c r="G2" s="18">
        <v>111.0</v>
      </c>
      <c r="H2" s="65">
        <v>0.11041666666666666</v>
      </c>
      <c r="I2" s="65">
        <v>0.11041666666666666</v>
      </c>
      <c r="J2" s="18"/>
      <c r="K2" s="12">
        <f t="shared" ref="K2:K122" si="1">A2-F2</f>
        <v>132</v>
      </c>
      <c r="L2" s="12"/>
      <c r="M2" s="18"/>
      <c r="N2" s="18"/>
      <c r="P2" s="12"/>
      <c r="Q2" s="12"/>
      <c r="AE2" s="79"/>
    </row>
    <row r="3" ht="15.75" customHeight="1">
      <c r="A3" s="47">
        <v>501.0</v>
      </c>
      <c r="B3" s="18">
        <v>120.0</v>
      </c>
      <c r="C3" s="12">
        <v>0.04722222222222222</v>
      </c>
      <c r="D3" s="13">
        <v>0.050694444444444445</v>
      </c>
      <c r="E3" s="64"/>
      <c r="F3" s="64">
        <v>501.0</v>
      </c>
      <c r="G3" s="18">
        <v>120.0</v>
      </c>
      <c r="H3" s="65">
        <v>0.1326388888888889</v>
      </c>
      <c r="I3" s="65">
        <v>0.1361111111111111</v>
      </c>
      <c r="J3" s="18"/>
      <c r="K3" s="12">
        <f t="shared" si="1"/>
        <v>0</v>
      </c>
      <c r="L3" s="12"/>
      <c r="M3" s="18"/>
      <c r="N3" s="18"/>
      <c r="P3" s="12"/>
      <c r="Q3" s="12"/>
      <c r="U3" s="79"/>
      <c r="V3" s="79"/>
      <c r="Z3" s="79"/>
      <c r="AA3" s="79"/>
      <c r="AE3" s="79"/>
    </row>
    <row r="4" ht="15.75" customHeight="1">
      <c r="A4" s="47">
        <v>507.0</v>
      </c>
      <c r="B4" s="18">
        <v>36.0</v>
      </c>
      <c r="C4" s="12">
        <v>0.3138888888888889</v>
      </c>
      <c r="D4" s="13">
        <v>0.3194444444444444</v>
      </c>
      <c r="E4" s="64"/>
      <c r="F4" s="64">
        <v>507.0</v>
      </c>
      <c r="G4" s="18">
        <v>36.0</v>
      </c>
      <c r="H4" s="65">
        <v>0.39444444444444443</v>
      </c>
      <c r="I4" s="65">
        <v>0.39652777777777776</v>
      </c>
      <c r="J4" s="18"/>
      <c r="K4" s="12">
        <f t="shared" si="1"/>
        <v>0</v>
      </c>
      <c r="L4" s="12"/>
      <c r="M4" s="18"/>
      <c r="N4" s="18"/>
      <c r="P4" s="12"/>
      <c r="Q4" s="12"/>
      <c r="U4" s="79"/>
      <c r="V4" s="79"/>
      <c r="Z4" s="79"/>
      <c r="AA4" s="79"/>
      <c r="AE4" s="79"/>
    </row>
    <row r="5" ht="15.75" customHeight="1">
      <c r="A5" s="47">
        <v>538.0</v>
      </c>
      <c r="B5" s="18">
        <v>79.0</v>
      </c>
      <c r="C5" s="12">
        <v>0.4534722222222222</v>
      </c>
      <c r="D5" s="13">
        <v>0.4583333333333333</v>
      </c>
      <c r="E5" s="64"/>
      <c r="F5" s="64">
        <v>509.0</v>
      </c>
      <c r="G5" s="18">
        <v>79.0</v>
      </c>
      <c r="H5" s="65">
        <v>0.04513888888888889</v>
      </c>
      <c r="I5" s="65">
        <v>0.04513888888888889</v>
      </c>
      <c r="J5" s="18"/>
      <c r="K5" s="12">
        <f t="shared" si="1"/>
        <v>29</v>
      </c>
      <c r="L5" s="12"/>
      <c r="M5" s="18"/>
      <c r="N5" s="18"/>
      <c r="P5" s="12"/>
      <c r="Q5" s="12"/>
      <c r="U5" s="79"/>
      <c r="V5" s="79"/>
      <c r="Z5" s="79"/>
      <c r="AA5" s="79"/>
      <c r="AE5" s="79"/>
    </row>
    <row r="6" ht="15.75" customHeight="1">
      <c r="A6" s="47">
        <v>562.0</v>
      </c>
      <c r="B6" s="18">
        <v>38.0</v>
      </c>
      <c r="C6" s="12">
        <v>0.3173611111111111</v>
      </c>
      <c r="D6" s="13">
        <v>0.3277777777777778</v>
      </c>
      <c r="E6" s="64"/>
      <c r="F6" s="64">
        <v>511.0</v>
      </c>
      <c r="G6" s="18">
        <v>38.0</v>
      </c>
      <c r="H6" s="65">
        <v>0.39791666666666664</v>
      </c>
      <c r="I6" s="65">
        <v>0.3993055555555556</v>
      </c>
      <c r="J6" s="18"/>
      <c r="K6" s="12">
        <f t="shared" si="1"/>
        <v>51</v>
      </c>
      <c r="L6" s="12"/>
      <c r="M6" s="18"/>
      <c r="N6" s="18"/>
      <c r="P6" s="12"/>
      <c r="Q6" s="12"/>
      <c r="U6" s="79"/>
      <c r="V6" s="79"/>
      <c r="Z6" s="79"/>
      <c r="AA6" s="79"/>
      <c r="AE6" s="79"/>
    </row>
    <row r="7" ht="15.75" customHeight="1">
      <c r="A7" s="47">
        <v>620.0</v>
      </c>
      <c r="B7" s="18">
        <v>3.0</v>
      </c>
      <c r="C7" s="12">
        <v>0.10347222222222222</v>
      </c>
      <c r="D7" s="13">
        <v>0.10555555555555556</v>
      </c>
      <c r="E7" s="64"/>
      <c r="F7" s="64">
        <v>513.0</v>
      </c>
      <c r="G7" s="18">
        <v>3.0</v>
      </c>
      <c r="H7" s="65">
        <v>0.1638888888888889</v>
      </c>
      <c r="I7" s="65">
        <v>0.16458333333333333</v>
      </c>
      <c r="J7" s="18"/>
      <c r="K7" s="12">
        <f t="shared" si="1"/>
        <v>107</v>
      </c>
      <c r="L7" s="12"/>
      <c r="M7" s="18"/>
      <c r="N7" s="18"/>
      <c r="P7" s="12"/>
      <c r="Q7" s="12"/>
      <c r="U7" s="79"/>
      <c r="V7" s="79"/>
      <c r="Z7" s="79"/>
      <c r="AA7" s="79"/>
      <c r="AE7" s="79"/>
    </row>
    <row r="8" ht="15.75" customHeight="1">
      <c r="A8" s="47">
        <v>563.0</v>
      </c>
      <c r="B8" s="18">
        <v>8.0</v>
      </c>
      <c r="C8" s="12">
        <v>0.1527777777777778</v>
      </c>
      <c r="D8" s="13">
        <v>0.15694444444444444</v>
      </c>
      <c r="E8" s="64"/>
      <c r="F8" s="64">
        <v>515.0</v>
      </c>
      <c r="G8" s="18">
        <v>8.0</v>
      </c>
      <c r="H8" s="65">
        <v>0.225</v>
      </c>
      <c r="I8" s="65">
        <v>0.2263888888888889</v>
      </c>
      <c r="J8" s="18"/>
      <c r="K8" s="12">
        <f t="shared" si="1"/>
        <v>48</v>
      </c>
      <c r="L8" s="12"/>
      <c r="M8" s="18"/>
      <c r="N8" s="18"/>
      <c r="P8" s="12"/>
      <c r="Q8" s="12"/>
      <c r="U8" s="79"/>
      <c r="V8" s="79"/>
      <c r="Z8" s="79"/>
      <c r="AA8" s="79"/>
      <c r="AE8" s="79"/>
    </row>
    <row r="9" ht="15.75" customHeight="1">
      <c r="A9" s="47">
        <v>592.0</v>
      </c>
      <c r="B9" s="18">
        <v>109.0</v>
      </c>
      <c r="C9" s="12">
        <v>0.5118055555555555</v>
      </c>
      <c r="D9" s="13">
        <v>0.5131944444444444</v>
      </c>
      <c r="E9" s="64"/>
      <c r="F9" s="64">
        <v>516.0</v>
      </c>
      <c r="G9" s="18">
        <v>109.0</v>
      </c>
      <c r="H9" s="65">
        <v>0.10138888888888889</v>
      </c>
      <c r="I9" s="65">
        <v>0.10625</v>
      </c>
      <c r="J9" s="18"/>
      <c r="K9" s="12">
        <f t="shared" si="1"/>
        <v>76</v>
      </c>
      <c r="L9" s="12"/>
      <c r="M9" s="18"/>
      <c r="N9" s="18"/>
      <c r="P9" s="12"/>
      <c r="Q9" s="12"/>
      <c r="U9" s="79"/>
      <c r="V9" s="79"/>
      <c r="Z9" s="79"/>
      <c r="AA9" s="79"/>
      <c r="AE9" s="79"/>
    </row>
    <row r="10" ht="15.75" customHeight="1">
      <c r="A10" s="47">
        <v>577.0</v>
      </c>
      <c r="B10" s="18">
        <v>80.0</v>
      </c>
      <c r="C10" s="12">
        <v>0.4534722222222222</v>
      </c>
      <c r="D10" s="13">
        <v>0.45694444444444443</v>
      </c>
      <c r="E10" s="64"/>
      <c r="F10" s="64">
        <v>518.0</v>
      </c>
      <c r="G10" s="18">
        <v>80.0</v>
      </c>
      <c r="H10" s="65">
        <v>0.04513888888888889</v>
      </c>
      <c r="I10" s="65">
        <v>0.04583333333333333</v>
      </c>
      <c r="J10" s="18"/>
      <c r="K10" s="12">
        <f t="shared" si="1"/>
        <v>59</v>
      </c>
      <c r="L10" s="12"/>
      <c r="M10" s="18"/>
      <c r="N10" s="18"/>
      <c r="P10" s="12"/>
      <c r="Q10" s="12"/>
      <c r="U10" s="79"/>
      <c r="V10" s="79"/>
      <c r="Z10" s="79"/>
      <c r="AA10" s="79"/>
      <c r="AE10" s="79"/>
    </row>
    <row r="11" ht="15.75" customHeight="1">
      <c r="A11" s="47">
        <v>665.0</v>
      </c>
      <c r="B11" s="18">
        <v>70.0</v>
      </c>
      <c r="C11" s="12">
        <v>0.4395833333333333</v>
      </c>
      <c r="D11" s="13">
        <v>0.44166666666666665</v>
      </c>
      <c r="E11" s="64"/>
      <c r="F11" s="64">
        <v>519.0</v>
      </c>
      <c r="G11" s="18">
        <v>70.0</v>
      </c>
      <c r="H11" s="65">
        <v>0.5215277777777778</v>
      </c>
      <c r="I11" s="65">
        <v>0.5215277777777778</v>
      </c>
      <c r="J11" s="18"/>
      <c r="K11" s="12">
        <f t="shared" si="1"/>
        <v>146</v>
      </c>
      <c r="L11" s="12"/>
      <c r="M11" s="18"/>
      <c r="N11" s="18"/>
      <c r="P11" s="12"/>
      <c r="Q11" s="12"/>
      <c r="U11" s="79"/>
      <c r="V11" s="79"/>
      <c r="Z11" s="79"/>
      <c r="AA11" s="79"/>
      <c r="AE11" s="79"/>
    </row>
    <row r="12" ht="15.75" customHeight="1">
      <c r="A12" s="47">
        <v>523.0</v>
      </c>
      <c r="B12" s="18">
        <v>40.0</v>
      </c>
      <c r="C12" s="12">
        <v>0.3277777777777778</v>
      </c>
      <c r="D12" s="13">
        <v>0.33541666666666664</v>
      </c>
      <c r="E12" s="64"/>
      <c r="F12" s="64">
        <v>522.0</v>
      </c>
      <c r="G12" s="18">
        <v>40.0</v>
      </c>
      <c r="H12" s="65">
        <v>0.4076388888888889</v>
      </c>
      <c r="I12" s="65">
        <v>0.40902777777777777</v>
      </c>
      <c r="J12" s="18"/>
      <c r="K12" s="12">
        <f t="shared" si="1"/>
        <v>1</v>
      </c>
      <c r="L12" s="12"/>
      <c r="M12" s="18"/>
      <c r="N12" s="18"/>
      <c r="P12" s="12"/>
      <c r="Q12" s="12"/>
      <c r="U12" s="79"/>
      <c r="V12" s="79"/>
      <c r="Z12" s="79"/>
      <c r="AA12" s="79"/>
      <c r="AE12" s="79"/>
    </row>
    <row r="13" ht="15.75" customHeight="1">
      <c r="A13" s="47">
        <v>675.0</v>
      </c>
      <c r="B13" s="18">
        <v>39.0</v>
      </c>
      <c r="C13" s="12">
        <v>0.3277777777777778</v>
      </c>
      <c r="D13" s="13">
        <v>0.3347222222222222</v>
      </c>
      <c r="E13" s="64"/>
      <c r="F13" s="64">
        <v>523.0</v>
      </c>
      <c r="G13" s="18">
        <v>39.0</v>
      </c>
      <c r="H13" s="65">
        <v>0.4027777777777778</v>
      </c>
      <c r="I13" s="65">
        <v>0.40347222222222223</v>
      </c>
      <c r="J13" s="18"/>
      <c r="K13" s="12">
        <f t="shared" si="1"/>
        <v>152</v>
      </c>
      <c r="L13" s="12"/>
      <c r="M13" s="18"/>
      <c r="N13" s="18"/>
      <c r="P13" s="12"/>
      <c r="Q13" s="12"/>
    </row>
    <row r="14" ht="15.75" customHeight="1">
      <c r="A14" s="47">
        <v>693.0</v>
      </c>
      <c r="B14" s="18">
        <v>103.0</v>
      </c>
      <c r="C14" s="12">
        <v>0.48819444444444443</v>
      </c>
      <c r="D14" s="13">
        <v>0.4930555555555556</v>
      </c>
      <c r="E14" s="64"/>
      <c r="F14" s="64">
        <v>525.0</v>
      </c>
      <c r="G14" s="18">
        <v>103.0</v>
      </c>
      <c r="H14" s="65">
        <v>0.08125</v>
      </c>
      <c r="I14" s="65">
        <v>0.08611111111111111</v>
      </c>
      <c r="J14" s="18"/>
      <c r="K14" s="12">
        <f t="shared" si="1"/>
        <v>168</v>
      </c>
      <c r="L14" s="12"/>
      <c r="M14" s="18"/>
      <c r="N14" s="18"/>
      <c r="P14" s="12"/>
      <c r="Q14" s="12"/>
      <c r="U14" s="79"/>
      <c r="V14" s="79"/>
      <c r="Z14" s="79"/>
      <c r="AA14" s="79"/>
      <c r="AE14" s="79"/>
    </row>
    <row r="15" ht="15.75" customHeight="1">
      <c r="A15" s="47">
        <v>645.0</v>
      </c>
      <c r="B15" s="18">
        <v>33.0</v>
      </c>
      <c r="C15" s="12">
        <v>0.3076388888888889</v>
      </c>
      <c r="D15" s="13">
        <v>0.32222222222222224</v>
      </c>
      <c r="E15" s="64"/>
      <c r="F15" s="64">
        <v>527.0</v>
      </c>
      <c r="G15" s="18">
        <v>33.0</v>
      </c>
      <c r="H15" s="65">
        <v>0.38263888888888886</v>
      </c>
      <c r="I15" s="65">
        <v>0.38263888888888886</v>
      </c>
      <c r="J15" s="18"/>
      <c r="K15" s="12">
        <f t="shared" si="1"/>
        <v>118</v>
      </c>
      <c r="L15" s="12"/>
      <c r="M15" s="18"/>
      <c r="N15" s="18"/>
      <c r="P15" s="12"/>
      <c r="Q15" s="12"/>
      <c r="U15" s="79"/>
      <c r="V15" s="79"/>
      <c r="Z15" s="79"/>
      <c r="AA15" s="79"/>
      <c r="AE15" s="79"/>
    </row>
    <row r="16" ht="15.75" customHeight="1">
      <c r="A16" s="47">
        <v>606.0</v>
      </c>
      <c r="B16" s="18">
        <v>98.0</v>
      </c>
      <c r="C16" s="12">
        <v>0.48333333333333334</v>
      </c>
      <c r="D16" s="13">
        <v>0.48680555555555555</v>
      </c>
      <c r="E16" s="64"/>
      <c r="F16" s="64">
        <v>528.0</v>
      </c>
      <c r="G16" s="18">
        <v>98.0</v>
      </c>
      <c r="H16" s="65">
        <v>0.07708333333333334</v>
      </c>
      <c r="I16" s="65">
        <v>0.07847222222222222</v>
      </c>
      <c r="J16" s="18"/>
      <c r="K16" s="12">
        <f t="shared" si="1"/>
        <v>78</v>
      </c>
      <c r="L16" s="12"/>
      <c r="M16" s="18"/>
      <c r="N16" s="18"/>
      <c r="P16" s="12"/>
      <c r="Q16" s="12"/>
      <c r="U16" s="79"/>
      <c r="V16" s="79"/>
      <c r="Z16" s="79"/>
    </row>
    <row r="17" ht="15.75" customHeight="1">
      <c r="A17" s="47">
        <v>529.0</v>
      </c>
      <c r="B17" s="18">
        <v>16.0</v>
      </c>
      <c r="C17" s="12">
        <v>0.19930555555555557</v>
      </c>
      <c r="D17" s="13">
        <v>0.2013888888888889</v>
      </c>
      <c r="E17" s="64"/>
      <c r="F17" s="64">
        <v>529.0</v>
      </c>
      <c r="G17" s="18">
        <v>16.0</v>
      </c>
      <c r="H17" s="65">
        <v>0.2777777777777778</v>
      </c>
      <c r="I17" s="65">
        <v>0.27847222222222223</v>
      </c>
      <c r="J17" s="18"/>
      <c r="K17" s="12">
        <f t="shared" si="1"/>
        <v>0</v>
      </c>
      <c r="L17" s="12"/>
      <c r="M17" s="18"/>
      <c r="N17" s="18"/>
      <c r="P17" s="12"/>
      <c r="Q17" s="12"/>
      <c r="U17" s="79"/>
      <c r="V17" s="79"/>
      <c r="Z17" s="79"/>
      <c r="AA17" s="79"/>
      <c r="AE17" s="79"/>
    </row>
    <row r="18" ht="15.75" customHeight="1">
      <c r="A18" s="47">
        <v>545.0</v>
      </c>
      <c r="B18" s="18">
        <v>95.0</v>
      </c>
      <c r="C18" s="12">
        <v>0.48125</v>
      </c>
      <c r="D18" s="13">
        <v>0.4861111111111111</v>
      </c>
      <c r="E18" s="64"/>
      <c r="F18" s="64">
        <v>534.0</v>
      </c>
      <c r="G18" s="18">
        <v>95.0</v>
      </c>
      <c r="H18" s="65">
        <v>0.06527777777777778</v>
      </c>
      <c r="I18" s="65">
        <v>0.06805555555555555</v>
      </c>
      <c r="J18" s="18"/>
      <c r="K18" s="12">
        <f t="shared" si="1"/>
        <v>11</v>
      </c>
      <c r="L18" s="12"/>
      <c r="M18" s="18"/>
      <c r="N18" s="18"/>
      <c r="P18" s="12"/>
      <c r="Q18" s="12"/>
      <c r="U18" s="79"/>
      <c r="V18" s="79"/>
      <c r="Z18" s="79"/>
      <c r="AA18" s="79"/>
      <c r="AE18" s="79"/>
    </row>
    <row r="19" ht="15.75" customHeight="1">
      <c r="A19" s="47">
        <v>530.0</v>
      </c>
      <c r="B19" s="18">
        <v>34.0</v>
      </c>
      <c r="C19" s="12">
        <v>0.3104166666666667</v>
      </c>
      <c r="D19" s="13">
        <v>0.31180555555555556</v>
      </c>
      <c r="E19" s="64"/>
      <c r="F19" s="64">
        <v>536.0</v>
      </c>
      <c r="G19" s="18">
        <v>34.0</v>
      </c>
      <c r="H19" s="65">
        <v>0.38263888888888886</v>
      </c>
      <c r="I19" s="65">
        <v>0.38333333333333336</v>
      </c>
      <c r="J19" s="18"/>
      <c r="K19" s="12">
        <f t="shared" si="1"/>
        <v>-6</v>
      </c>
      <c r="L19" s="12"/>
      <c r="M19" s="18"/>
      <c r="N19" s="18"/>
      <c r="P19" s="12"/>
      <c r="Q19" s="12"/>
      <c r="U19" s="79"/>
      <c r="V19" s="79"/>
      <c r="Z19" s="79"/>
      <c r="AA19" s="79"/>
      <c r="AE19" s="79"/>
    </row>
    <row r="20" ht="15.75" customHeight="1">
      <c r="A20" s="47">
        <v>687.0</v>
      </c>
      <c r="B20" s="18">
        <v>60.0</v>
      </c>
      <c r="C20" s="12">
        <v>0.4041666666666667</v>
      </c>
      <c r="D20" s="13">
        <v>0.4083333333333333</v>
      </c>
      <c r="E20" s="64"/>
      <c r="F20" s="64">
        <v>536.0</v>
      </c>
      <c r="G20" s="18">
        <v>60.0</v>
      </c>
      <c r="H20" s="65">
        <v>0.4930555555555556</v>
      </c>
      <c r="I20" s="65">
        <v>0.4951388888888889</v>
      </c>
      <c r="J20" s="18"/>
      <c r="K20" s="12">
        <f t="shared" si="1"/>
        <v>151</v>
      </c>
      <c r="L20" s="12"/>
      <c r="M20" s="18"/>
      <c r="N20" s="18"/>
      <c r="P20" s="12"/>
      <c r="Q20" s="12"/>
      <c r="U20" s="79"/>
      <c r="V20" s="79"/>
      <c r="Z20" s="79"/>
      <c r="AA20" s="79"/>
      <c r="AE20" s="79"/>
    </row>
    <row r="21" ht="15.75" customHeight="1">
      <c r="A21" s="47">
        <v>537.0</v>
      </c>
      <c r="B21" s="18">
        <v>1.0</v>
      </c>
      <c r="C21" s="12">
        <v>0.44583333333333336</v>
      </c>
      <c r="D21" s="13">
        <v>0.45</v>
      </c>
      <c r="E21" s="64"/>
      <c r="F21" s="64">
        <v>537.0</v>
      </c>
      <c r="G21" s="18">
        <v>1.0</v>
      </c>
      <c r="H21" s="65">
        <v>0.5048611111111111</v>
      </c>
      <c r="I21" s="65">
        <v>0.5076388888888889</v>
      </c>
      <c r="J21" s="18"/>
      <c r="K21" s="97">
        <f t="shared" si="1"/>
        <v>0</v>
      </c>
      <c r="L21" s="12"/>
      <c r="M21" s="18"/>
      <c r="N21" s="18"/>
      <c r="P21" s="12"/>
      <c r="Q21" s="12"/>
      <c r="U21" s="79"/>
      <c r="V21" s="79"/>
      <c r="Z21" s="79"/>
      <c r="AA21" s="79"/>
      <c r="AE21" s="79"/>
    </row>
    <row r="22" ht="15.75" customHeight="1">
      <c r="A22" s="47">
        <v>626.0</v>
      </c>
      <c r="B22" s="18">
        <v>75.0</v>
      </c>
      <c r="C22" s="12">
        <v>0.45069444444444445</v>
      </c>
      <c r="D22" s="13">
        <v>0.4534722222222222</v>
      </c>
      <c r="E22" s="64"/>
      <c r="F22" s="64">
        <v>538.0</v>
      </c>
      <c r="G22" s="18">
        <v>75.0</v>
      </c>
      <c r="H22" s="65">
        <v>0.5347222222222222</v>
      </c>
      <c r="I22" s="65">
        <v>0.5361111111111111</v>
      </c>
      <c r="J22" s="18"/>
      <c r="K22" s="12">
        <f t="shared" si="1"/>
        <v>88</v>
      </c>
      <c r="L22" s="12"/>
      <c r="M22" s="18"/>
      <c r="N22" s="18"/>
      <c r="P22" s="12"/>
      <c r="Q22" s="12"/>
      <c r="U22" s="79"/>
      <c r="V22" s="79"/>
      <c r="Z22" s="79"/>
      <c r="AA22" s="79"/>
      <c r="AE22" s="79"/>
    </row>
    <row r="23" ht="15.75" customHeight="1">
      <c r="A23" s="47">
        <v>543.0</v>
      </c>
      <c r="B23" s="18">
        <v>7.0</v>
      </c>
      <c r="C23" s="12">
        <v>0.1388888888888889</v>
      </c>
      <c r="D23" s="13">
        <v>0.1423611111111111</v>
      </c>
      <c r="E23" s="64"/>
      <c r="F23" s="64">
        <v>543.0</v>
      </c>
      <c r="G23" s="18">
        <v>7.0</v>
      </c>
      <c r="H23" s="65">
        <v>0.25833333333333336</v>
      </c>
      <c r="I23" s="65">
        <v>0.21875</v>
      </c>
      <c r="J23" s="18"/>
      <c r="K23" s="12">
        <f t="shared" si="1"/>
        <v>0</v>
      </c>
      <c r="L23" s="12"/>
      <c r="M23" s="18"/>
      <c r="N23" s="18"/>
      <c r="P23" s="12"/>
      <c r="Q23" s="12"/>
      <c r="U23" s="79"/>
      <c r="V23" s="79"/>
      <c r="Z23" s="79"/>
      <c r="AA23" s="79"/>
      <c r="AE23" s="79"/>
    </row>
    <row r="24" ht="15.75" customHeight="1">
      <c r="A24" s="47">
        <v>696.0</v>
      </c>
      <c r="B24" s="18">
        <v>93.0</v>
      </c>
      <c r="C24" s="12">
        <v>0.47638888888888886</v>
      </c>
      <c r="D24" s="13">
        <v>0.4847222222222222</v>
      </c>
      <c r="E24" s="64"/>
      <c r="F24" s="64">
        <v>545.0</v>
      </c>
      <c r="G24" s="18">
        <v>93.0</v>
      </c>
      <c r="H24" s="65">
        <v>0.06388888888888888</v>
      </c>
      <c r="I24" s="65">
        <v>0.06597222222222222</v>
      </c>
      <c r="J24" s="18"/>
      <c r="K24" s="12">
        <f t="shared" si="1"/>
        <v>151</v>
      </c>
      <c r="L24" s="12"/>
      <c r="M24" s="18"/>
      <c r="N24" s="18"/>
      <c r="P24" s="12"/>
      <c r="Q24" s="12"/>
      <c r="U24" s="79"/>
      <c r="V24" s="79"/>
      <c r="Z24" s="79"/>
      <c r="AA24" s="79"/>
      <c r="AE24" s="79"/>
    </row>
    <row r="25" ht="15.75" customHeight="1">
      <c r="A25" s="47">
        <v>709.0</v>
      </c>
      <c r="B25" s="18">
        <v>49.0</v>
      </c>
      <c r="C25" s="12">
        <v>0.3527777777777778</v>
      </c>
      <c r="D25" s="13">
        <v>0.35833333333333334</v>
      </c>
      <c r="E25" s="64"/>
      <c r="F25" s="64">
        <v>546.0</v>
      </c>
      <c r="G25" s="18">
        <v>49.0</v>
      </c>
      <c r="H25" s="65">
        <v>0.4305555555555556</v>
      </c>
      <c r="I25" s="65">
        <v>0.4340277777777778</v>
      </c>
      <c r="J25" s="18"/>
      <c r="K25" s="12">
        <f t="shared" si="1"/>
        <v>163</v>
      </c>
      <c r="L25" s="12"/>
      <c r="M25" s="18"/>
      <c r="N25" s="18"/>
      <c r="P25" s="12"/>
      <c r="Q25" s="12"/>
      <c r="U25" s="79"/>
      <c r="V25" s="79"/>
      <c r="Z25" s="79"/>
      <c r="AA25" s="79"/>
      <c r="AE25" s="79"/>
    </row>
    <row r="26" ht="15.75" customHeight="1">
      <c r="A26" s="47">
        <v>536.0</v>
      </c>
      <c r="B26" s="18">
        <v>57.0</v>
      </c>
      <c r="C26" s="12">
        <v>0.40069444444444446</v>
      </c>
      <c r="D26" s="13">
        <v>0.41805555555555557</v>
      </c>
      <c r="E26" s="64"/>
      <c r="F26" s="64">
        <v>547.0</v>
      </c>
      <c r="G26" s="18">
        <v>57.0</v>
      </c>
      <c r="H26" s="65">
        <v>0.4909722222222222</v>
      </c>
      <c r="I26" s="65">
        <v>0.49236111111111114</v>
      </c>
      <c r="J26" s="18"/>
      <c r="K26" s="12">
        <f t="shared" si="1"/>
        <v>-11</v>
      </c>
      <c r="L26" s="12"/>
      <c r="M26" s="18"/>
      <c r="N26" s="18"/>
      <c r="P26" s="12"/>
      <c r="Q26" s="12"/>
      <c r="U26" s="79"/>
      <c r="V26" s="79"/>
      <c r="Z26" s="79"/>
      <c r="AA26" s="79"/>
      <c r="AE26" s="79"/>
    </row>
    <row r="27" ht="15.75" customHeight="1">
      <c r="A27" s="47">
        <v>699.0</v>
      </c>
      <c r="B27" s="18">
        <v>82.0</v>
      </c>
      <c r="C27" s="12">
        <v>0.45555555555555555</v>
      </c>
      <c r="D27" s="13">
        <v>0.46319444444444446</v>
      </c>
      <c r="E27" s="64"/>
      <c r="F27" s="64">
        <v>548.0</v>
      </c>
      <c r="G27" s="18">
        <v>82.0</v>
      </c>
      <c r="H27" s="65">
        <v>0.04652777777777778</v>
      </c>
      <c r="I27" s="65">
        <v>0.04791666666666667</v>
      </c>
      <c r="J27" s="18"/>
      <c r="K27" s="12">
        <f t="shared" si="1"/>
        <v>151</v>
      </c>
      <c r="L27" s="12"/>
      <c r="M27" s="18"/>
      <c r="N27" s="18"/>
      <c r="P27" s="12"/>
      <c r="Q27" s="12"/>
      <c r="U27" s="79"/>
      <c r="V27" s="79"/>
      <c r="Z27" s="79"/>
      <c r="AA27" s="79"/>
      <c r="AE27" s="79"/>
    </row>
    <row r="28" ht="15.75" customHeight="1">
      <c r="A28" s="47">
        <v>651.0</v>
      </c>
      <c r="B28" s="18">
        <v>55.0</v>
      </c>
      <c r="C28" s="12">
        <v>0.39791666666666664</v>
      </c>
      <c r="D28" s="13">
        <v>0.40625</v>
      </c>
      <c r="E28" s="64"/>
      <c r="F28" s="64">
        <v>549.0</v>
      </c>
      <c r="G28" s="18">
        <v>55.0</v>
      </c>
      <c r="H28" s="65">
        <v>0.48055555555555557</v>
      </c>
      <c r="I28" s="65">
        <v>0.48194444444444445</v>
      </c>
      <c r="J28" s="18"/>
      <c r="K28" s="12">
        <f t="shared" si="1"/>
        <v>102</v>
      </c>
      <c r="L28" s="12"/>
      <c r="M28" s="18"/>
      <c r="N28" s="18"/>
      <c r="P28" s="12"/>
      <c r="Q28" s="12"/>
      <c r="U28" s="79"/>
      <c r="V28" s="79"/>
      <c r="Z28" s="79"/>
      <c r="AA28" s="79"/>
      <c r="AE28" s="79"/>
    </row>
    <row r="29" ht="15.75" customHeight="1">
      <c r="A29" s="47">
        <v>684.0</v>
      </c>
      <c r="B29" s="18">
        <v>32.0</v>
      </c>
      <c r="C29" s="12">
        <v>0.29791666666666666</v>
      </c>
      <c r="D29" s="13">
        <v>0.30277777777777776</v>
      </c>
      <c r="E29" s="64"/>
      <c r="F29" s="64">
        <v>550.0</v>
      </c>
      <c r="G29" s="18">
        <v>32.0</v>
      </c>
      <c r="H29" s="65">
        <v>0.38263888888888886</v>
      </c>
      <c r="I29" s="65">
        <v>0.38263888888888886</v>
      </c>
      <c r="J29" s="18"/>
      <c r="K29" s="12">
        <f t="shared" si="1"/>
        <v>134</v>
      </c>
      <c r="L29" s="12"/>
      <c r="M29" s="18"/>
      <c r="N29" s="18"/>
      <c r="P29" s="12"/>
      <c r="Q29" s="12"/>
      <c r="U29" s="79"/>
      <c r="V29" s="79"/>
      <c r="Z29" s="79"/>
      <c r="AA29" s="79"/>
      <c r="AE29" s="79"/>
    </row>
    <row r="30" ht="15.75" customHeight="1">
      <c r="A30" s="47">
        <v>548.0</v>
      </c>
      <c r="B30" s="18">
        <v>85.0</v>
      </c>
      <c r="C30" s="12">
        <v>0.4618055555555556</v>
      </c>
      <c r="D30" s="13">
        <v>0.46458333333333335</v>
      </c>
      <c r="E30" s="64"/>
      <c r="F30" s="64">
        <v>553.0</v>
      </c>
      <c r="G30" s="18">
        <v>85.0</v>
      </c>
      <c r="H30" s="65">
        <v>0.04861111111111111</v>
      </c>
      <c r="I30" s="65">
        <v>0.050694444444444445</v>
      </c>
      <c r="J30" s="18"/>
      <c r="K30" s="12">
        <f t="shared" si="1"/>
        <v>-5</v>
      </c>
      <c r="L30" s="12"/>
      <c r="M30" s="18"/>
      <c r="N30" s="18"/>
      <c r="P30" s="12"/>
      <c r="Q30" s="12"/>
      <c r="U30" s="79"/>
      <c r="V30" s="79"/>
      <c r="Z30" s="79"/>
      <c r="AA30" s="79"/>
      <c r="AE30" s="79"/>
    </row>
    <row r="31" ht="15.75" customHeight="1">
      <c r="A31" s="47">
        <v>676.0</v>
      </c>
      <c r="B31" s="18">
        <v>117.0</v>
      </c>
      <c r="C31" s="12">
        <v>0.5375</v>
      </c>
      <c r="D31" s="13">
        <v>0.5388888888888889</v>
      </c>
      <c r="E31" s="64"/>
      <c r="F31" s="64">
        <v>554.0</v>
      </c>
      <c r="G31" s="18">
        <v>117.0</v>
      </c>
      <c r="H31" s="65">
        <v>0.12013888888888889</v>
      </c>
      <c r="I31" s="65">
        <v>0.12291666666666666</v>
      </c>
      <c r="J31" s="18"/>
      <c r="K31" s="12">
        <f t="shared" si="1"/>
        <v>122</v>
      </c>
      <c r="L31" s="12"/>
      <c r="M31" s="18"/>
      <c r="N31" s="18"/>
      <c r="P31" s="12"/>
      <c r="Q31" s="12"/>
      <c r="U31" s="79"/>
      <c r="V31" s="79"/>
      <c r="Z31" s="79"/>
      <c r="AA31" s="79"/>
      <c r="AE31" s="79"/>
    </row>
    <row r="32" ht="15.75" customHeight="1">
      <c r="A32" s="47">
        <v>516.0</v>
      </c>
      <c r="B32" s="18">
        <v>108.0</v>
      </c>
      <c r="C32" s="12">
        <v>0.5083333333333333</v>
      </c>
      <c r="D32" s="13">
        <v>0.5125</v>
      </c>
      <c r="E32" s="64"/>
      <c r="F32" s="64">
        <v>559.0</v>
      </c>
      <c r="G32" s="18">
        <v>108.0</v>
      </c>
      <c r="H32" s="65">
        <v>0.09652777777777778</v>
      </c>
      <c r="I32" s="65">
        <v>0.09861111111111111</v>
      </c>
      <c r="J32" s="18"/>
      <c r="K32" s="12">
        <f t="shared" si="1"/>
        <v>-43</v>
      </c>
      <c r="L32" s="12"/>
      <c r="M32" s="18"/>
      <c r="N32" s="18"/>
      <c r="P32" s="12"/>
      <c r="Q32" s="12"/>
      <c r="U32" s="79"/>
      <c r="V32" s="79"/>
      <c r="Z32" s="79"/>
      <c r="AA32" s="79"/>
      <c r="AE32" s="79"/>
    </row>
    <row r="33" ht="15.75" customHeight="1">
      <c r="A33" s="47">
        <v>561.0</v>
      </c>
      <c r="B33" s="18">
        <v>15.0</v>
      </c>
      <c r="C33" s="12">
        <v>0.19444444444444445</v>
      </c>
      <c r="D33" s="13">
        <v>0.19583333333333333</v>
      </c>
      <c r="E33" s="64"/>
      <c r="F33" s="64">
        <v>561.0</v>
      </c>
      <c r="G33" s="18">
        <v>15.0</v>
      </c>
      <c r="H33" s="65">
        <v>0.2652777777777778</v>
      </c>
      <c r="I33" s="65">
        <v>0.26666666666666666</v>
      </c>
      <c r="J33" s="18"/>
      <c r="K33" s="12">
        <f t="shared" si="1"/>
        <v>0</v>
      </c>
      <c r="L33" s="12"/>
      <c r="M33" s="18"/>
      <c r="N33" s="18"/>
      <c r="P33" s="12"/>
      <c r="Q33" s="12"/>
      <c r="U33" s="79"/>
      <c r="V33" s="79"/>
      <c r="Z33" s="79"/>
      <c r="AA33" s="79"/>
      <c r="AE33" s="79"/>
    </row>
    <row r="34" ht="15.75" customHeight="1">
      <c r="A34" s="47">
        <v>522.0</v>
      </c>
      <c r="B34" s="18">
        <v>42.0</v>
      </c>
      <c r="C34" s="12">
        <v>0.3375</v>
      </c>
      <c r="D34" s="13">
        <v>0.3402777777777778</v>
      </c>
      <c r="E34" s="64"/>
      <c r="F34" s="64">
        <v>562.0</v>
      </c>
      <c r="G34" s="18">
        <v>42.0</v>
      </c>
      <c r="H34" s="65">
        <v>0.4083333333333333</v>
      </c>
      <c r="I34" s="65">
        <v>0.4097222222222222</v>
      </c>
      <c r="J34" s="18"/>
      <c r="K34" s="12">
        <f t="shared" si="1"/>
        <v>-40</v>
      </c>
      <c r="L34" s="12"/>
      <c r="M34" s="18"/>
      <c r="N34" s="18"/>
      <c r="P34" s="12"/>
      <c r="Q34" s="12"/>
      <c r="U34" s="79"/>
      <c r="V34" s="81"/>
      <c r="Z34" s="79"/>
      <c r="AA34" s="79"/>
      <c r="AE34" s="79"/>
    </row>
    <row r="35" ht="15.75" customHeight="1">
      <c r="A35" s="47">
        <v>515.0</v>
      </c>
      <c r="B35" s="18">
        <v>9.0</v>
      </c>
      <c r="C35" s="12">
        <v>0.15416666666666667</v>
      </c>
      <c r="D35" s="13">
        <v>0.15625</v>
      </c>
      <c r="E35" s="64"/>
      <c r="F35" s="64">
        <v>563.0</v>
      </c>
      <c r="G35" s="18">
        <v>9.0</v>
      </c>
      <c r="H35" s="65">
        <v>0.2375</v>
      </c>
      <c r="I35" s="65">
        <v>0.23819444444444443</v>
      </c>
      <c r="J35" s="18"/>
      <c r="K35" s="12">
        <f t="shared" si="1"/>
        <v>-48</v>
      </c>
      <c r="L35" s="12"/>
      <c r="M35" s="18"/>
      <c r="N35" s="18"/>
      <c r="P35" s="12"/>
      <c r="Q35" s="12"/>
      <c r="U35" s="79"/>
      <c r="V35" s="79"/>
      <c r="Z35" s="79"/>
      <c r="AA35" s="79"/>
      <c r="AE35" s="79"/>
    </row>
    <row r="36" ht="15.75" customHeight="1">
      <c r="A36" s="47">
        <v>519.0</v>
      </c>
      <c r="B36" s="18">
        <v>69.0</v>
      </c>
      <c r="C36" s="12">
        <v>0.4395833333333333</v>
      </c>
      <c r="D36" s="13">
        <v>0.4444444444444444</v>
      </c>
      <c r="E36" s="64"/>
      <c r="F36" s="64">
        <v>564.0</v>
      </c>
      <c r="G36" s="18">
        <v>69.0</v>
      </c>
      <c r="H36" s="65">
        <v>0.5194444444444445</v>
      </c>
      <c r="I36" s="65">
        <v>0.5222222222222223</v>
      </c>
      <c r="J36" s="18"/>
      <c r="K36" s="12">
        <f t="shared" si="1"/>
        <v>-45</v>
      </c>
      <c r="L36" s="12"/>
      <c r="M36" s="18"/>
      <c r="N36" s="18"/>
      <c r="P36" s="12"/>
      <c r="Q36" s="12"/>
      <c r="U36" s="79"/>
      <c r="V36" s="79"/>
      <c r="Z36" s="79"/>
      <c r="AA36" s="79"/>
      <c r="AE36" s="79"/>
    </row>
    <row r="37" ht="15.75" customHeight="1">
      <c r="A37" s="47">
        <v>722.0</v>
      </c>
      <c r="B37" s="18">
        <v>52.0</v>
      </c>
      <c r="C37" s="12">
        <v>0.3576388888888889</v>
      </c>
      <c r="D37" s="13">
        <v>0.36666666666666664</v>
      </c>
      <c r="E37" s="64"/>
      <c r="F37" s="64">
        <v>565.0</v>
      </c>
      <c r="G37" s="18">
        <v>52.0</v>
      </c>
      <c r="H37" s="65">
        <v>0.44722222222222224</v>
      </c>
      <c r="I37" s="65">
        <v>0.4486111111111111</v>
      </c>
      <c r="J37" s="18"/>
      <c r="K37" s="12">
        <f t="shared" si="1"/>
        <v>157</v>
      </c>
      <c r="L37" s="12"/>
      <c r="M37" s="18"/>
      <c r="N37" s="18"/>
      <c r="P37" s="12"/>
      <c r="Q37" s="12"/>
      <c r="U37" s="79"/>
      <c r="V37" s="79"/>
      <c r="Z37" s="79"/>
      <c r="AA37" s="79"/>
      <c r="AE37" s="79"/>
    </row>
    <row r="38" ht="15.75" customHeight="1">
      <c r="A38" s="47">
        <v>655.0</v>
      </c>
      <c r="B38" s="18">
        <v>19.0</v>
      </c>
      <c r="C38" s="12">
        <v>0.23194444444444445</v>
      </c>
      <c r="D38" s="13">
        <v>0.23819444444444443</v>
      </c>
      <c r="E38" s="64"/>
      <c r="F38" s="64">
        <v>567.0</v>
      </c>
      <c r="G38" s="18">
        <v>19.0</v>
      </c>
      <c r="H38" s="65">
        <v>0.31319444444444444</v>
      </c>
      <c r="I38" s="65">
        <v>0.3138888888888889</v>
      </c>
      <c r="J38" s="18"/>
      <c r="K38" s="12">
        <f t="shared" si="1"/>
        <v>88</v>
      </c>
      <c r="L38" s="12"/>
      <c r="M38" s="18"/>
      <c r="N38" s="18"/>
      <c r="P38" s="12"/>
      <c r="Q38" s="12"/>
      <c r="U38" s="79"/>
      <c r="V38" s="79"/>
      <c r="Z38" s="79"/>
      <c r="AA38" s="79"/>
      <c r="AE38" s="79"/>
    </row>
    <row r="39" ht="15.75" customHeight="1">
      <c r="A39" s="47">
        <v>730.0</v>
      </c>
      <c r="B39" s="18">
        <v>74.0</v>
      </c>
      <c r="C39" s="12">
        <v>0.44583333333333336</v>
      </c>
      <c r="D39" s="13">
        <v>0.4486111111111111</v>
      </c>
      <c r="E39" s="64"/>
      <c r="F39" s="64">
        <v>569.0</v>
      </c>
      <c r="G39" s="18">
        <v>74.0</v>
      </c>
      <c r="H39" s="65">
        <v>0.5333333333333333</v>
      </c>
      <c r="I39" s="65">
        <v>0.5340277777777778</v>
      </c>
      <c r="J39" s="18"/>
      <c r="K39" s="12">
        <f t="shared" si="1"/>
        <v>161</v>
      </c>
      <c r="L39" s="12"/>
      <c r="M39" s="18"/>
      <c r="N39" s="18"/>
      <c r="P39" s="12"/>
      <c r="Q39" s="12"/>
      <c r="U39" s="79"/>
      <c r="V39" s="79"/>
      <c r="Z39" s="79"/>
      <c r="AA39" s="79"/>
      <c r="AE39" s="79"/>
    </row>
    <row r="40" ht="15.75" customHeight="1">
      <c r="A40" s="47">
        <v>525.0</v>
      </c>
      <c r="B40" s="18">
        <v>102.0</v>
      </c>
      <c r="C40" s="12">
        <v>0.4875</v>
      </c>
      <c r="D40" s="13">
        <v>0.4930555555555556</v>
      </c>
      <c r="E40" s="64"/>
      <c r="F40" s="64">
        <v>571.0</v>
      </c>
      <c r="G40" s="18">
        <v>102.0</v>
      </c>
      <c r="H40" s="65">
        <v>0.08055555555555556</v>
      </c>
      <c r="I40" s="65">
        <v>0.08333333333333333</v>
      </c>
      <c r="J40" s="18"/>
      <c r="K40" s="12">
        <f t="shared" si="1"/>
        <v>-46</v>
      </c>
      <c r="L40" s="12"/>
      <c r="M40" s="18"/>
      <c r="N40" s="18"/>
      <c r="P40" s="12"/>
      <c r="Q40" s="12"/>
    </row>
    <row r="41" ht="15.75" customHeight="1">
      <c r="A41" s="47">
        <v>727.0</v>
      </c>
      <c r="B41" s="18">
        <v>64.0</v>
      </c>
      <c r="C41" s="12">
        <v>0.4201388888888889</v>
      </c>
      <c r="D41" s="13">
        <v>0.42569444444444443</v>
      </c>
      <c r="E41" s="64"/>
      <c r="F41" s="64">
        <v>575.0</v>
      </c>
      <c r="G41" s="18">
        <v>64.0</v>
      </c>
      <c r="H41" s="65">
        <v>0.5020833333333333</v>
      </c>
      <c r="I41" s="65">
        <v>0.5048611111111111</v>
      </c>
      <c r="J41" s="18"/>
      <c r="K41" s="12">
        <f t="shared" si="1"/>
        <v>152</v>
      </c>
      <c r="L41" s="12"/>
      <c r="M41" s="18"/>
      <c r="N41" s="18"/>
      <c r="P41" s="12"/>
      <c r="Q41" s="12"/>
      <c r="U41" s="79"/>
      <c r="V41" s="79"/>
      <c r="Z41" s="79"/>
      <c r="AA41" s="79"/>
      <c r="AE41" s="79"/>
    </row>
    <row r="42" ht="15.75" customHeight="1">
      <c r="A42" s="47">
        <v>683.0</v>
      </c>
      <c r="B42" s="18">
        <v>76.0</v>
      </c>
      <c r="C42" s="12">
        <v>0.45069444444444445</v>
      </c>
      <c r="D42" s="13">
        <v>0.4625</v>
      </c>
      <c r="E42" s="64"/>
      <c r="F42" s="64">
        <v>577.0</v>
      </c>
      <c r="G42" s="18">
        <v>76.0</v>
      </c>
      <c r="H42" s="65">
        <v>0.5347222222222222</v>
      </c>
      <c r="I42" s="65">
        <v>0.5354166666666667</v>
      </c>
      <c r="J42" s="18"/>
      <c r="K42" s="12">
        <f t="shared" si="1"/>
        <v>106</v>
      </c>
      <c r="L42" s="12"/>
      <c r="M42" s="18"/>
      <c r="N42" s="18"/>
      <c r="P42" s="12"/>
      <c r="Q42" s="12"/>
      <c r="U42" s="79"/>
      <c r="V42" s="79"/>
      <c r="Z42" s="79"/>
      <c r="AA42" s="79"/>
      <c r="AE42" s="79"/>
    </row>
    <row r="43" ht="15.75" customHeight="1">
      <c r="A43" s="47">
        <v>571.0</v>
      </c>
      <c r="B43" s="18">
        <v>104.0</v>
      </c>
      <c r="C43" s="12">
        <v>0.49027777777777776</v>
      </c>
      <c r="D43" s="13">
        <v>0.4986111111111111</v>
      </c>
      <c r="E43" s="64"/>
      <c r="F43" s="64">
        <v>580.0</v>
      </c>
      <c r="G43" s="18">
        <v>104.0</v>
      </c>
      <c r="H43" s="65">
        <v>0.08125</v>
      </c>
      <c r="I43" s="65">
        <v>0.08611111111111111</v>
      </c>
      <c r="J43" s="18"/>
      <c r="K43" s="12">
        <f t="shared" si="1"/>
        <v>-9</v>
      </c>
      <c r="L43" s="12"/>
      <c r="M43" s="18"/>
      <c r="N43" s="18"/>
      <c r="P43" s="12"/>
      <c r="Q43" s="12"/>
      <c r="U43" s="79"/>
      <c r="V43" s="79"/>
      <c r="Z43" s="79"/>
      <c r="AA43" s="79"/>
      <c r="AE43" s="79"/>
    </row>
    <row r="44" ht="15.75" customHeight="1">
      <c r="A44" s="47">
        <v>534.0</v>
      </c>
      <c r="B44" s="18">
        <v>100.0</v>
      </c>
      <c r="C44" s="12">
        <v>0.4847222222222222</v>
      </c>
      <c r="D44" s="13">
        <v>0.4965277777777778</v>
      </c>
      <c r="E44" s="64"/>
      <c r="F44" s="64">
        <v>582.0</v>
      </c>
      <c r="G44" s="18">
        <v>100.0</v>
      </c>
      <c r="H44" s="65">
        <v>0.07916666666666666</v>
      </c>
      <c r="I44" s="65">
        <v>0.08194444444444444</v>
      </c>
      <c r="J44" s="18"/>
      <c r="K44" s="12">
        <f t="shared" si="1"/>
        <v>-48</v>
      </c>
      <c r="L44" s="12"/>
      <c r="M44" s="18"/>
      <c r="N44" s="18"/>
      <c r="P44" s="12"/>
      <c r="Q44" s="12"/>
      <c r="U44" s="79"/>
      <c r="V44" s="79"/>
      <c r="Z44" s="79"/>
      <c r="AA44" s="79"/>
      <c r="AE44" s="79"/>
    </row>
    <row r="45" ht="15.75" customHeight="1">
      <c r="A45" s="47">
        <v>546.0</v>
      </c>
      <c r="B45" s="18">
        <v>50.0</v>
      </c>
      <c r="C45" s="12">
        <v>0.35347222222222224</v>
      </c>
      <c r="D45" s="13">
        <v>0.35833333333333334</v>
      </c>
      <c r="E45" s="64"/>
      <c r="F45" s="64">
        <v>583.0</v>
      </c>
      <c r="G45" s="18">
        <v>50.0</v>
      </c>
      <c r="H45" s="65">
        <v>0.4423611111111111</v>
      </c>
      <c r="I45" s="65">
        <v>0.44930555555555557</v>
      </c>
      <c r="J45" s="18"/>
      <c r="K45" s="12">
        <f t="shared" si="1"/>
        <v>-37</v>
      </c>
      <c r="L45" s="12"/>
      <c r="M45" s="18"/>
      <c r="N45" s="18"/>
      <c r="P45" s="12"/>
      <c r="Q45" s="12"/>
    </row>
    <row r="46" ht="15.75" customHeight="1">
      <c r="A46" s="47">
        <v>713.0</v>
      </c>
      <c r="B46" s="18">
        <v>44.0</v>
      </c>
      <c r="C46" s="12">
        <v>0.34305555555555556</v>
      </c>
      <c r="D46" s="13">
        <v>0.34652777777777777</v>
      </c>
      <c r="E46" s="64"/>
      <c r="F46" s="64">
        <v>585.0</v>
      </c>
      <c r="G46" s="18">
        <v>44.0</v>
      </c>
      <c r="H46" s="65">
        <v>0.4201388888888889</v>
      </c>
      <c r="I46" s="65">
        <v>0.42083333333333334</v>
      </c>
      <c r="J46" s="18"/>
      <c r="K46" s="12">
        <f t="shared" si="1"/>
        <v>128</v>
      </c>
      <c r="L46" s="12"/>
      <c r="M46" s="18"/>
      <c r="N46" s="18"/>
      <c r="P46" s="12"/>
      <c r="Q46" s="12"/>
      <c r="U46" s="79"/>
      <c r="V46" s="79"/>
      <c r="Z46" s="79"/>
      <c r="AA46" s="79"/>
      <c r="AE46" s="79"/>
    </row>
    <row r="47" ht="15.75" customHeight="1">
      <c r="A47" s="47">
        <v>644.0</v>
      </c>
      <c r="B47" s="18">
        <v>22.0</v>
      </c>
      <c r="C47" s="12">
        <v>0.25</v>
      </c>
      <c r="D47" s="13">
        <v>0.2534722222222222</v>
      </c>
      <c r="E47" s="64"/>
      <c r="F47" s="64">
        <v>591.0</v>
      </c>
      <c r="G47" s="18">
        <v>22.0</v>
      </c>
      <c r="H47" s="65">
        <v>0.32708333333333334</v>
      </c>
      <c r="I47" s="65">
        <v>0.3277777777777778</v>
      </c>
      <c r="J47" s="18"/>
      <c r="K47" s="12">
        <f t="shared" si="1"/>
        <v>53</v>
      </c>
      <c r="L47" s="12"/>
      <c r="M47" s="18"/>
      <c r="N47" s="18"/>
      <c r="P47" s="12"/>
      <c r="Q47" s="12"/>
      <c r="U47" s="79"/>
      <c r="V47" s="79"/>
      <c r="Z47" s="79"/>
      <c r="AA47" s="79"/>
      <c r="AE47" s="79"/>
    </row>
    <row r="48" ht="15.75" customHeight="1">
      <c r="A48" s="47">
        <v>657.0</v>
      </c>
      <c r="B48" s="18">
        <v>115.0</v>
      </c>
      <c r="C48" s="12">
        <v>0.5236111111111111</v>
      </c>
      <c r="D48" s="13">
        <v>0.5347222222222222</v>
      </c>
      <c r="E48" s="64"/>
      <c r="F48" s="64">
        <v>592.0</v>
      </c>
      <c r="G48" s="18">
        <v>115.0</v>
      </c>
      <c r="H48" s="65">
        <v>0.11805555555555555</v>
      </c>
      <c r="I48" s="65">
        <v>0.12013888888888889</v>
      </c>
      <c r="J48" s="18"/>
      <c r="K48" s="12">
        <f t="shared" si="1"/>
        <v>65</v>
      </c>
      <c r="L48" s="12"/>
      <c r="M48" s="18"/>
      <c r="N48" s="18"/>
      <c r="P48" s="12"/>
      <c r="Q48" s="12"/>
      <c r="U48" s="79"/>
      <c r="V48" s="79"/>
      <c r="Z48" s="79"/>
      <c r="AA48" s="79"/>
      <c r="AE48" s="79"/>
    </row>
    <row r="49" ht="15.75" customHeight="1">
      <c r="A49" s="47">
        <v>528.0</v>
      </c>
      <c r="B49" s="18">
        <v>97.0</v>
      </c>
      <c r="C49" s="12">
        <v>0.48333333333333334</v>
      </c>
      <c r="D49" s="13">
        <v>0.4875</v>
      </c>
      <c r="E49" s="64"/>
      <c r="F49" s="64">
        <v>595.0</v>
      </c>
      <c r="G49" s="18">
        <v>97.0</v>
      </c>
      <c r="H49" s="65">
        <v>0.07708333333333334</v>
      </c>
      <c r="I49" s="65">
        <v>0.07847222222222222</v>
      </c>
      <c r="J49" s="18"/>
      <c r="K49" s="12">
        <f t="shared" si="1"/>
        <v>-67</v>
      </c>
      <c r="L49" s="12"/>
      <c r="M49" s="18"/>
      <c r="N49" s="18"/>
      <c r="P49" s="12"/>
      <c r="Q49" s="12"/>
      <c r="U49" s="79"/>
      <c r="V49" s="79"/>
      <c r="Z49" s="79"/>
      <c r="AA49" s="79"/>
      <c r="AE49" s="79"/>
    </row>
    <row r="50" ht="15.75" customHeight="1">
      <c r="A50" s="47">
        <v>596.0</v>
      </c>
      <c r="B50" s="18">
        <v>2.0</v>
      </c>
      <c r="C50" s="12">
        <v>0.05694444444444444</v>
      </c>
      <c r="D50" s="13">
        <v>0.06041666666666667</v>
      </c>
      <c r="E50" s="64"/>
      <c r="F50" s="64">
        <v>596.0</v>
      </c>
      <c r="G50" s="18">
        <v>2.0</v>
      </c>
      <c r="H50" s="65">
        <v>0.11875</v>
      </c>
      <c r="I50" s="65">
        <v>0.11944444444444445</v>
      </c>
      <c r="J50" s="18"/>
      <c r="K50" s="12">
        <f t="shared" si="1"/>
        <v>0</v>
      </c>
      <c r="L50" s="12"/>
      <c r="M50" s="18"/>
      <c r="N50" s="18"/>
      <c r="P50" s="12"/>
      <c r="Q50" s="12"/>
      <c r="U50" s="79"/>
      <c r="V50" s="79"/>
      <c r="Z50" s="79"/>
      <c r="AA50" s="79"/>
      <c r="AE50" s="79"/>
    </row>
    <row r="51" ht="15.75" customHeight="1">
      <c r="A51" s="47">
        <v>598.0</v>
      </c>
      <c r="B51" s="18">
        <v>106.0</v>
      </c>
      <c r="C51" s="12">
        <v>0.4965277777777778</v>
      </c>
      <c r="D51" s="13">
        <v>0.5006944444444444</v>
      </c>
      <c r="E51" s="64"/>
      <c r="F51" s="64">
        <v>598.0</v>
      </c>
      <c r="G51" s="18">
        <v>106.0</v>
      </c>
      <c r="H51" s="65">
        <v>0.08958333333333333</v>
      </c>
      <c r="I51" s="65">
        <v>0.09166666666666666</v>
      </c>
      <c r="J51" s="18"/>
      <c r="K51" s="12">
        <f t="shared" si="1"/>
        <v>0</v>
      </c>
      <c r="L51" s="12"/>
      <c r="M51" s="18"/>
      <c r="N51" s="18"/>
      <c r="P51" s="12"/>
      <c r="Q51" s="12"/>
      <c r="U51" s="79"/>
      <c r="V51" s="79"/>
      <c r="Z51" s="79"/>
      <c r="AA51" s="79"/>
      <c r="AE51" s="79"/>
    </row>
    <row r="52" ht="15.75" customHeight="1">
      <c r="A52" s="47">
        <v>731.0</v>
      </c>
      <c r="B52" s="18">
        <v>12.0</v>
      </c>
      <c r="C52" s="12">
        <v>0.1798611111111111</v>
      </c>
      <c r="D52" s="13">
        <v>0.18263888888888888</v>
      </c>
      <c r="E52" s="64"/>
      <c r="F52" s="64">
        <v>601.0</v>
      </c>
      <c r="G52" s="18">
        <v>12.0</v>
      </c>
      <c r="H52" s="65">
        <v>0.2513888888888889</v>
      </c>
      <c r="I52" s="65">
        <v>0.2513888888888889</v>
      </c>
      <c r="J52" s="18"/>
      <c r="K52" s="12">
        <f t="shared" si="1"/>
        <v>130</v>
      </c>
      <c r="L52" s="12"/>
      <c r="M52" s="18"/>
      <c r="N52" s="18"/>
      <c r="P52" s="12"/>
      <c r="Q52" s="12"/>
      <c r="U52" s="79"/>
      <c r="V52" s="79"/>
      <c r="Z52" s="79"/>
      <c r="AA52" s="79"/>
      <c r="AE52" s="79"/>
    </row>
    <row r="53" ht="15.75" customHeight="1">
      <c r="A53" s="47">
        <v>601.0</v>
      </c>
      <c r="B53" s="18">
        <v>13.0</v>
      </c>
      <c r="C53" s="12">
        <v>0.1840277777777778</v>
      </c>
      <c r="D53" s="13">
        <v>0.18888888888888888</v>
      </c>
      <c r="E53" s="64"/>
      <c r="F53" s="64">
        <v>602.0</v>
      </c>
      <c r="G53" s="18">
        <v>13.0</v>
      </c>
      <c r="H53" s="65">
        <v>0.2611111111111111</v>
      </c>
      <c r="I53" s="65">
        <v>0.25763888888888886</v>
      </c>
      <c r="J53" s="18"/>
      <c r="K53" s="12">
        <f t="shared" si="1"/>
        <v>-1</v>
      </c>
      <c r="L53" s="12"/>
      <c r="M53" s="18"/>
      <c r="N53" s="18"/>
      <c r="P53" s="12"/>
      <c r="Q53" s="12"/>
      <c r="U53" s="79"/>
      <c r="V53" s="79"/>
      <c r="Z53" s="79"/>
      <c r="AA53" s="79"/>
      <c r="AE53" s="79"/>
    </row>
    <row r="54" ht="15.75" customHeight="1">
      <c r="A54" s="47">
        <v>503.0</v>
      </c>
      <c r="B54" s="18">
        <v>6.0</v>
      </c>
      <c r="C54" s="12">
        <v>0.12361111111111112</v>
      </c>
      <c r="D54" s="13">
        <v>0.12638888888888888</v>
      </c>
      <c r="E54" s="64"/>
      <c r="F54" s="64">
        <v>603.0</v>
      </c>
      <c r="G54" s="18">
        <v>6.0</v>
      </c>
      <c r="H54" s="65">
        <v>0.17777777777777778</v>
      </c>
      <c r="I54" s="65">
        <v>0.17777777777777778</v>
      </c>
      <c r="J54" s="18"/>
      <c r="K54" s="12">
        <f t="shared" si="1"/>
        <v>-100</v>
      </c>
      <c r="L54" s="12"/>
      <c r="M54" s="18"/>
      <c r="N54" s="18"/>
      <c r="P54" s="12"/>
      <c r="Q54" s="12"/>
      <c r="U54" s="79"/>
      <c r="V54" s="79"/>
      <c r="Z54" s="79"/>
      <c r="AA54" s="79"/>
      <c r="AE54" s="79"/>
    </row>
    <row r="55" ht="15.75" customHeight="1">
      <c r="A55" s="47">
        <v>604.0</v>
      </c>
      <c r="B55" s="18">
        <v>72.0</v>
      </c>
      <c r="C55" s="12">
        <v>0.4423611111111111</v>
      </c>
      <c r="D55" s="13">
        <v>0.44513888888888886</v>
      </c>
      <c r="E55" s="64"/>
      <c r="F55" s="64">
        <v>604.0</v>
      </c>
      <c r="G55" s="18">
        <v>72.0</v>
      </c>
      <c r="H55" s="65">
        <v>0.5305555555555556</v>
      </c>
      <c r="I55" s="65">
        <v>0.5319444444444444</v>
      </c>
      <c r="J55" s="18"/>
      <c r="K55" s="12">
        <f t="shared" si="1"/>
        <v>0</v>
      </c>
      <c r="L55" s="12"/>
      <c r="M55" s="18"/>
      <c r="N55" s="18"/>
      <c r="P55" s="12"/>
      <c r="Q55" s="12"/>
      <c r="U55" s="79"/>
      <c r="V55" s="79"/>
      <c r="Z55" s="79"/>
      <c r="AA55" s="79"/>
      <c r="AE55" s="79"/>
    </row>
    <row r="56" ht="15.75" customHeight="1">
      <c r="A56" s="47">
        <v>695.0</v>
      </c>
      <c r="B56" s="18">
        <v>94.0</v>
      </c>
      <c r="C56" s="12">
        <v>0.47708333333333336</v>
      </c>
      <c r="D56" s="13">
        <v>0.4798611111111111</v>
      </c>
      <c r="E56" s="64"/>
      <c r="F56" s="64">
        <v>605.0</v>
      </c>
      <c r="G56" s="18">
        <v>94.0</v>
      </c>
      <c r="H56" s="65">
        <v>0.06527777777777778</v>
      </c>
      <c r="I56" s="65">
        <v>0.06666666666666667</v>
      </c>
      <c r="J56" s="18"/>
      <c r="K56" s="12">
        <f t="shared" si="1"/>
        <v>90</v>
      </c>
      <c r="L56" s="12"/>
      <c r="M56" s="18"/>
      <c r="N56" s="18"/>
      <c r="P56" s="12"/>
      <c r="Q56" s="12"/>
      <c r="U56" s="79"/>
      <c r="V56" s="79"/>
      <c r="Z56" s="79"/>
      <c r="AA56" s="79"/>
      <c r="AE56" s="79"/>
    </row>
    <row r="57" ht="15.75" customHeight="1">
      <c r="A57" s="47">
        <v>580.0</v>
      </c>
      <c r="B57" s="18">
        <v>101.0</v>
      </c>
      <c r="C57" s="12">
        <v>0.4847222222222222</v>
      </c>
      <c r="D57" s="13">
        <v>0.4965277777777778</v>
      </c>
      <c r="E57" s="64"/>
      <c r="F57" s="64">
        <v>606.0</v>
      </c>
      <c r="G57" s="18">
        <v>101.0</v>
      </c>
      <c r="H57" s="65">
        <v>0.07916666666666666</v>
      </c>
      <c r="I57" s="65">
        <v>0.08194444444444444</v>
      </c>
      <c r="J57" s="18"/>
      <c r="K57" s="12">
        <f t="shared" si="1"/>
        <v>-26</v>
      </c>
      <c r="L57" s="12"/>
      <c r="M57" s="18"/>
      <c r="N57" s="18"/>
      <c r="P57" s="12"/>
      <c r="Q57" s="12"/>
      <c r="U57" s="79"/>
      <c r="V57" s="79"/>
      <c r="Z57" s="79"/>
      <c r="AA57" s="79"/>
      <c r="AE57" s="79"/>
    </row>
    <row r="58" ht="15.75" customHeight="1">
      <c r="A58" s="47">
        <v>509.0</v>
      </c>
      <c r="B58" s="18">
        <v>81.0</v>
      </c>
      <c r="C58" s="12">
        <v>0.45555555555555555</v>
      </c>
      <c r="D58" s="13">
        <v>0.4583333333333333</v>
      </c>
      <c r="E58" s="64"/>
      <c r="F58" s="64">
        <v>607.0</v>
      </c>
      <c r="G58" s="18">
        <v>81.0</v>
      </c>
      <c r="H58" s="65">
        <v>0.04513888888888889</v>
      </c>
      <c r="I58" s="65">
        <v>0.04583333333333333</v>
      </c>
      <c r="J58" s="18"/>
      <c r="K58" s="12">
        <f t="shared" si="1"/>
        <v>-98</v>
      </c>
      <c r="L58" s="12"/>
      <c r="M58" s="18"/>
      <c r="N58" s="18"/>
      <c r="P58" s="12"/>
      <c r="Q58" s="12"/>
      <c r="U58" s="79"/>
      <c r="V58" s="79"/>
      <c r="Z58" s="79"/>
      <c r="AA58" s="79"/>
      <c r="AE58" s="79"/>
    </row>
    <row r="59" ht="15.75" customHeight="1">
      <c r="A59" s="47">
        <v>697.0</v>
      </c>
      <c r="B59" s="18">
        <v>26.0</v>
      </c>
      <c r="C59" s="12">
        <v>0.26805555555555555</v>
      </c>
      <c r="D59" s="13">
        <v>0.2798611111111111</v>
      </c>
      <c r="E59" s="64"/>
      <c r="F59" s="64">
        <v>611.0</v>
      </c>
      <c r="G59" s="18">
        <v>26.0</v>
      </c>
      <c r="H59" s="65">
        <v>0.35555555555555557</v>
      </c>
      <c r="I59" s="65">
        <v>0.35555555555555557</v>
      </c>
      <c r="J59" s="18"/>
      <c r="K59" s="12">
        <f t="shared" si="1"/>
        <v>86</v>
      </c>
      <c r="L59" s="12"/>
      <c r="M59" s="18"/>
      <c r="N59" s="18"/>
      <c r="P59" s="12"/>
      <c r="Q59" s="12"/>
      <c r="U59" s="79"/>
      <c r="V59" s="79"/>
      <c r="Z59" s="79"/>
      <c r="AA59" s="79"/>
      <c r="AE59" s="79"/>
    </row>
    <row r="60" ht="15.75" customHeight="1">
      <c r="A60" s="47">
        <v>612.0</v>
      </c>
      <c r="B60" s="18">
        <v>121.0</v>
      </c>
      <c r="C60" s="12">
        <v>0.05486111111111111</v>
      </c>
      <c r="D60" s="13">
        <v>0.05625</v>
      </c>
      <c r="E60" s="64"/>
      <c r="F60" s="64">
        <v>612.0</v>
      </c>
      <c r="G60" s="18">
        <v>121.0</v>
      </c>
      <c r="H60" s="65">
        <v>0.1375</v>
      </c>
      <c r="I60" s="65">
        <v>0.1388888888888889</v>
      </c>
      <c r="J60" s="18"/>
      <c r="K60" s="12">
        <f t="shared" si="1"/>
        <v>0</v>
      </c>
      <c r="L60" s="12"/>
      <c r="M60" s="18"/>
      <c r="N60" s="18"/>
      <c r="P60" s="12"/>
      <c r="Q60" s="12"/>
      <c r="U60" s="79"/>
      <c r="V60" s="79"/>
      <c r="Z60" s="79"/>
      <c r="AA60" s="79"/>
      <c r="AE60" s="79"/>
    </row>
    <row r="61" ht="15.75" customHeight="1">
      <c r="A61" s="47">
        <v>564.0</v>
      </c>
      <c r="B61" s="18">
        <v>63.0</v>
      </c>
      <c r="C61" s="12">
        <v>0.41805555555555557</v>
      </c>
      <c r="D61" s="13">
        <v>0.4284722222222222</v>
      </c>
      <c r="E61" s="64"/>
      <c r="F61" s="64">
        <v>617.0</v>
      </c>
      <c r="G61" s="18">
        <v>63.0</v>
      </c>
      <c r="H61" s="65">
        <v>0.5020833333333333</v>
      </c>
      <c r="I61" s="65">
        <v>0.5048611111111111</v>
      </c>
      <c r="J61" s="18"/>
      <c r="K61" s="12">
        <f t="shared" si="1"/>
        <v>-53</v>
      </c>
      <c r="L61" s="12"/>
      <c r="M61" s="18"/>
      <c r="N61" s="18"/>
      <c r="P61" s="12"/>
      <c r="Q61" s="12"/>
      <c r="U61" s="79"/>
      <c r="V61" s="79"/>
      <c r="Z61" s="79"/>
      <c r="AA61" s="79"/>
      <c r="AE61" s="79"/>
    </row>
    <row r="62" ht="15.75" customHeight="1">
      <c r="A62" s="47">
        <v>602.0</v>
      </c>
      <c r="B62" s="18">
        <v>14.0</v>
      </c>
      <c r="C62" s="12">
        <v>0.19375</v>
      </c>
      <c r="D62" s="13">
        <v>0.19583333333333333</v>
      </c>
      <c r="E62" s="64"/>
      <c r="F62" s="64">
        <v>618.0</v>
      </c>
      <c r="G62" s="18">
        <v>14.0</v>
      </c>
      <c r="H62" s="65">
        <v>0.26180555555555557</v>
      </c>
      <c r="I62" s="65">
        <v>0.2652777777777778</v>
      </c>
      <c r="J62" s="18"/>
      <c r="K62" s="12">
        <f t="shared" si="1"/>
        <v>-16</v>
      </c>
      <c r="L62" s="12"/>
      <c r="M62" s="18"/>
      <c r="N62" s="18"/>
      <c r="P62" s="12"/>
      <c r="Q62" s="12"/>
      <c r="U62" s="79"/>
      <c r="V62" s="79"/>
      <c r="Z62" s="79"/>
      <c r="AA62" s="79"/>
      <c r="AE62" s="79"/>
    </row>
    <row r="63" ht="15.75" customHeight="1">
      <c r="A63" s="47">
        <v>513.0</v>
      </c>
      <c r="B63" s="18">
        <v>4.0</v>
      </c>
      <c r="C63" s="12">
        <v>0.10625</v>
      </c>
      <c r="D63" s="13">
        <v>0.11041666666666666</v>
      </c>
      <c r="E63" s="64"/>
      <c r="F63" s="64">
        <v>620.0</v>
      </c>
      <c r="G63" s="18">
        <v>4.0</v>
      </c>
      <c r="H63" s="65">
        <v>0.17291666666666666</v>
      </c>
      <c r="I63" s="65">
        <v>0.1736111111111111</v>
      </c>
      <c r="J63" s="18"/>
      <c r="K63" s="12">
        <f t="shared" si="1"/>
        <v>-107</v>
      </c>
      <c r="L63" s="12"/>
      <c r="M63" s="18"/>
      <c r="N63" s="18"/>
      <c r="P63" s="12"/>
      <c r="Q63" s="12"/>
      <c r="U63" s="79"/>
      <c r="V63" s="79"/>
      <c r="Z63" s="79"/>
      <c r="AA63" s="79"/>
      <c r="AE63" s="79"/>
    </row>
    <row r="64" ht="15.75" customHeight="1">
      <c r="A64" s="47">
        <v>518.0</v>
      </c>
      <c r="B64" s="18">
        <v>87.0</v>
      </c>
      <c r="C64" s="12">
        <v>0.46319444444444446</v>
      </c>
      <c r="D64" s="13">
        <v>0.4701388888888889</v>
      </c>
      <c r="E64" s="64"/>
      <c r="F64" s="64">
        <v>625.0</v>
      </c>
      <c r="G64" s="18">
        <v>87.0</v>
      </c>
      <c r="H64" s="65">
        <v>0.05</v>
      </c>
      <c r="I64" s="65">
        <v>0.05625</v>
      </c>
      <c r="J64" s="18"/>
      <c r="K64" s="12">
        <f t="shared" si="1"/>
        <v>-107</v>
      </c>
      <c r="L64" s="12"/>
      <c r="M64" s="18"/>
      <c r="N64" s="18"/>
      <c r="P64" s="12"/>
      <c r="Q64" s="12"/>
      <c r="U64" s="79"/>
      <c r="V64" s="79"/>
      <c r="Z64" s="79"/>
      <c r="AA64" s="79"/>
      <c r="AE64" s="79"/>
    </row>
    <row r="65" ht="15.75" customHeight="1">
      <c r="A65" s="47">
        <v>569.0</v>
      </c>
      <c r="B65" s="18">
        <v>71.0</v>
      </c>
      <c r="C65" s="12">
        <v>0.4395833333333333</v>
      </c>
      <c r="D65" s="13">
        <v>0.44305555555555554</v>
      </c>
      <c r="E65" s="64"/>
      <c r="F65" s="64">
        <v>626.0</v>
      </c>
      <c r="G65" s="18">
        <v>71.0</v>
      </c>
      <c r="H65" s="65">
        <v>0.5305555555555556</v>
      </c>
      <c r="I65" s="65">
        <v>0.53125</v>
      </c>
      <c r="J65" s="18"/>
      <c r="K65" s="12">
        <f t="shared" si="1"/>
        <v>-57</v>
      </c>
      <c r="L65" s="12"/>
      <c r="M65" s="18"/>
      <c r="N65" s="18"/>
      <c r="P65" s="12"/>
      <c r="Q65" s="12"/>
      <c r="U65" s="79"/>
      <c r="V65" s="79"/>
      <c r="Z65" s="79"/>
      <c r="AA65" s="79"/>
      <c r="AE65" s="79"/>
    </row>
    <row r="66" ht="15.75" customHeight="1">
      <c r="A66" s="47">
        <v>629.0</v>
      </c>
      <c r="B66" s="18">
        <v>17.0</v>
      </c>
      <c r="C66" s="12">
        <v>0.20972222222222223</v>
      </c>
      <c r="D66" s="13">
        <v>0.21736111111111112</v>
      </c>
      <c r="E66" s="64"/>
      <c r="F66" s="64">
        <v>629.0</v>
      </c>
      <c r="G66" s="18">
        <v>17.0</v>
      </c>
      <c r="H66" s="65">
        <v>0.2861111111111111</v>
      </c>
      <c r="I66" s="65">
        <v>0.2861111111111111</v>
      </c>
      <c r="J66" s="18"/>
      <c r="K66" s="12">
        <f t="shared" si="1"/>
        <v>0</v>
      </c>
      <c r="L66" s="12"/>
      <c r="M66" s="18"/>
      <c r="N66" s="18"/>
      <c r="P66" s="12"/>
      <c r="Q66" s="12"/>
      <c r="U66" s="79"/>
      <c r="V66" s="79"/>
      <c r="Z66" s="79"/>
      <c r="AA66" s="79"/>
      <c r="AE66" s="79"/>
    </row>
    <row r="67" ht="15.75" customHeight="1">
      <c r="A67" s="47">
        <v>734.0</v>
      </c>
      <c r="B67" s="18">
        <v>77.0</v>
      </c>
      <c r="C67" s="12">
        <v>0.45208333333333334</v>
      </c>
      <c r="D67" s="13">
        <v>0.4597222222222222</v>
      </c>
      <c r="E67" s="64"/>
      <c r="F67" s="64">
        <v>631.0</v>
      </c>
      <c r="G67" s="18">
        <v>77.0</v>
      </c>
      <c r="H67" s="65">
        <v>0.5347222222222222</v>
      </c>
      <c r="I67" s="65">
        <v>0.5361111111111111</v>
      </c>
      <c r="J67" s="18"/>
      <c r="K67" s="12">
        <f t="shared" si="1"/>
        <v>103</v>
      </c>
      <c r="L67" s="12"/>
      <c r="M67" s="18"/>
      <c r="N67" s="18"/>
      <c r="P67" s="12"/>
      <c r="Q67" s="12"/>
      <c r="U67" s="79"/>
      <c r="V67" s="79"/>
      <c r="Z67" s="79"/>
      <c r="AA67" s="79"/>
      <c r="AE67" s="79"/>
    </row>
    <row r="68" ht="15.75" customHeight="1">
      <c r="A68" s="47">
        <v>732.0</v>
      </c>
      <c r="B68" s="18">
        <v>110.0</v>
      </c>
      <c r="C68" s="12">
        <v>0.5131944444444444</v>
      </c>
      <c r="D68" s="13">
        <v>0.5194444444444445</v>
      </c>
      <c r="E68" s="64"/>
      <c r="F68" s="64">
        <v>632.0</v>
      </c>
      <c r="G68" s="18">
        <v>110.0</v>
      </c>
      <c r="H68" s="65">
        <v>0.10625</v>
      </c>
      <c r="I68" s="65">
        <v>0.10902777777777778</v>
      </c>
      <c r="J68" s="18"/>
      <c r="K68" s="12">
        <f t="shared" si="1"/>
        <v>100</v>
      </c>
      <c r="L68" s="12"/>
      <c r="M68" s="18"/>
      <c r="N68" s="18"/>
      <c r="P68" s="12"/>
      <c r="Q68" s="12"/>
      <c r="U68" s="79"/>
      <c r="V68" s="79"/>
      <c r="Z68" s="79"/>
      <c r="AA68" s="79"/>
      <c r="AE68" s="79"/>
    </row>
    <row r="69" ht="15.75" customHeight="1">
      <c r="A69" s="47">
        <v>583.0</v>
      </c>
      <c r="B69" s="18">
        <v>46.0</v>
      </c>
      <c r="C69" s="12">
        <v>0.34444444444444444</v>
      </c>
      <c r="D69" s="13">
        <v>0.3527777777777778</v>
      </c>
      <c r="E69" s="64"/>
      <c r="F69" s="64">
        <v>637.0</v>
      </c>
      <c r="G69" s="18">
        <v>46.0</v>
      </c>
      <c r="H69" s="65">
        <v>0.42291666666666666</v>
      </c>
      <c r="I69" s="65">
        <v>0.4236111111111111</v>
      </c>
      <c r="J69" s="18"/>
      <c r="K69" s="12">
        <f t="shared" si="1"/>
        <v>-54</v>
      </c>
      <c r="L69" s="12"/>
      <c r="M69" s="18"/>
      <c r="N69" s="18"/>
      <c r="P69" s="12"/>
      <c r="Q69" s="12"/>
    </row>
    <row r="70" ht="15.75" customHeight="1">
      <c r="A70" s="47">
        <v>638.0</v>
      </c>
      <c r="B70" s="18">
        <v>62.0</v>
      </c>
      <c r="C70" s="12">
        <v>0.4076388888888889</v>
      </c>
      <c r="D70" s="13">
        <v>0.40902777777777777</v>
      </c>
      <c r="E70" s="64"/>
      <c r="F70" s="64">
        <v>638.0</v>
      </c>
      <c r="G70" s="18">
        <v>62.0</v>
      </c>
      <c r="H70" s="65">
        <v>0.5020833333333333</v>
      </c>
      <c r="I70" s="65">
        <v>0.5034722222222222</v>
      </c>
      <c r="J70" s="18"/>
      <c r="K70" s="12">
        <f t="shared" si="1"/>
        <v>0</v>
      </c>
      <c r="L70" s="12"/>
      <c r="M70" s="18"/>
      <c r="N70" s="18"/>
      <c r="P70" s="12"/>
      <c r="Q70" s="12"/>
      <c r="U70" s="79"/>
      <c r="V70" s="79"/>
      <c r="Z70" s="79"/>
      <c r="AA70" s="79"/>
      <c r="AE70" s="79"/>
    </row>
    <row r="71" ht="15.75" customHeight="1">
      <c r="A71" s="47">
        <v>642.0</v>
      </c>
      <c r="B71" s="18">
        <v>43.0</v>
      </c>
      <c r="C71" s="12">
        <v>0.33819444444444446</v>
      </c>
      <c r="D71" s="13">
        <v>0.34375</v>
      </c>
      <c r="E71" s="64"/>
      <c r="F71" s="64">
        <v>642.0</v>
      </c>
      <c r="G71" s="18">
        <v>43.0</v>
      </c>
      <c r="H71" s="65">
        <v>0.41180555555555554</v>
      </c>
      <c r="I71" s="65">
        <v>0.41180555555555554</v>
      </c>
      <c r="J71" s="18"/>
      <c r="K71" s="12">
        <f t="shared" si="1"/>
        <v>0</v>
      </c>
      <c r="L71" s="12"/>
      <c r="M71" s="18"/>
      <c r="N71" s="18"/>
      <c r="P71" s="12"/>
      <c r="Q71" s="12"/>
      <c r="U71" s="79"/>
      <c r="V71" s="79"/>
    </row>
    <row r="72" ht="15.75" customHeight="1">
      <c r="A72" s="47">
        <v>662.0</v>
      </c>
      <c r="B72" s="18">
        <v>23.0</v>
      </c>
      <c r="C72" s="12">
        <v>0.25972222222222224</v>
      </c>
      <c r="D72" s="13">
        <v>0.2604166666666667</v>
      </c>
      <c r="E72" s="64"/>
      <c r="F72" s="64">
        <v>644.0</v>
      </c>
      <c r="G72" s="18">
        <v>23.0</v>
      </c>
      <c r="H72" s="65">
        <v>0.33611111111111114</v>
      </c>
      <c r="I72" s="65">
        <v>0.33819444444444446</v>
      </c>
      <c r="J72" s="18"/>
      <c r="K72" s="12">
        <f t="shared" si="1"/>
        <v>18</v>
      </c>
      <c r="L72" s="12"/>
      <c r="M72" s="18"/>
      <c r="N72" s="18"/>
      <c r="P72" s="12"/>
      <c r="Q72" s="12"/>
      <c r="U72" s="79"/>
      <c r="V72" s="79"/>
      <c r="Z72" s="79"/>
      <c r="AA72" s="79"/>
      <c r="AE72" s="79"/>
    </row>
    <row r="73" ht="15.75" customHeight="1">
      <c r="A73" s="47">
        <v>511.0</v>
      </c>
      <c r="B73" s="18">
        <v>37.0</v>
      </c>
      <c r="C73" s="12">
        <v>0.31666666666666665</v>
      </c>
      <c r="D73" s="13">
        <v>0.3263888888888889</v>
      </c>
      <c r="E73" s="64"/>
      <c r="F73" s="64">
        <v>645.0</v>
      </c>
      <c r="G73" s="18">
        <v>37.0</v>
      </c>
      <c r="H73" s="65">
        <v>0.3958333333333333</v>
      </c>
      <c r="I73" s="65">
        <v>0.39791666666666664</v>
      </c>
      <c r="J73" s="18"/>
      <c r="K73" s="12">
        <f t="shared" si="1"/>
        <v>-134</v>
      </c>
      <c r="L73" s="12"/>
      <c r="M73" s="18"/>
      <c r="N73" s="18"/>
      <c r="P73" s="12"/>
      <c r="Q73" s="12"/>
      <c r="U73" s="79"/>
      <c r="V73" s="79"/>
      <c r="Z73" s="79"/>
      <c r="AA73" s="79"/>
      <c r="AE73" s="79"/>
    </row>
    <row r="74" ht="15.75" customHeight="1">
      <c r="A74" s="47">
        <v>617.0</v>
      </c>
      <c r="B74" s="18">
        <v>59.0</v>
      </c>
      <c r="C74" s="12">
        <v>0.4013888888888889</v>
      </c>
      <c r="D74" s="13">
        <v>0.4097222222222222</v>
      </c>
      <c r="E74" s="64"/>
      <c r="F74" s="64">
        <v>647.0</v>
      </c>
      <c r="G74" s="18">
        <v>59.0</v>
      </c>
      <c r="H74" s="65">
        <v>0.4930555555555556</v>
      </c>
      <c r="I74" s="65">
        <v>0.4951388888888889</v>
      </c>
      <c r="J74" s="18"/>
      <c r="K74" s="12">
        <f t="shared" si="1"/>
        <v>-30</v>
      </c>
      <c r="L74" s="12"/>
      <c r="M74" s="18"/>
      <c r="N74" s="18"/>
      <c r="P74" s="12"/>
      <c r="Q74" s="12"/>
    </row>
    <row r="75" ht="15.75" customHeight="1">
      <c r="A75" s="47">
        <v>648.0</v>
      </c>
      <c r="B75" s="18">
        <v>116.0</v>
      </c>
      <c r="C75" s="12">
        <v>0.5256944444444445</v>
      </c>
      <c r="D75" s="13">
        <v>0.5340277777777778</v>
      </c>
      <c r="E75" s="64"/>
      <c r="F75" s="64">
        <v>648.0</v>
      </c>
      <c r="G75" s="18">
        <v>116.0</v>
      </c>
      <c r="H75" s="65">
        <v>0.11805555555555555</v>
      </c>
      <c r="I75" s="65">
        <v>0.12013888888888889</v>
      </c>
      <c r="J75" s="18"/>
      <c r="K75" s="12">
        <f t="shared" si="1"/>
        <v>0</v>
      </c>
      <c r="L75" s="12"/>
      <c r="M75" s="18"/>
      <c r="N75" s="18"/>
      <c r="P75" s="12"/>
      <c r="Q75" s="12"/>
      <c r="U75" s="79"/>
      <c r="V75" s="79"/>
      <c r="Z75" s="79"/>
      <c r="AA75" s="79"/>
      <c r="AE75" s="79"/>
    </row>
    <row r="76" ht="15.75" customHeight="1">
      <c r="A76" s="47">
        <v>649.0</v>
      </c>
      <c r="B76" s="18">
        <v>112.0</v>
      </c>
      <c r="C76" s="12">
        <v>0.5173611111111112</v>
      </c>
      <c r="D76" s="13">
        <v>0.5222222222222223</v>
      </c>
      <c r="E76" s="64"/>
      <c r="F76" s="64">
        <v>649.0</v>
      </c>
      <c r="G76" s="18">
        <v>112.0</v>
      </c>
      <c r="H76" s="65">
        <v>0.1111111111111111</v>
      </c>
      <c r="I76" s="65">
        <v>0.1125</v>
      </c>
      <c r="J76" s="18"/>
      <c r="K76" s="12">
        <f t="shared" si="1"/>
        <v>0</v>
      </c>
      <c r="L76" s="12"/>
      <c r="M76" s="18"/>
      <c r="N76" s="18"/>
      <c r="P76" s="12"/>
      <c r="Q76" s="12"/>
    </row>
    <row r="77" ht="15.75" customHeight="1">
      <c r="A77" s="47">
        <v>591.0</v>
      </c>
      <c r="B77" s="18">
        <v>24.0</v>
      </c>
      <c r="C77" s="12">
        <v>0.25972222222222224</v>
      </c>
      <c r="D77" s="13">
        <v>0.26458333333333334</v>
      </c>
      <c r="E77" s="64"/>
      <c r="F77" s="64">
        <v>650.0</v>
      </c>
      <c r="G77" s="18">
        <v>24.0</v>
      </c>
      <c r="H77" s="65">
        <v>0.3375</v>
      </c>
      <c r="I77" s="65">
        <v>0.3375</v>
      </c>
      <c r="J77" s="18"/>
      <c r="K77" s="12">
        <f t="shared" si="1"/>
        <v>-59</v>
      </c>
      <c r="L77" s="12"/>
      <c r="M77" s="18"/>
      <c r="N77" s="18"/>
      <c r="P77" s="12"/>
      <c r="Q77" s="12"/>
      <c r="U77" s="79"/>
      <c r="V77" s="79"/>
      <c r="Z77" s="79"/>
      <c r="AA77" s="79"/>
      <c r="AE77" s="79"/>
    </row>
    <row r="78" ht="15.75" customHeight="1">
      <c r="A78" s="47">
        <v>703.0</v>
      </c>
      <c r="B78" s="18">
        <v>58.0</v>
      </c>
      <c r="C78" s="12">
        <v>0.40069444444444446</v>
      </c>
      <c r="D78" s="13">
        <v>0.4048611111111111</v>
      </c>
      <c r="E78" s="64"/>
      <c r="F78" s="64">
        <v>651.0</v>
      </c>
      <c r="G78" s="18">
        <v>58.0</v>
      </c>
      <c r="H78" s="65">
        <v>0.4930555555555556</v>
      </c>
      <c r="I78" s="65">
        <v>0.4951388888888889</v>
      </c>
      <c r="J78" s="18"/>
      <c r="K78" s="12">
        <f t="shared" si="1"/>
        <v>52</v>
      </c>
      <c r="L78" s="12"/>
      <c r="M78" s="18"/>
      <c r="N78" s="18"/>
      <c r="P78" s="12"/>
      <c r="Q78" s="12"/>
      <c r="U78" s="79"/>
      <c r="V78" s="79"/>
      <c r="Z78" s="79"/>
      <c r="AA78" s="79"/>
      <c r="AE78" s="79"/>
    </row>
    <row r="79" ht="15.75" customHeight="1">
      <c r="A79" s="47">
        <v>647.0</v>
      </c>
      <c r="B79" s="18">
        <v>66.0</v>
      </c>
      <c r="C79" s="12">
        <v>0.4284722222222222</v>
      </c>
      <c r="D79" s="13">
        <v>0.42986111111111114</v>
      </c>
      <c r="E79" s="64"/>
      <c r="F79" s="64">
        <v>653.0</v>
      </c>
      <c r="G79" s="18">
        <v>66.0</v>
      </c>
      <c r="H79" s="65">
        <v>0.5152777777777777</v>
      </c>
      <c r="I79" s="65">
        <v>0.5180555555555556</v>
      </c>
      <c r="J79" s="18"/>
      <c r="K79" s="12">
        <f t="shared" si="1"/>
        <v>-6</v>
      </c>
      <c r="L79" s="12"/>
      <c r="M79" s="18"/>
      <c r="N79" s="18"/>
      <c r="P79" s="12"/>
      <c r="Q79" s="12"/>
      <c r="U79" s="79"/>
      <c r="V79" s="79"/>
      <c r="Z79" s="79"/>
      <c r="AA79" s="79"/>
      <c r="AE79" s="79"/>
    </row>
    <row r="80" ht="15.75" customHeight="1">
      <c r="A80" s="47">
        <v>702.0</v>
      </c>
      <c r="B80" s="18">
        <v>18.0</v>
      </c>
      <c r="C80" s="12">
        <v>0.23125</v>
      </c>
      <c r="D80" s="13">
        <v>0.2361111111111111</v>
      </c>
      <c r="E80" s="64"/>
      <c r="F80" s="64">
        <v>655.0</v>
      </c>
      <c r="G80" s="18">
        <v>18.0</v>
      </c>
      <c r="H80" s="65">
        <v>0.30625</v>
      </c>
      <c r="I80" s="65">
        <v>0.30625</v>
      </c>
      <c r="J80" s="18"/>
      <c r="K80" s="12">
        <f t="shared" si="1"/>
        <v>47</v>
      </c>
      <c r="L80" s="12"/>
      <c r="M80" s="18"/>
      <c r="N80" s="18"/>
      <c r="P80" s="12"/>
      <c r="Q80" s="12"/>
      <c r="U80" s="79"/>
      <c r="V80" s="79"/>
      <c r="Z80" s="79"/>
      <c r="AA80" s="79"/>
      <c r="AE80" s="79"/>
    </row>
    <row r="81" ht="15.75" customHeight="1">
      <c r="A81" s="47">
        <v>500.0</v>
      </c>
      <c r="B81" s="18">
        <v>114.0</v>
      </c>
      <c r="C81" s="12">
        <v>0.5236111111111111</v>
      </c>
      <c r="D81" s="13">
        <v>0.5395833333333333</v>
      </c>
      <c r="E81" s="64"/>
      <c r="F81" s="64">
        <v>657.0</v>
      </c>
      <c r="G81" s="18">
        <v>114.0</v>
      </c>
      <c r="H81" s="65">
        <v>0.11666666666666667</v>
      </c>
      <c r="I81" s="65">
        <v>0.11736111111111111</v>
      </c>
      <c r="J81" s="18"/>
      <c r="K81" s="12">
        <f t="shared" si="1"/>
        <v>-157</v>
      </c>
      <c r="L81" s="12"/>
      <c r="M81" s="18"/>
      <c r="N81" s="18"/>
      <c r="P81" s="12"/>
      <c r="Q81" s="12"/>
      <c r="U81" s="79"/>
      <c r="V81" s="79"/>
      <c r="Z81" s="79"/>
      <c r="AA81" s="79"/>
      <c r="AE81" s="79"/>
    </row>
    <row r="82" ht="15.75" customHeight="1">
      <c r="A82" s="47">
        <v>650.0</v>
      </c>
      <c r="B82" s="18">
        <v>25.0</v>
      </c>
      <c r="C82" s="12">
        <v>0.2604166666666667</v>
      </c>
      <c r="D82" s="13">
        <v>0.2625</v>
      </c>
      <c r="E82" s="64"/>
      <c r="F82" s="64">
        <v>662.0</v>
      </c>
      <c r="G82" s="18">
        <v>25.0</v>
      </c>
      <c r="H82" s="65">
        <v>0.3451388888888889</v>
      </c>
      <c r="I82" s="65">
        <v>0.34652777777777777</v>
      </c>
      <c r="J82" s="18"/>
      <c r="K82" s="12">
        <f t="shared" si="1"/>
        <v>-12</v>
      </c>
      <c r="L82" s="12"/>
      <c r="M82" s="18"/>
      <c r="N82" s="18"/>
      <c r="P82" s="12"/>
      <c r="Q82" s="12"/>
      <c r="U82" s="79"/>
      <c r="V82" s="79"/>
      <c r="Z82" s="79"/>
      <c r="AA82" s="79"/>
      <c r="AE82" s="79"/>
    </row>
    <row r="83" ht="15.75" customHeight="1">
      <c r="A83" s="47">
        <v>663.0</v>
      </c>
      <c r="B83" s="18">
        <v>45.0</v>
      </c>
      <c r="C83" s="12">
        <v>0.34444444444444444</v>
      </c>
      <c r="D83" s="13">
        <v>0.34652777777777777</v>
      </c>
      <c r="E83" s="64"/>
      <c r="F83" s="64">
        <v>663.0</v>
      </c>
      <c r="G83" s="18">
        <v>45.0</v>
      </c>
      <c r="H83" s="65">
        <v>0.4222222222222222</v>
      </c>
      <c r="I83" s="65">
        <v>0.42291666666666666</v>
      </c>
      <c r="J83" s="18"/>
      <c r="K83" s="12">
        <f t="shared" si="1"/>
        <v>0</v>
      </c>
      <c r="L83" s="12"/>
      <c r="M83" s="18"/>
      <c r="N83" s="18"/>
      <c r="P83" s="12"/>
      <c r="Q83" s="12"/>
      <c r="U83" s="79"/>
      <c r="V83" s="79"/>
      <c r="Z83" s="79"/>
      <c r="AE83" s="79"/>
    </row>
    <row r="84" ht="15.75" customHeight="1">
      <c r="A84" s="47">
        <v>719.0</v>
      </c>
      <c r="B84" s="18">
        <v>56.0</v>
      </c>
      <c r="C84" s="12">
        <v>0.39861111111111114</v>
      </c>
      <c r="D84" s="13">
        <v>0.40347222222222223</v>
      </c>
      <c r="E84" s="64"/>
      <c r="F84" s="64">
        <v>665.0</v>
      </c>
      <c r="G84" s="18">
        <v>56.0</v>
      </c>
      <c r="H84" s="65">
        <v>0.4895833333333333</v>
      </c>
      <c r="I84" s="65">
        <v>0.49027777777777776</v>
      </c>
      <c r="J84" s="18"/>
      <c r="K84" s="12">
        <f t="shared" si="1"/>
        <v>54</v>
      </c>
      <c r="L84" s="12"/>
      <c r="M84" s="18"/>
      <c r="N84" s="18"/>
      <c r="P84" s="12"/>
      <c r="Q84" s="12"/>
      <c r="U84" s="79"/>
      <c r="V84" s="79"/>
      <c r="Z84" s="79"/>
      <c r="AA84" s="79"/>
      <c r="AE84" s="79"/>
    </row>
    <row r="85" ht="15.75" customHeight="1">
      <c r="A85" s="47">
        <v>669.0</v>
      </c>
      <c r="B85" s="18">
        <v>113.0</v>
      </c>
      <c r="C85" s="12">
        <v>0.5180555555555556</v>
      </c>
      <c r="D85" s="13">
        <v>0.5229166666666667</v>
      </c>
      <c r="E85" s="64"/>
      <c r="F85" s="64">
        <v>669.0</v>
      </c>
      <c r="G85" s="18">
        <v>113.0</v>
      </c>
      <c r="H85" s="65">
        <v>0.11388888888888889</v>
      </c>
      <c r="I85" s="65">
        <v>0.11736111111111111</v>
      </c>
      <c r="J85" s="18"/>
      <c r="K85" s="12">
        <f t="shared" si="1"/>
        <v>0</v>
      </c>
      <c r="L85" s="12"/>
      <c r="M85" s="18"/>
      <c r="N85" s="18"/>
      <c r="P85" s="12"/>
      <c r="Q85" s="12"/>
      <c r="U85" s="79"/>
      <c r="V85" s="79"/>
      <c r="Z85" s="79"/>
      <c r="AA85" s="79"/>
      <c r="AE85" s="79"/>
    </row>
    <row r="86" ht="15.75" customHeight="1">
      <c r="A86" s="18">
        <v>739.0</v>
      </c>
      <c r="B86" s="18">
        <v>84.0</v>
      </c>
      <c r="C86" s="12">
        <v>0.4618055555555556</v>
      </c>
      <c r="D86" s="13">
        <v>0.46458333333333335</v>
      </c>
      <c r="E86" s="67"/>
      <c r="F86" s="67">
        <v>670.0</v>
      </c>
      <c r="G86" s="18">
        <v>84.0</v>
      </c>
      <c r="H86" s="79">
        <v>0.04722222222222222</v>
      </c>
      <c r="I86" s="65">
        <v>0.050694444444444445</v>
      </c>
      <c r="J86" s="18"/>
      <c r="K86" s="12">
        <f t="shared" si="1"/>
        <v>69</v>
      </c>
      <c r="L86" s="12"/>
      <c r="M86" s="18"/>
      <c r="N86" s="18"/>
      <c r="P86" s="12"/>
      <c r="Q86" s="12"/>
    </row>
    <row r="87" ht="15.75" customHeight="1">
      <c r="A87" s="47">
        <v>550.0</v>
      </c>
      <c r="B87" s="18">
        <v>41.0</v>
      </c>
      <c r="C87" s="12">
        <v>0.3277777777777778</v>
      </c>
      <c r="D87" s="13">
        <v>0.3277777777777778</v>
      </c>
      <c r="E87" s="64"/>
      <c r="F87" s="64">
        <v>675.0</v>
      </c>
      <c r="G87" s="18">
        <v>41.0</v>
      </c>
      <c r="H87" s="65">
        <v>0.4076388888888889</v>
      </c>
      <c r="I87" s="65">
        <v>0.4083333333333333</v>
      </c>
      <c r="J87" s="18"/>
      <c r="K87" s="12">
        <f t="shared" si="1"/>
        <v>-125</v>
      </c>
      <c r="L87" s="12"/>
      <c r="M87" s="18"/>
      <c r="N87" s="18"/>
      <c r="P87" s="12"/>
      <c r="Q87" s="12"/>
      <c r="U87" s="79"/>
      <c r="V87" s="79"/>
      <c r="Z87" s="79"/>
      <c r="AA87" s="79"/>
      <c r="AE87" s="79"/>
    </row>
    <row r="88" ht="15.75" customHeight="1">
      <c r="A88" s="47">
        <v>554.0</v>
      </c>
      <c r="B88" s="18">
        <v>119.0</v>
      </c>
      <c r="C88" s="12">
        <v>0.5395833333333333</v>
      </c>
      <c r="D88" s="13">
        <v>0.04513888888888889</v>
      </c>
      <c r="E88" s="64"/>
      <c r="F88" s="64">
        <v>676.0</v>
      </c>
      <c r="G88" s="18">
        <v>119.0</v>
      </c>
      <c r="H88" s="65">
        <v>0.12986111111111112</v>
      </c>
      <c r="I88" s="65">
        <v>0.13055555555555556</v>
      </c>
      <c r="J88" s="18"/>
      <c r="K88" s="12">
        <f t="shared" si="1"/>
        <v>-122</v>
      </c>
      <c r="L88" s="12"/>
      <c r="M88" s="18"/>
      <c r="N88" s="18"/>
      <c r="P88" s="12"/>
      <c r="Q88" s="12"/>
      <c r="U88" s="79"/>
      <c r="V88" s="79"/>
      <c r="Z88" s="79"/>
      <c r="AA88" s="79"/>
      <c r="AE88" s="79"/>
    </row>
    <row r="89" ht="15.75" customHeight="1">
      <c r="A89" s="47">
        <v>681.0</v>
      </c>
      <c r="B89" s="18">
        <v>118.0</v>
      </c>
      <c r="C89" s="12">
        <v>0.5388888888888889</v>
      </c>
      <c r="D89" s="13">
        <v>0.04236111111111111</v>
      </c>
      <c r="E89" s="64"/>
      <c r="F89" s="64">
        <v>681.0</v>
      </c>
      <c r="G89" s="18">
        <v>118.0</v>
      </c>
      <c r="H89" s="65">
        <v>0.12430555555555556</v>
      </c>
      <c r="I89" s="65">
        <v>0.12638888888888888</v>
      </c>
      <c r="J89" s="18"/>
      <c r="K89" s="12">
        <f t="shared" si="1"/>
        <v>0</v>
      </c>
      <c r="L89" s="12"/>
      <c r="M89" s="18"/>
      <c r="N89" s="18"/>
      <c r="P89" s="12"/>
      <c r="Q89" s="12"/>
      <c r="U89" s="79"/>
      <c r="V89" s="79"/>
      <c r="Z89" s="79"/>
      <c r="AA89" s="79"/>
      <c r="AE89" s="79"/>
    </row>
    <row r="90" ht="15.75" customHeight="1">
      <c r="A90" s="47">
        <v>706.0</v>
      </c>
      <c r="B90" s="18">
        <v>83.0</v>
      </c>
      <c r="C90" s="12">
        <v>0.45902777777777776</v>
      </c>
      <c r="D90" s="13">
        <v>0.46597222222222223</v>
      </c>
      <c r="E90" s="64"/>
      <c r="F90" s="64">
        <v>683.0</v>
      </c>
      <c r="G90" s="18">
        <v>83.0</v>
      </c>
      <c r="H90" s="65">
        <v>0.04652777777777778</v>
      </c>
      <c r="I90" s="65">
        <v>0.04791666666666667</v>
      </c>
      <c r="J90" s="18"/>
      <c r="K90" s="12">
        <f t="shared" si="1"/>
        <v>23</v>
      </c>
      <c r="L90" s="12"/>
      <c r="M90" s="18"/>
      <c r="N90" s="18"/>
      <c r="P90" s="12"/>
      <c r="Q90" s="12"/>
      <c r="U90" s="79"/>
      <c r="V90" s="79"/>
      <c r="Z90" s="79"/>
      <c r="AA90" s="79"/>
      <c r="AE90" s="79"/>
    </row>
    <row r="91" ht="15.75" customHeight="1">
      <c r="A91" s="47">
        <v>527.0</v>
      </c>
      <c r="B91" s="18">
        <v>35.0</v>
      </c>
      <c r="C91" s="12">
        <v>0.31180555555555556</v>
      </c>
      <c r="D91" s="13">
        <v>0.31527777777777777</v>
      </c>
      <c r="E91" s="64"/>
      <c r="F91" s="64">
        <v>684.0</v>
      </c>
      <c r="G91" s="18">
        <v>35.0</v>
      </c>
      <c r="H91" s="65">
        <v>0.3861111111111111</v>
      </c>
      <c r="I91" s="65">
        <v>0.3861111111111111</v>
      </c>
      <c r="J91" s="18"/>
      <c r="K91" s="12">
        <f t="shared" si="1"/>
        <v>-157</v>
      </c>
      <c r="L91" s="12"/>
      <c r="M91" s="18"/>
      <c r="N91" s="18"/>
      <c r="P91" s="12"/>
      <c r="Q91" s="12"/>
      <c r="U91" s="79"/>
      <c r="V91" s="79"/>
      <c r="Z91" s="79"/>
      <c r="AA91" s="79"/>
      <c r="AE91" s="79"/>
    </row>
    <row r="92" ht="15.75" customHeight="1">
      <c r="A92" s="47">
        <v>685.0</v>
      </c>
      <c r="B92" s="18">
        <v>10.0</v>
      </c>
      <c r="C92" s="12">
        <v>0.16597222222222222</v>
      </c>
      <c r="D92" s="13">
        <v>0.16944444444444445</v>
      </c>
      <c r="E92" s="64"/>
      <c r="F92" s="64">
        <v>685.0</v>
      </c>
      <c r="G92" s="18">
        <v>10.0</v>
      </c>
      <c r="H92" s="65">
        <v>0.24097222222222223</v>
      </c>
      <c r="I92" s="65">
        <v>0.2423611111111111</v>
      </c>
      <c r="J92" s="18"/>
      <c r="K92" s="12">
        <f t="shared" si="1"/>
        <v>0</v>
      </c>
      <c r="L92" s="12"/>
      <c r="M92" s="18"/>
      <c r="N92" s="18"/>
      <c r="P92" s="12"/>
      <c r="Q92" s="12"/>
      <c r="U92" s="79"/>
      <c r="V92" s="79"/>
      <c r="Z92" s="79"/>
      <c r="AA92" s="79"/>
      <c r="AE92" s="79"/>
    </row>
    <row r="93" ht="15.75" customHeight="1">
      <c r="A93" s="47">
        <v>729.0</v>
      </c>
      <c r="B93" s="18">
        <v>30.0</v>
      </c>
      <c r="C93" s="12">
        <v>0.29305555555555557</v>
      </c>
      <c r="D93" s="13">
        <v>0.2972222222222222</v>
      </c>
      <c r="E93" s="64"/>
      <c r="F93" s="64">
        <v>686.0</v>
      </c>
      <c r="G93" s="18">
        <v>30.0</v>
      </c>
      <c r="H93" s="65">
        <v>0.3680555555555556</v>
      </c>
      <c r="I93" s="65">
        <v>0.36180555555555555</v>
      </c>
      <c r="J93" s="18"/>
      <c r="K93" s="12">
        <f t="shared" si="1"/>
        <v>43</v>
      </c>
      <c r="L93" s="12"/>
      <c r="M93" s="18"/>
      <c r="N93" s="18"/>
      <c r="P93" s="12"/>
      <c r="Q93" s="12"/>
      <c r="U93" s="79"/>
      <c r="V93" s="79"/>
      <c r="Z93" s="79"/>
      <c r="AA93" s="79"/>
      <c r="AE93" s="79"/>
    </row>
    <row r="94" ht="15.75" customHeight="1">
      <c r="A94" s="47">
        <v>653.0</v>
      </c>
      <c r="B94" s="18">
        <v>65.0</v>
      </c>
      <c r="C94" s="12">
        <v>0.42430555555555555</v>
      </c>
      <c r="D94" s="13">
        <v>0.4305555555555556</v>
      </c>
      <c r="E94" s="64"/>
      <c r="F94" s="64">
        <v>687.0</v>
      </c>
      <c r="G94" s="18">
        <v>65.0</v>
      </c>
      <c r="H94" s="65">
        <v>0.5083333333333333</v>
      </c>
      <c r="I94" s="65">
        <v>0.5111111111111111</v>
      </c>
      <c r="J94" s="18"/>
      <c r="K94" s="12">
        <f t="shared" si="1"/>
        <v>-34</v>
      </c>
      <c r="L94" s="12"/>
      <c r="M94" s="18"/>
      <c r="N94" s="18"/>
      <c r="P94" s="12"/>
      <c r="Q94" s="12"/>
    </row>
    <row r="95" ht="15.75" customHeight="1">
      <c r="A95" s="47">
        <v>705.0</v>
      </c>
      <c r="B95" s="18">
        <v>92.0</v>
      </c>
      <c r="C95" s="12">
        <v>0.46805555555555556</v>
      </c>
      <c r="D95" s="13">
        <v>0.46944444444444444</v>
      </c>
      <c r="E95" s="64"/>
      <c r="F95" s="64">
        <v>688.0</v>
      </c>
      <c r="G95" s="18">
        <v>92.0</v>
      </c>
      <c r="H95" s="65">
        <v>0.06319444444444444</v>
      </c>
      <c r="I95" s="65">
        <v>0.06527777777777778</v>
      </c>
      <c r="J95" s="18"/>
      <c r="K95" s="12">
        <f t="shared" si="1"/>
        <v>17</v>
      </c>
      <c r="L95" s="12"/>
      <c r="M95" s="18"/>
      <c r="N95" s="18"/>
      <c r="P95" s="12"/>
      <c r="Q95" s="12"/>
      <c r="U95" s="79"/>
      <c r="V95" s="79"/>
      <c r="Z95" s="79"/>
      <c r="AA95" s="79"/>
      <c r="AE95" s="79"/>
    </row>
    <row r="96" ht="15.75" customHeight="1">
      <c r="A96" s="47">
        <v>689.0</v>
      </c>
      <c r="B96" s="18">
        <v>5.0</v>
      </c>
      <c r="C96" s="12">
        <v>0.10694444444444444</v>
      </c>
      <c r="D96" s="13">
        <v>0.1125</v>
      </c>
      <c r="E96" s="64"/>
      <c r="F96" s="64">
        <v>689.0</v>
      </c>
      <c r="G96" s="18">
        <v>5.0</v>
      </c>
      <c r="H96" s="65">
        <v>0.1763888888888889</v>
      </c>
      <c r="I96" s="65">
        <v>0.17708333333333334</v>
      </c>
      <c r="J96" s="18"/>
      <c r="K96" s="12">
        <f t="shared" si="1"/>
        <v>0</v>
      </c>
      <c r="L96" s="12"/>
      <c r="M96" s="18"/>
      <c r="N96" s="18"/>
      <c r="P96" s="12"/>
      <c r="Q96" s="12"/>
      <c r="U96" s="79"/>
      <c r="V96" s="79"/>
      <c r="Z96" s="79"/>
      <c r="AA96" s="79"/>
      <c r="AE96" s="79"/>
    </row>
    <row r="97" ht="15.75" customHeight="1">
      <c r="A97" s="47">
        <v>686.0</v>
      </c>
      <c r="B97" s="18">
        <v>27.0</v>
      </c>
      <c r="C97" s="12">
        <v>0.2763888888888889</v>
      </c>
      <c r="D97" s="13">
        <v>0.2798611111111111</v>
      </c>
      <c r="E97" s="64"/>
      <c r="F97" s="64">
        <v>692.0</v>
      </c>
      <c r="G97" s="18">
        <v>27.0</v>
      </c>
      <c r="H97" s="65">
        <v>0.35625</v>
      </c>
      <c r="I97" s="65">
        <v>0.35625</v>
      </c>
      <c r="J97" s="18"/>
      <c r="K97" s="12">
        <f t="shared" si="1"/>
        <v>-6</v>
      </c>
      <c r="L97" s="12"/>
      <c r="M97" s="18"/>
      <c r="N97" s="18"/>
      <c r="P97" s="12"/>
      <c r="Q97" s="12"/>
      <c r="U97" s="79"/>
      <c r="V97" s="79"/>
      <c r="Z97" s="79"/>
      <c r="AA97" s="79"/>
      <c r="AE97" s="79"/>
    </row>
    <row r="98" ht="15.75" customHeight="1">
      <c r="A98" s="47">
        <v>559.0</v>
      </c>
      <c r="B98" s="18">
        <v>105.0</v>
      </c>
      <c r="C98" s="12">
        <v>0.4909722222222222</v>
      </c>
      <c r="D98" s="13">
        <v>0.5013888888888889</v>
      </c>
      <c r="E98" s="64"/>
      <c r="F98" s="64">
        <v>693.0</v>
      </c>
      <c r="G98" s="18">
        <v>105.0</v>
      </c>
      <c r="H98" s="65">
        <v>0.08333333333333333</v>
      </c>
      <c r="I98" s="65">
        <v>0.08472222222222223</v>
      </c>
      <c r="J98" s="18"/>
      <c r="K98" s="12">
        <f t="shared" si="1"/>
        <v>-134</v>
      </c>
      <c r="L98" s="12"/>
      <c r="M98" s="18"/>
      <c r="N98" s="18"/>
      <c r="P98" s="12"/>
      <c r="Q98" s="12"/>
      <c r="U98" s="79"/>
    </row>
    <row r="99" ht="15.75" customHeight="1">
      <c r="A99" s="47">
        <v>582.0</v>
      </c>
      <c r="B99" s="18">
        <v>96.0</v>
      </c>
      <c r="C99" s="12">
        <v>0.48333333333333334</v>
      </c>
      <c r="D99" s="13">
        <v>0.4847222222222222</v>
      </c>
      <c r="E99" s="64"/>
      <c r="F99" s="64">
        <v>695.0</v>
      </c>
      <c r="G99" s="18">
        <v>96.0</v>
      </c>
      <c r="H99" s="65">
        <v>0.07083333333333333</v>
      </c>
      <c r="I99" s="65">
        <v>0.07222222222222222</v>
      </c>
      <c r="J99" s="18"/>
      <c r="K99" s="12">
        <f t="shared" si="1"/>
        <v>-113</v>
      </c>
      <c r="L99" s="12"/>
      <c r="M99" s="18"/>
      <c r="N99" s="18"/>
      <c r="P99" s="12"/>
      <c r="Q99" s="12"/>
      <c r="U99" s="79"/>
      <c r="V99" s="79"/>
      <c r="Z99" s="79"/>
      <c r="AA99" s="79"/>
      <c r="AE99" s="79"/>
    </row>
    <row r="100" ht="15.75" customHeight="1">
      <c r="A100" s="47">
        <v>605.0</v>
      </c>
      <c r="B100" s="18">
        <v>99.0</v>
      </c>
      <c r="C100" s="12">
        <v>0.48333333333333334</v>
      </c>
      <c r="D100" s="13">
        <v>0.48680555555555555</v>
      </c>
      <c r="E100" s="64"/>
      <c r="F100" s="64">
        <v>696.0</v>
      </c>
      <c r="G100" s="18">
        <v>99.0</v>
      </c>
      <c r="H100" s="65">
        <v>0.07847222222222222</v>
      </c>
      <c r="I100" s="65">
        <v>0.08194444444444444</v>
      </c>
      <c r="J100" s="18"/>
      <c r="K100" s="12">
        <f t="shared" si="1"/>
        <v>-91</v>
      </c>
      <c r="L100" s="12"/>
      <c r="M100" s="18"/>
      <c r="N100" s="18"/>
      <c r="P100" s="12"/>
      <c r="Q100" s="12"/>
      <c r="U100" s="79"/>
      <c r="V100" s="79"/>
      <c r="Z100" s="79"/>
      <c r="AA100" s="79"/>
      <c r="AE100" s="79"/>
    </row>
    <row r="101" ht="15.75" customHeight="1">
      <c r="A101" s="47">
        <v>692.0</v>
      </c>
      <c r="B101" s="18">
        <v>28.0</v>
      </c>
      <c r="C101" s="12">
        <v>0.2916666666666667</v>
      </c>
      <c r="D101" s="13">
        <v>0.29444444444444445</v>
      </c>
      <c r="E101" s="64"/>
      <c r="F101" s="64">
        <v>697.0</v>
      </c>
      <c r="G101" s="18">
        <v>28.0</v>
      </c>
      <c r="H101" s="65">
        <v>0.36180555555555555</v>
      </c>
      <c r="I101" s="65">
        <v>0.35694444444444445</v>
      </c>
      <c r="J101" s="18"/>
      <c r="K101" s="12">
        <f t="shared" si="1"/>
        <v>-5</v>
      </c>
      <c r="L101" s="12"/>
      <c r="M101" s="18"/>
      <c r="N101" s="18"/>
      <c r="P101" s="12"/>
      <c r="Q101" s="12"/>
      <c r="U101" s="79"/>
      <c r="V101" s="79"/>
      <c r="Z101" s="79"/>
      <c r="AA101" s="79"/>
      <c r="AE101" s="79"/>
    </row>
    <row r="102" ht="15.75" customHeight="1">
      <c r="A102" s="47">
        <v>670.0</v>
      </c>
      <c r="B102" s="18">
        <v>88.0</v>
      </c>
      <c r="C102" s="12">
        <v>0.46319444444444446</v>
      </c>
      <c r="D102" s="13">
        <v>0.46805555555555556</v>
      </c>
      <c r="E102" s="64"/>
      <c r="F102" s="64">
        <v>699.0</v>
      </c>
      <c r="G102" s="18">
        <v>88.0</v>
      </c>
      <c r="H102" s="65">
        <v>0.05</v>
      </c>
      <c r="I102" s="65">
        <v>0.050694444444444445</v>
      </c>
      <c r="J102" s="18"/>
      <c r="K102" s="12">
        <f t="shared" si="1"/>
        <v>-29</v>
      </c>
      <c r="L102" s="12"/>
      <c r="M102" s="18"/>
      <c r="N102" s="18"/>
      <c r="P102" s="12"/>
      <c r="Q102" s="12"/>
      <c r="U102" s="79"/>
      <c r="V102" s="79"/>
      <c r="Z102" s="79"/>
      <c r="AA102" s="79"/>
      <c r="AE102" s="79"/>
    </row>
    <row r="103" ht="15.75" customHeight="1">
      <c r="A103" s="47">
        <v>728.0</v>
      </c>
      <c r="B103" s="18">
        <v>20.0</v>
      </c>
      <c r="C103" s="12">
        <v>0.24027777777777778</v>
      </c>
      <c r="D103" s="13">
        <v>0.24791666666666667</v>
      </c>
      <c r="E103" s="64"/>
      <c r="F103" s="64">
        <v>702.0</v>
      </c>
      <c r="G103" s="18">
        <v>20.0</v>
      </c>
      <c r="H103" s="65">
        <v>0.3194444444444444</v>
      </c>
      <c r="I103" s="65">
        <v>0.3194444444444444</v>
      </c>
      <c r="J103" s="18"/>
      <c r="K103" s="12">
        <f t="shared" si="1"/>
        <v>26</v>
      </c>
      <c r="L103" s="12"/>
      <c r="M103" s="18"/>
      <c r="N103" s="18"/>
      <c r="P103" s="12"/>
      <c r="Q103" s="12"/>
      <c r="U103" s="79"/>
      <c r="V103" s="79"/>
      <c r="Z103" s="79"/>
      <c r="AA103" s="79"/>
    </row>
    <row r="104" ht="15.75" customHeight="1">
      <c r="A104" s="47">
        <v>549.0</v>
      </c>
      <c r="B104" s="18">
        <v>53.0</v>
      </c>
      <c r="C104" s="12">
        <v>0.3951388888888889</v>
      </c>
      <c r="D104" s="13">
        <v>0.4</v>
      </c>
      <c r="E104" s="64"/>
      <c r="F104" s="64">
        <v>703.0</v>
      </c>
      <c r="G104" s="18">
        <v>53.0</v>
      </c>
      <c r="H104" s="65">
        <v>0.475</v>
      </c>
      <c r="I104" s="65">
        <v>0.47638888888888886</v>
      </c>
      <c r="J104" s="18"/>
      <c r="K104" s="12">
        <f t="shared" si="1"/>
        <v>-154</v>
      </c>
      <c r="L104" s="12"/>
      <c r="M104" s="18"/>
      <c r="N104" s="18"/>
      <c r="P104" s="12"/>
      <c r="Q104" s="12"/>
      <c r="U104" s="79"/>
      <c r="V104" s="79"/>
      <c r="Z104" s="79"/>
      <c r="AA104" s="79"/>
      <c r="AE104" s="79"/>
    </row>
    <row r="105" ht="15.75" customHeight="1">
      <c r="A105" s="47">
        <v>553.0</v>
      </c>
      <c r="B105" s="18">
        <v>89.0</v>
      </c>
      <c r="C105" s="12">
        <v>0.4638888888888889</v>
      </c>
      <c r="D105" s="13">
        <v>0.46805555555555556</v>
      </c>
      <c r="E105" s="64"/>
      <c r="F105" s="64">
        <v>705.0</v>
      </c>
      <c r="G105" s="18">
        <v>89.0</v>
      </c>
      <c r="H105" s="65">
        <v>0.05486111111111111</v>
      </c>
      <c r="I105" s="65">
        <v>0.06527777777777778</v>
      </c>
      <c r="J105" s="18"/>
      <c r="K105" s="12">
        <f t="shared" si="1"/>
        <v>-152</v>
      </c>
      <c r="L105" s="12"/>
      <c r="M105" s="18"/>
      <c r="N105" s="18"/>
      <c r="P105" s="12"/>
      <c r="Q105" s="12"/>
      <c r="U105" s="79"/>
      <c r="V105" s="79"/>
      <c r="Z105" s="79"/>
      <c r="AA105" s="79"/>
      <c r="AE105" s="79"/>
    </row>
    <row r="106" ht="15.75" customHeight="1">
      <c r="A106" s="47">
        <v>688.0</v>
      </c>
      <c r="B106" s="18">
        <v>90.0</v>
      </c>
      <c r="C106" s="12">
        <v>0.46597222222222223</v>
      </c>
      <c r="D106" s="13">
        <v>0.4722222222222222</v>
      </c>
      <c r="E106" s="64"/>
      <c r="F106" s="64">
        <v>706.0</v>
      </c>
      <c r="G106" s="18">
        <v>90.0</v>
      </c>
      <c r="H106" s="65">
        <v>0.05625</v>
      </c>
      <c r="I106" s="65">
        <v>0.059027777777777776</v>
      </c>
      <c r="J106" s="18"/>
      <c r="K106" s="12">
        <f t="shared" si="1"/>
        <v>-18</v>
      </c>
      <c r="L106" s="12"/>
      <c r="M106" s="18"/>
      <c r="N106" s="18"/>
      <c r="P106" s="12"/>
      <c r="Q106" s="12"/>
      <c r="U106" s="79"/>
      <c r="V106" s="79"/>
      <c r="Z106" s="79"/>
      <c r="AA106" s="79"/>
      <c r="AE106" s="79"/>
    </row>
    <row r="107" ht="15.75" customHeight="1">
      <c r="A107" s="47">
        <v>637.0</v>
      </c>
      <c r="B107" s="18">
        <v>48.0</v>
      </c>
      <c r="C107" s="12">
        <v>0.3506944444444444</v>
      </c>
      <c r="D107" s="13">
        <v>0.3527777777777778</v>
      </c>
      <c r="E107" s="64"/>
      <c r="F107" s="64">
        <v>709.0</v>
      </c>
      <c r="G107" s="18">
        <v>48.0</v>
      </c>
      <c r="H107" s="65">
        <v>0.4305555555555556</v>
      </c>
      <c r="I107" s="65">
        <v>0.4340277777777778</v>
      </c>
      <c r="J107" s="18"/>
      <c r="K107" s="12">
        <f t="shared" si="1"/>
        <v>-72</v>
      </c>
      <c r="L107" s="12"/>
      <c r="M107" s="18"/>
      <c r="N107" s="18"/>
      <c r="P107" s="12"/>
      <c r="Q107" s="12"/>
      <c r="U107" s="79"/>
      <c r="V107" s="79"/>
      <c r="Z107" s="79"/>
      <c r="AA107" s="79"/>
      <c r="AE107" s="79"/>
    </row>
    <row r="108" ht="15.75" customHeight="1">
      <c r="A108" s="47">
        <v>585.0</v>
      </c>
      <c r="B108" s="18">
        <v>47.0</v>
      </c>
      <c r="C108" s="12">
        <v>0.34791666666666665</v>
      </c>
      <c r="D108" s="13">
        <v>0.34930555555555554</v>
      </c>
      <c r="E108" s="64"/>
      <c r="F108" s="64">
        <v>713.0</v>
      </c>
      <c r="G108" s="18">
        <v>47.0</v>
      </c>
      <c r="H108" s="65">
        <v>0.4284722222222222</v>
      </c>
      <c r="I108" s="65">
        <v>0.4284722222222222</v>
      </c>
      <c r="J108" s="18"/>
      <c r="K108" s="12">
        <f t="shared" si="1"/>
        <v>-128</v>
      </c>
      <c r="L108" s="12"/>
      <c r="M108" s="18"/>
      <c r="N108" s="18"/>
      <c r="P108" s="12"/>
      <c r="Q108" s="12"/>
      <c r="U108" s="79"/>
      <c r="V108" s="79"/>
      <c r="Z108" s="79"/>
      <c r="AA108" s="79"/>
      <c r="AE108" s="79"/>
    </row>
    <row r="109" ht="15.75" customHeight="1">
      <c r="A109" s="47">
        <v>631.0</v>
      </c>
      <c r="B109" s="18">
        <v>73.0</v>
      </c>
      <c r="C109" s="12">
        <v>0.4423611111111111</v>
      </c>
      <c r="D109" s="13">
        <v>0.4479166666666667</v>
      </c>
      <c r="E109" s="64"/>
      <c r="F109" s="64">
        <v>714.0</v>
      </c>
      <c r="G109" s="18">
        <v>73.0</v>
      </c>
      <c r="H109" s="65">
        <v>0.5326388888888889</v>
      </c>
      <c r="I109" s="65">
        <v>0.5347222222222222</v>
      </c>
      <c r="J109" s="18"/>
      <c r="K109" s="12">
        <f t="shared" si="1"/>
        <v>-83</v>
      </c>
      <c r="L109" s="12"/>
      <c r="M109" s="18"/>
      <c r="N109" s="18"/>
      <c r="P109" s="12"/>
      <c r="Q109" s="12"/>
      <c r="U109" s="79"/>
      <c r="V109" s="79"/>
      <c r="Z109" s="79"/>
      <c r="AA109" s="79"/>
      <c r="AE109" s="79"/>
    </row>
    <row r="110" ht="15.75" customHeight="1">
      <c r="A110" s="47">
        <v>715.0</v>
      </c>
      <c r="B110" s="18">
        <v>29.0</v>
      </c>
      <c r="C110" s="12">
        <v>0.29305555555555557</v>
      </c>
      <c r="D110" s="13">
        <v>0.2972222222222222</v>
      </c>
      <c r="E110" s="64"/>
      <c r="F110" s="64">
        <v>715.0</v>
      </c>
      <c r="G110" s="18">
        <v>29.0</v>
      </c>
      <c r="H110" s="65">
        <v>0.36527777777777776</v>
      </c>
      <c r="I110" s="65">
        <v>0.3659722222222222</v>
      </c>
      <c r="J110" s="18"/>
      <c r="K110" s="12">
        <f t="shared" si="1"/>
        <v>0</v>
      </c>
      <c r="L110" s="12"/>
      <c r="M110" s="18"/>
      <c r="N110" s="18"/>
      <c r="P110" s="12"/>
      <c r="Q110" s="12"/>
      <c r="U110" s="79"/>
      <c r="V110" s="79"/>
      <c r="Z110" s="79"/>
      <c r="AA110" s="79"/>
      <c r="AE110" s="79"/>
    </row>
    <row r="111" ht="15.75" customHeight="1">
      <c r="A111" s="47">
        <v>716.0</v>
      </c>
      <c r="B111" s="18">
        <v>91.0</v>
      </c>
      <c r="C111" s="12">
        <v>0.4673611111111111</v>
      </c>
      <c r="D111" s="13">
        <v>0.4708333333333333</v>
      </c>
      <c r="E111" s="64"/>
      <c r="F111" s="64">
        <v>716.0</v>
      </c>
      <c r="G111" s="18">
        <v>91.0</v>
      </c>
      <c r="H111" s="65">
        <v>0.059722222222222225</v>
      </c>
      <c r="I111" s="65">
        <v>0.06319444444444444</v>
      </c>
      <c r="J111" s="18"/>
      <c r="K111" s="12">
        <f t="shared" si="1"/>
        <v>0</v>
      </c>
      <c r="L111" s="12"/>
      <c r="M111" s="18"/>
      <c r="N111" s="18"/>
      <c r="P111" s="12"/>
      <c r="Q111" s="12"/>
      <c r="U111" s="79"/>
      <c r="V111" s="79"/>
      <c r="Z111" s="79"/>
      <c r="AA111" s="79"/>
      <c r="AE111" s="79"/>
    </row>
    <row r="112" ht="15.75" customHeight="1">
      <c r="A112" s="47">
        <v>547.0</v>
      </c>
      <c r="B112" s="18">
        <v>54.0</v>
      </c>
      <c r="C112" s="12">
        <v>0.39652777777777776</v>
      </c>
      <c r="D112" s="13">
        <v>0.4</v>
      </c>
      <c r="E112" s="64"/>
      <c r="F112" s="64">
        <v>719.0</v>
      </c>
      <c r="G112" s="18">
        <v>54.0</v>
      </c>
      <c r="H112" s="65">
        <v>0.4791666666666667</v>
      </c>
      <c r="I112" s="65">
        <v>0.48055555555555557</v>
      </c>
      <c r="J112" s="18"/>
      <c r="K112" s="12">
        <f t="shared" si="1"/>
        <v>-172</v>
      </c>
      <c r="L112" s="12"/>
      <c r="M112" s="18"/>
      <c r="N112" s="18"/>
      <c r="P112" s="12"/>
      <c r="Q112" s="12"/>
      <c r="U112" s="79"/>
      <c r="V112" s="79"/>
      <c r="Z112" s="79"/>
      <c r="AA112" s="79"/>
      <c r="AE112" s="79"/>
    </row>
    <row r="113" ht="15.75" customHeight="1">
      <c r="A113" s="47">
        <v>565.0</v>
      </c>
      <c r="B113" s="18">
        <v>51.0</v>
      </c>
      <c r="C113" s="12">
        <v>0.35625</v>
      </c>
      <c r="D113" s="13">
        <v>0.36736111111111114</v>
      </c>
      <c r="E113" s="64"/>
      <c r="F113" s="64">
        <v>722.0</v>
      </c>
      <c r="G113" s="18">
        <v>51.0</v>
      </c>
      <c r="H113" s="65">
        <v>0.44375</v>
      </c>
      <c r="I113" s="65">
        <v>0.4479166666666667</v>
      </c>
      <c r="J113" s="18"/>
      <c r="K113" s="12">
        <f t="shared" si="1"/>
        <v>-157</v>
      </c>
      <c r="L113" s="12"/>
      <c r="M113" s="18"/>
      <c r="N113" s="18"/>
      <c r="P113" s="12"/>
      <c r="Q113" s="12"/>
      <c r="U113" s="79"/>
      <c r="V113" s="79"/>
      <c r="Z113" s="79"/>
      <c r="AA113" s="79"/>
      <c r="AE113" s="79"/>
    </row>
    <row r="114" ht="15.75" customHeight="1">
      <c r="A114" s="47">
        <v>575.0</v>
      </c>
      <c r="B114" s="18">
        <v>61.0</v>
      </c>
      <c r="C114" s="12">
        <v>0.40625</v>
      </c>
      <c r="D114" s="13">
        <v>0.4166666666666667</v>
      </c>
      <c r="E114" s="64"/>
      <c r="F114" s="64">
        <v>727.0</v>
      </c>
      <c r="G114" s="18">
        <v>61.0</v>
      </c>
      <c r="H114" s="65">
        <v>0.49583333333333335</v>
      </c>
      <c r="I114" s="65">
        <v>0.49722222222222223</v>
      </c>
      <c r="J114" s="18"/>
      <c r="K114" s="12">
        <f t="shared" si="1"/>
        <v>-152</v>
      </c>
      <c r="L114" s="12"/>
      <c r="M114" s="18"/>
      <c r="N114" s="18"/>
      <c r="P114" s="12"/>
      <c r="Q114" s="12"/>
      <c r="U114" s="79"/>
      <c r="V114" s="79"/>
      <c r="Z114" s="79"/>
      <c r="AA114" s="79"/>
      <c r="AE114" s="79"/>
    </row>
    <row r="115" ht="15.75" customHeight="1">
      <c r="A115" s="47">
        <v>567.0</v>
      </c>
      <c r="B115" s="18">
        <v>21.0</v>
      </c>
      <c r="C115" s="12">
        <v>0.24444444444444444</v>
      </c>
      <c r="D115" s="13">
        <v>0.24722222222222223</v>
      </c>
      <c r="E115" s="64"/>
      <c r="F115" s="64">
        <v>728.0</v>
      </c>
      <c r="G115" s="18">
        <v>21.0</v>
      </c>
      <c r="H115" s="65">
        <v>0.32222222222222224</v>
      </c>
      <c r="I115" s="65">
        <v>0.3236111111111111</v>
      </c>
      <c r="J115" s="18"/>
      <c r="K115" s="12">
        <f t="shared" si="1"/>
        <v>-161</v>
      </c>
      <c r="L115" s="12"/>
      <c r="M115" s="18"/>
      <c r="N115" s="18"/>
      <c r="P115" s="12"/>
      <c r="Q115" s="12"/>
      <c r="U115" s="79"/>
      <c r="V115" s="79"/>
      <c r="Z115" s="79"/>
      <c r="AA115" s="79"/>
      <c r="AE115" s="79"/>
    </row>
    <row r="116" ht="15.75" customHeight="1">
      <c r="A116" s="47">
        <v>611.0</v>
      </c>
      <c r="B116" s="18">
        <v>31.0</v>
      </c>
      <c r="C116" s="12">
        <v>0.2951388888888889</v>
      </c>
      <c r="D116" s="13">
        <v>0.29930555555555555</v>
      </c>
      <c r="E116" s="64"/>
      <c r="F116" s="64">
        <v>729.0</v>
      </c>
      <c r="G116" s="18">
        <v>31.0</v>
      </c>
      <c r="H116" s="65">
        <v>0.3770833333333333</v>
      </c>
      <c r="I116" s="65">
        <v>0.3798611111111111</v>
      </c>
      <c r="J116" s="18"/>
      <c r="K116" s="12">
        <f t="shared" si="1"/>
        <v>-118</v>
      </c>
      <c r="L116" s="12"/>
      <c r="M116" s="18"/>
      <c r="N116" s="18"/>
      <c r="P116" s="12"/>
      <c r="Q116" s="12"/>
      <c r="U116" s="79"/>
      <c r="V116" s="79"/>
      <c r="Z116" s="79"/>
      <c r="AA116" s="79"/>
      <c r="AE116" s="79"/>
    </row>
    <row r="117" ht="15.75" customHeight="1">
      <c r="A117" s="47">
        <v>625.0</v>
      </c>
      <c r="B117" s="18">
        <v>67.0</v>
      </c>
      <c r="C117" s="12">
        <v>0.4305555555555556</v>
      </c>
      <c r="D117" s="13">
        <v>0.4409722222222222</v>
      </c>
      <c r="E117" s="64"/>
      <c r="F117" s="64">
        <v>730.0</v>
      </c>
      <c r="G117" s="18">
        <v>67.0</v>
      </c>
      <c r="H117" s="65">
        <v>0.5180555555555556</v>
      </c>
      <c r="I117" s="65">
        <v>0.5194444444444445</v>
      </c>
      <c r="J117" s="18"/>
      <c r="K117" s="12">
        <f t="shared" si="1"/>
        <v>-105</v>
      </c>
      <c r="L117" s="12"/>
      <c r="M117" s="18"/>
      <c r="N117" s="18"/>
      <c r="P117" s="12"/>
      <c r="Q117" s="12"/>
      <c r="U117" s="79"/>
      <c r="V117" s="79"/>
      <c r="Z117" s="79"/>
      <c r="AA117" s="79"/>
      <c r="AE117" s="79"/>
    </row>
    <row r="118" ht="15.75" customHeight="1">
      <c r="A118" s="47">
        <v>618.0</v>
      </c>
      <c r="B118" s="18">
        <v>11.0</v>
      </c>
      <c r="C118" s="12">
        <v>0.17430555555555555</v>
      </c>
      <c r="D118" s="13">
        <v>0.17708333333333334</v>
      </c>
      <c r="E118" s="64"/>
      <c r="F118" s="64">
        <v>731.0</v>
      </c>
      <c r="G118" s="18">
        <v>11.0</v>
      </c>
      <c r="H118" s="65">
        <v>0.2513888888888889</v>
      </c>
      <c r="I118" s="65">
        <v>0.2513888888888889</v>
      </c>
      <c r="J118" s="18"/>
      <c r="K118" s="12">
        <f t="shared" si="1"/>
        <v>-113</v>
      </c>
      <c r="L118" s="12"/>
      <c r="M118" s="18"/>
      <c r="N118" s="18"/>
      <c r="P118" s="12"/>
      <c r="Q118" s="12"/>
      <c r="U118" s="79"/>
      <c r="V118" s="79"/>
      <c r="Z118" s="79"/>
      <c r="AA118" s="79"/>
      <c r="AE118" s="79"/>
    </row>
    <row r="119" ht="15.75" customHeight="1">
      <c r="A119" s="47">
        <v>595.0</v>
      </c>
      <c r="B119" s="18">
        <v>107.0</v>
      </c>
      <c r="C119" s="12">
        <v>0.5027777777777778</v>
      </c>
      <c r="D119" s="13">
        <v>0.5090277777777777</v>
      </c>
      <c r="E119" s="64"/>
      <c r="F119" s="64">
        <v>732.0</v>
      </c>
      <c r="G119" s="18">
        <v>107.0</v>
      </c>
      <c r="H119" s="65">
        <v>0.09652777777777778</v>
      </c>
      <c r="I119" s="65">
        <v>0.09652777777777778</v>
      </c>
      <c r="J119" s="18"/>
      <c r="K119" s="12">
        <f t="shared" si="1"/>
        <v>-137</v>
      </c>
      <c r="L119" s="12"/>
      <c r="M119" s="18"/>
      <c r="N119" s="18"/>
      <c r="P119" s="12"/>
      <c r="Q119" s="12"/>
      <c r="U119" s="79"/>
      <c r="V119" s="79"/>
      <c r="Z119" s="79"/>
      <c r="AA119" s="79"/>
      <c r="AE119" s="79"/>
    </row>
    <row r="120" ht="15.75" customHeight="1">
      <c r="A120" s="47">
        <v>607.0</v>
      </c>
      <c r="B120" s="18">
        <v>78.0</v>
      </c>
      <c r="C120" s="12">
        <v>0.45208333333333334</v>
      </c>
      <c r="D120" s="13">
        <v>0.45625</v>
      </c>
      <c r="E120" s="64"/>
      <c r="F120" s="64">
        <v>734.0</v>
      </c>
      <c r="G120" s="18">
        <v>78.0</v>
      </c>
      <c r="H120" s="65">
        <v>0.5402777777777777</v>
      </c>
      <c r="I120" s="65">
        <v>0.044444444444444446</v>
      </c>
      <c r="J120" s="18"/>
      <c r="K120" s="12">
        <f t="shared" si="1"/>
        <v>-127</v>
      </c>
      <c r="L120" s="12"/>
      <c r="M120" s="18"/>
      <c r="N120" s="18"/>
      <c r="P120" s="12"/>
      <c r="Q120" s="12"/>
      <c r="U120" s="79"/>
      <c r="V120" s="79"/>
      <c r="Z120" s="79"/>
      <c r="AA120" s="79"/>
      <c r="AE120" s="79"/>
    </row>
    <row r="121" ht="15.75" customHeight="1">
      <c r="A121" s="47">
        <v>737.0</v>
      </c>
      <c r="B121" s="18">
        <v>68.0</v>
      </c>
      <c r="C121" s="12">
        <v>0.43194444444444446</v>
      </c>
      <c r="D121" s="13">
        <v>0.4354166666666667</v>
      </c>
      <c r="E121" s="64"/>
      <c r="F121" s="64">
        <v>737.0</v>
      </c>
      <c r="G121" s="18">
        <v>68.0</v>
      </c>
      <c r="H121" s="65">
        <v>0.5194444444444445</v>
      </c>
      <c r="I121" s="65">
        <v>0.5194444444444445</v>
      </c>
      <c r="J121" s="18"/>
      <c r="K121" s="12">
        <f t="shared" si="1"/>
        <v>0</v>
      </c>
      <c r="L121" s="12"/>
      <c r="M121" s="18"/>
      <c r="N121" s="18"/>
      <c r="P121" s="12"/>
      <c r="Q121" s="12"/>
      <c r="U121" s="79"/>
      <c r="V121" s="79"/>
      <c r="Z121" s="79"/>
      <c r="AA121" s="79"/>
      <c r="AE121" s="79"/>
    </row>
    <row r="122" ht="15.75" customHeight="1">
      <c r="A122" s="47">
        <v>714.0</v>
      </c>
      <c r="B122" s="18">
        <v>86.0</v>
      </c>
      <c r="C122" s="12">
        <v>0.4625</v>
      </c>
      <c r="D122" s="13">
        <v>0.4673611111111111</v>
      </c>
      <c r="E122" s="64"/>
      <c r="F122" s="64">
        <v>739.0</v>
      </c>
      <c r="G122" s="18">
        <v>86.0</v>
      </c>
      <c r="H122" s="65">
        <v>0.04861111111111111</v>
      </c>
      <c r="I122" s="65">
        <v>0.05</v>
      </c>
      <c r="J122" s="18"/>
      <c r="K122" s="12">
        <f t="shared" si="1"/>
        <v>-25</v>
      </c>
      <c r="L122" s="12"/>
      <c r="M122" s="18"/>
      <c r="N122" s="18"/>
      <c r="P122" s="12"/>
      <c r="Q122" s="12"/>
      <c r="U122" s="79"/>
      <c r="V122" s="79"/>
      <c r="Z122" s="79"/>
      <c r="AA122" s="79"/>
      <c r="AE122" s="79"/>
    </row>
    <row r="123" ht="15.75" customHeight="1">
      <c r="A123" s="47"/>
      <c r="B123" s="18"/>
      <c r="C123" s="12"/>
      <c r="D123" s="13"/>
      <c r="E123" s="64"/>
      <c r="F123" s="64"/>
      <c r="G123" s="64"/>
      <c r="H123" s="65"/>
      <c r="I123" s="65"/>
      <c r="J123" s="18"/>
      <c r="K123" s="12"/>
      <c r="L123" s="12"/>
      <c r="M123" s="18"/>
      <c r="N123" s="18"/>
      <c r="P123" s="12"/>
      <c r="Q123" s="12"/>
      <c r="U123" s="79"/>
      <c r="V123" s="79"/>
      <c r="Z123" s="79"/>
      <c r="AA123" s="79"/>
      <c r="AE123" s="79"/>
    </row>
    <row r="124" ht="15.75" customHeight="1">
      <c r="A124" s="47"/>
      <c r="B124" s="18"/>
      <c r="C124" s="12"/>
      <c r="D124" s="13"/>
      <c r="E124" s="64"/>
      <c r="F124" s="64"/>
      <c r="G124" s="64"/>
      <c r="H124" s="65"/>
      <c r="I124" s="65"/>
      <c r="J124" s="18"/>
      <c r="K124" s="12"/>
      <c r="L124" s="12"/>
      <c r="M124" s="18"/>
      <c r="N124" s="18"/>
      <c r="P124" s="12"/>
      <c r="Q124" s="12"/>
      <c r="U124" s="79"/>
      <c r="V124" s="79"/>
      <c r="Z124" s="79"/>
      <c r="AA124" s="79"/>
      <c r="AE124" s="79"/>
    </row>
    <row r="125" ht="15.75" customHeight="1">
      <c r="A125" s="47"/>
      <c r="B125" s="18"/>
      <c r="C125" s="12"/>
      <c r="D125" s="13"/>
      <c r="E125" s="64"/>
      <c r="F125" s="64"/>
      <c r="G125" s="64"/>
      <c r="H125" s="65"/>
      <c r="I125" s="65"/>
      <c r="J125" s="18"/>
      <c r="K125" s="12"/>
      <c r="L125" s="12"/>
      <c r="M125" s="18"/>
      <c r="N125" s="18"/>
      <c r="P125" s="12"/>
      <c r="Q125" s="12"/>
      <c r="U125" s="81"/>
      <c r="V125" s="79"/>
      <c r="Z125" s="79"/>
      <c r="AA125" s="79"/>
      <c r="AE125" s="79"/>
    </row>
    <row r="126" ht="15.75" customHeight="1">
      <c r="A126" s="47"/>
      <c r="B126" s="18"/>
      <c r="C126" s="12"/>
      <c r="D126" s="13"/>
      <c r="E126" s="64"/>
      <c r="F126" s="64"/>
      <c r="G126" s="64"/>
      <c r="H126" s="65"/>
      <c r="I126" s="65"/>
      <c r="J126" s="18"/>
      <c r="K126" s="12"/>
      <c r="L126" s="12"/>
      <c r="M126" s="18"/>
      <c r="N126" s="18"/>
      <c r="P126" s="12"/>
      <c r="Q126" s="12"/>
      <c r="U126" s="79"/>
      <c r="V126" s="79"/>
      <c r="Z126" s="79"/>
      <c r="AA126" s="79"/>
      <c r="AE126" s="79"/>
    </row>
    <row r="127" ht="15.75" customHeight="1">
      <c r="A127" s="47"/>
      <c r="B127" s="18"/>
      <c r="C127" s="12"/>
      <c r="D127" s="13"/>
      <c r="E127" s="64"/>
      <c r="F127" s="64"/>
      <c r="G127" s="64"/>
      <c r="H127" s="65"/>
      <c r="I127" s="65"/>
      <c r="J127" s="18"/>
      <c r="K127" s="12"/>
      <c r="L127" s="12"/>
      <c r="M127" s="18"/>
      <c r="N127" s="18"/>
      <c r="P127" s="12"/>
      <c r="Q127" s="12"/>
      <c r="U127" s="79"/>
      <c r="V127" s="79"/>
      <c r="Z127" s="79"/>
      <c r="AA127" s="79"/>
      <c r="AE127" s="79"/>
    </row>
    <row r="128" ht="15.75" customHeight="1">
      <c r="A128" s="47"/>
      <c r="B128" s="18"/>
      <c r="C128" s="12"/>
      <c r="D128" s="13"/>
      <c r="E128" s="64"/>
      <c r="F128" s="64"/>
      <c r="G128" s="64"/>
      <c r="H128" s="65"/>
      <c r="I128" s="65"/>
      <c r="J128" s="18"/>
      <c r="K128" s="12"/>
      <c r="L128" s="12"/>
      <c r="M128" s="18"/>
      <c r="N128" s="18"/>
      <c r="P128" s="12"/>
      <c r="Q128" s="12"/>
      <c r="U128" s="79"/>
      <c r="V128" s="81"/>
      <c r="Z128" s="79"/>
      <c r="AA128" s="79"/>
      <c r="AE128" s="79"/>
    </row>
    <row r="129" ht="15.75" customHeight="1">
      <c r="A129" s="47"/>
      <c r="B129" s="18"/>
      <c r="C129" s="12"/>
      <c r="D129" s="13"/>
      <c r="E129" s="64"/>
      <c r="F129" s="64"/>
      <c r="G129" s="64"/>
      <c r="H129" s="65"/>
      <c r="I129" s="65"/>
      <c r="J129" s="18"/>
      <c r="K129" s="12"/>
      <c r="L129" s="12"/>
      <c r="M129" s="18"/>
      <c r="N129" s="18"/>
      <c r="P129" s="12"/>
      <c r="Q129" s="12"/>
      <c r="U129" s="79"/>
      <c r="V129" s="79"/>
      <c r="Z129" s="79"/>
      <c r="AA129" s="79"/>
      <c r="AE129" s="79"/>
    </row>
    <row r="130" ht="15.75" customHeight="1">
      <c r="A130" s="47"/>
      <c r="B130" s="18"/>
      <c r="C130" s="12"/>
      <c r="D130" s="13"/>
      <c r="E130" s="64"/>
      <c r="F130" s="64"/>
      <c r="G130" s="64"/>
      <c r="H130" s="65"/>
      <c r="I130" s="65"/>
      <c r="J130" s="18"/>
      <c r="K130" s="12"/>
      <c r="L130" s="12"/>
      <c r="M130" s="18"/>
      <c r="N130" s="18"/>
      <c r="P130" s="12"/>
      <c r="Q130" s="12"/>
      <c r="U130" s="79"/>
      <c r="V130" s="79"/>
      <c r="Z130" s="79"/>
      <c r="AA130" s="79"/>
      <c r="AE130" s="79"/>
    </row>
    <row r="131" ht="15.75" customHeight="1">
      <c r="A131" s="47"/>
      <c r="B131" s="18"/>
      <c r="C131" s="12"/>
      <c r="D131" s="13"/>
      <c r="E131" s="64"/>
      <c r="F131" s="64"/>
      <c r="G131" s="64"/>
      <c r="H131" s="65"/>
      <c r="I131" s="65"/>
      <c r="J131" s="18"/>
      <c r="K131" s="12"/>
      <c r="L131" s="12"/>
      <c r="M131" s="18"/>
      <c r="N131" s="18"/>
      <c r="P131" s="12"/>
      <c r="Q131" s="12"/>
      <c r="U131" s="79"/>
      <c r="V131" s="79"/>
      <c r="Z131" s="79"/>
      <c r="AA131" s="79"/>
      <c r="AE131" s="79"/>
    </row>
    <row r="132" ht="15.75" customHeight="1">
      <c r="A132" s="47"/>
      <c r="B132" s="18"/>
      <c r="C132" s="12"/>
      <c r="D132" s="13"/>
      <c r="E132" s="64"/>
      <c r="F132" s="64"/>
      <c r="G132" s="64"/>
      <c r="H132" s="65"/>
      <c r="I132" s="65"/>
      <c r="J132" s="18"/>
      <c r="K132" s="12"/>
      <c r="L132" s="12"/>
      <c r="M132" s="18"/>
      <c r="N132" s="18"/>
      <c r="P132" s="12"/>
      <c r="Q132" s="12"/>
      <c r="U132" s="79"/>
      <c r="V132" s="79"/>
      <c r="Z132" s="79"/>
      <c r="AA132" s="79"/>
      <c r="AE132" s="79"/>
    </row>
    <row r="133" ht="15.75" customHeight="1">
      <c r="A133" s="47"/>
      <c r="B133" s="18"/>
      <c r="C133" s="12"/>
      <c r="D133" s="13"/>
      <c r="E133" s="64"/>
      <c r="F133" s="64"/>
      <c r="G133" s="64"/>
      <c r="H133" s="65"/>
      <c r="I133" s="65"/>
      <c r="J133" s="18"/>
      <c r="K133" s="12"/>
      <c r="L133" s="12"/>
      <c r="M133" s="18"/>
      <c r="N133" s="18"/>
      <c r="P133" s="12"/>
      <c r="Q133" s="12"/>
      <c r="U133" s="79"/>
      <c r="V133" s="79"/>
      <c r="Z133" s="79"/>
      <c r="AA133" s="79"/>
      <c r="AE133" s="79"/>
    </row>
    <row r="134" ht="15.75" customHeight="1">
      <c r="A134" s="47"/>
      <c r="B134" s="18"/>
      <c r="C134" s="12"/>
      <c r="D134" s="13"/>
      <c r="E134" s="64"/>
      <c r="F134" s="64"/>
      <c r="G134" s="64"/>
      <c r="H134" s="65"/>
      <c r="I134" s="65"/>
      <c r="J134" s="18"/>
      <c r="K134" s="12"/>
      <c r="L134" s="12"/>
      <c r="M134" s="18"/>
      <c r="N134" s="18"/>
      <c r="P134" s="12"/>
      <c r="Q134" s="12"/>
      <c r="U134" s="79"/>
      <c r="V134" s="79"/>
      <c r="Z134" s="79"/>
      <c r="AA134" s="79"/>
      <c r="AE134" s="79"/>
    </row>
    <row r="135" ht="15.75" customHeight="1">
      <c r="A135" s="47"/>
      <c r="B135" s="18"/>
      <c r="C135" s="12"/>
      <c r="D135" s="13"/>
      <c r="E135" s="64"/>
      <c r="F135" s="64"/>
      <c r="G135" s="64"/>
      <c r="H135" s="65"/>
      <c r="I135" s="65"/>
      <c r="J135" s="18"/>
      <c r="K135" s="12"/>
      <c r="L135" s="12"/>
      <c r="M135" s="18"/>
      <c r="N135" s="18"/>
      <c r="P135" s="12"/>
      <c r="Q135" s="12"/>
      <c r="U135" s="79"/>
      <c r="V135" s="79"/>
      <c r="Z135" s="79"/>
      <c r="AA135" s="79"/>
      <c r="AE135" s="79"/>
    </row>
    <row r="136" ht="15.75" customHeight="1">
      <c r="A136" s="47"/>
      <c r="B136" s="18"/>
      <c r="C136" s="12"/>
      <c r="D136" s="13"/>
      <c r="E136" s="64"/>
      <c r="F136" s="64"/>
      <c r="G136" s="64"/>
      <c r="H136" s="65"/>
      <c r="I136" s="65"/>
      <c r="J136" s="18"/>
      <c r="K136" s="12"/>
      <c r="L136" s="12"/>
      <c r="M136" s="18"/>
      <c r="N136" s="18"/>
      <c r="P136" s="12"/>
      <c r="Q136" s="12"/>
      <c r="U136" s="79"/>
      <c r="V136" s="79"/>
      <c r="Z136" s="79"/>
      <c r="AA136" s="79"/>
      <c r="AE136" s="79"/>
    </row>
    <row r="137" ht="15.75" customHeight="1">
      <c r="A137" s="47"/>
      <c r="B137" s="18"/>
      <c r="C137" s="12"/>
      <c r="D137" s="13"/>
      <c r="E137" s="64"/>
      <c r="F137" s="64"/>
      <c r="G137" s="64"/>
      <c r="H137" s="65"/>
      <c r="I137" s="65"/>
      <c r="J137" s="18"/>
      <c r="K137" s="12"/>
      <c r="L137" s="12"/>
      <c r="M137" s="18"/>
      <c r="N137" s="18"/>
      <c r="P137" s="12"/>
      <c r="Q137" s="12"/>
      <c r="U137" s="79"/>
      <c r="V137" s="79"/>
      <c r="Z137" s="79"/>
      <c r="AA137" s="79"/>
      <c r="AE137" s="79"/>
    </row>
    <row r="138" ht="15.75" customHeight="1">
      <c r="A138" s="47"/>
      <c r="B138" s="18"/>
      <c r="C138" s="12"/>
      <c r="D138" s="13"/>
      <c r="E138" s="64"/>
      <c r="F138" s="64"/>
      <c r="G138" s="64"/>
      <c r="H138" s="65"/>
      <c r="I138" s="65"/>
      <c r="J138" s="18"/>
      <c r="K138" s="12"/>
      <c r="L138" s="12"/>
      <c r="M138" s="18"/>
      <c r="N138" s="18"/>
      <c r="P138" s="12"/>
      <c r="Q138" s="12"/>
      <c r="U138" s="79"/>
    </row>
    <row r="139" ht="15.75" customHeight="1">
      <c r="A139" s="47"/>
      <c r="B139" s="18"/>
      <c r="C139" s="12"/>
      <c r="D139" s="13"/>
      <c r="E139" s="64"/>
      <c r="F139" s="64"/>
      <c r="G139" s="64"/>
      <c r="H139" s="65"/>
      <c r="I139" s="65"/>
      <c r="J139" s="18"/>
      <c r="K139" s="12"/>
      <c r="L139" s="12"/>
      <c r="M139" s="18"/>
      <c r="N139" s="18"/>
      <c r="P139" s="12"/>
      <c r="Q139" s="12"/>
      <c r="U139" s="79"/>
      <c r="V139" s="79"/>
      <c r="Z139" s="79"/>
      <c r="AA139" s="79"/>
      <c r="AE139" s="79"/>
    </row>
    <row r="140" ht="15.75" customHeight="1">
      <c r="A140" s="47"/>
      <c r="B140" s="18"/>
      <c r="C140" s="12"/>
      <c r="D140" s="13"/>
      <c r="E140" s="64"/>
      <c r="F140" s="64"/>
      <c r="G140" s="64"/>
      <c r="H140" s="65"/>
      <c r="I140" s="65"/>
      <c r="J140" s="18"/>
      <c r="K140" s="12"/>
      <c r="L140" s="12"/>
      <c r="M140" s="18"/>
      <c r="N140" s="18"/>
      <c r="P140" s="12"/>
      <c r="Q140" s="12"/>
      <c r="U140" s="79"/>
      <c r="V140" s="79"/>
      <c r="Z140" s="79"/>
      <c r="AA140" s="79"/>
      <c r="AE140" s="79"/>
    </row>
    <row r="141" ht="15.75" customHeight="1">
      <c r="A141" s="47"/>
      <c r="B141" s="18"/>
      <c r="C141" s="12"/>
      <c r="D141" s="13"/>
      <c r="E141" s="64"/>
      <c r="F141" s="64"/>
      <c r="G141" s="64"/>
      <c r="H141" s="65"/>
      <c r="I141" s="65"/>
      <c r="J141" s="18"/>
      <c r="K141" s="12"/>
      <c r="L141" s="12"/>
      <c r="M141" s="18"/>
      <c r="N141" s="18"/>
      <c r="P141" s="12"/>
      <c r="Q141" s="12"/>
      <c r="U141" s="79"/>
      <c r="V141" s="79"/>
      <c r="Z141" s="79"/>
      <c r="AA141" s="79"/>
      <c r="AE141" s="79"/>
    </row>
    <row r="142" ht="15.75" customHeight="1">
      <c r="A142" s="47"/>
      <c r="B142" s="18"/>
      <c r="C142" s="12"/>
      <c r="D142" s="13"/>
      <c r="E142" s="64"/>
      <c r="F142" s="64"/>
      <c r="G142" s="64"/>
      <c r="H142" s="65"/>
      <c r="I142" s="65"/>
      <c r="J142" s="18"/>
      <c r="K142" s="12"/>
      <c r="L142" s="12"/>
      <c r="M142" s="18"/>
      <c r="N142" s="18"/>
      <c r="P142" s="12"/>
      <c r="Q142" s="12"/>
      <c r="U142" s="79"/>
      <c r="V142" s="79"/>
      <c r="Z142" s="79"/>
      <c r="AA142" s="79"/>
      <c r="AE142" s="79"/>
    </row>
    <row r="143" ht="15.75" customHeight="1">
      <c r="A143" s="47"/>
      <c r="B143" s="18"/>
      <c r="C143" s="12"/>
      <c r="D143" s="13"/>
      <c r="E143" s="64"/>
      <c r="F143" s="64"/>
      <c r="G143" s="64"/>
      <c r="H143" s="65"/>
      <c r="I143" s="65"/>
      <c r="J143" s="18"/>
      <c r="K143" s="12"/>
      <c r="L143" s="12"/>
      <c r="M143" s="18"/>
      <c r="N143" s="18"/>
      <c r="P143" s="12"/>
      <c r="Q143" s="12"/>
      <c r="U143" s="79"/>
      <c r="V143" s="79"/>
      <c r="Z143" s="79"/>
      <c r="AA143" s="79"/>
      <c r="AE143" s="79"/>
    </row>
    <row r="144" ht="15.75" customHeight="1">
      <c r="A144" s="47"/>
      <c r="C144" s="12"/>
      <c r="D144" s="13"/>
      <c r="E144" s="64"/>
      <c r="F144" s="64"/>
      <c r="G144" s="64"/>
      <c r="H144" s="65"/>
      <c r="I144" s="65"/>
      <c r="J144" s="18"/>
      <c r="K144" s="12"/>
      <c r="L144" s="12"/>
      <c r="M144" s="18"/>
      <c r="N144" s="18"/>
      <c r="P144" s="12"/>
      <c r="Q144" s="12"/>
      <c r="U144" s="79"/>
      <c r="V144" s="79"/>
      <c r="Z144" s="79"/>
      <c r="AA144" s="79"/>
      <c r="AE144" s="79"/>
    </row>
    <row r="145" ht="15.75" customHeight="1">
      <c r="A145" s="47"/>
      <c r="B145" s="18"/>
      <c r="C145" s="12"/>
      <c r="D145" s="13"/>
      <c r="E145" s="64"/>
      <c r="F145" s="64"/>
      <c r="G145" s="64"/>
      <c r="H145" s="65"/>
      <c r="I145" s="65"/>
      <c r="J145" s="18"/>
      <c r="K145" s="12"/>
      <c r="L145" s="12"/>
      <c r="M145" s="18"/>
      <c r="N145" s="18"/>
      <c r="P145" s="12"/>
      <c r="Q145" s="12"/>
      <c r="U145" s="79"/>
      <c r="V145" s="79"/>
      <c r="Z145" s="79"/>
      <c r="AA145" s="79"/>
      <c r="AE145" s="79"/>
    </row>
    <row r="146" ht="15.75" customHeight="1">
      <c r="A146" s="47"/>
      <c r="B146" s="18"/>
      <c r="C146" s="12"/>
      <c r="D146" s="13"/>
      <c r="E146" s="64"/>
      <c r="F146" s="64"/>
      <c r="G146" s="64"/>
      <c r="H146" s="65"/>
      <c r="I146" s="65"/>
      <c r="J146" s="18"/>
      <c r="K146" s="12"/>
      <c r="L146" s="12"/>
      <c r="M146" s="18"/>
      <c r="N146" s="18"/>
      <c r="P146" s="12"/>
      <c r="Q146" s="12"/>
      <c r="U146" s="79"/>
      <c r="V146" s="79"/>
      <c r="Z146" s="79"/>
      <c r="AA146" s="79"/>
      <c r="AE146" s="79"/>
    </row>
    <row r="147" ht="15.75" customHeight="1">
      <c r="A147" s="47"/>
      <c r="B147" s="18"/>
      <c r="C147" s="12"/>
      <c r="D147" s="13"/>
      <c r="E147" s="64"/>
      <c r="F147" s="64"/>
      <c r="G147" s="64"/>
      <c r="H147" s="65"/>
      <c r="I147" s="65"/>
      <c r="J147" s="18"/>
      <c r="K147" s="12"/>
      <c r="L147" s="12"/>
      <c r="M147" s="18"/>
      <c r="N147" s="18"/>
      <c r="P147" s="12"/>
      <c r="Q147" s="12"/>
      <c r="U147" s="79"/>
      <c r="V147" s="79"/>
      <c r="Z147" s="79"/>
      <c r="AA147" s="79"/>
      <c r="AE147" s="79"/>
    </row>
    <row r="148" ht="15.75" customHeight="1">
      <c r="A148" s="47"/>
      <c r="B148" s="18"/>
      <c r="C148" s="12"/>
      <c r="D148" s="13"/>
      <c r="E148" s="64"/>
      <c r="F148" s="64"/>
      <c r="G148" s="64"/>
      <c r="H148" s="65"/>
      <c r="I148" s="65"/>
      <c r="J148" s="18"/>
      <c r="K148" s="12"/>
      <c r="L148" s="12"/>
      <c r="M148" s="18"/>
      <c r="N148" s="18"/>
      <c r="P148" s="12"/>
      <c r="Q148" s="12"/>
      <c r="U148" s="79"/>
      <c r="V148" s="79"/>
      <c r="Z148" s="79"/>
      <c r="AA148" s="79"/>
      <c r="AE148" s="79"/>
    </row>
    <row r="149" ht="15.75" customHeight="1">
      <c r="A149" s="47"/>
      <c r="B149" s="18"/>
      <c r="C149" s="12"/>
      <c r="D149" s="13"/>
      <c r="E149" s="64"/>
      <c r="F149" s="64"/>
      <c r="G149" s="64"/>
      <c r="H149" s="65"/>
      <c r="I149" s="65"/>
      <c r="J149" s="18"/>
      <c r="K149" s="12"/>
      <c r="L149" s="12"/>
      <c r="M149" s="18"/>
      <c r="N149" s="18"/>
      <c r="P149" s="12"/>
      <c r="Q149" s="12"/>
    </row>
    <row r="150" ht="15.75" customHeight="1">
      <c r="A150" s="47"/>
      <c r="B150" s="18"/>
      <c r="C150" s="12"/>
      <c r="D150" s="13"/>
      <c r="E150" s="64"/>
      <c r="F150" s="64"/>
      <c r="G150" s="64"/>
      <c r="H150" s="65"/>
      <c r="I150" s="65"/>
      <c r="J150" s="18"/>
      <c r="K150" s="12"/>
      <c r="L150" s="12"/>
      <c r="M150" s="18"/>
      <c r="N150" s="18"/>
      <c r="P150" s="12"/>
      <c r="Q150" s="12"/>
      <c r="U150" s="79"/>
      <c r="V150" s="79"/>
      <c r="Z150" s="79"/>
      <c r="AA150" s="79"/>
      <c r="AE150" s="79"/>
    </row>
    <row r="151" ht="15.75" customHeight="1">
      <c r="A151" s="47"/>
      <c r="B151" s="18"/>
      <c r="C151" s="12"/>
      <c r="D151" s="13"/>
      <c r="E151" s="64"/>
      <c r="F151" s="64"/>
      <c r="G151" s="64"/>
      <c r="H151" s="65"/>
      <c r="I151" s="65"/>
      <c r="J151" s="18"/>
      <c r="K151" s="12"/>
      <c r="L151" s="12"/>
      <c r="M151" s="18"/>
      <c r="N151" s="18"/>
      <c r="P151" s="12"/>
      <c r="Q151" s="12"/>
      <c r="U151" s="79"/>
      <c r="V151" s="79"/>
      <c r="Z151" s="79"/>
      <c r="AA151" s="79"/>
      <c r="AE151" s="79"/>
    </row>
    <row r="152" ht="15.75" customHeight="1">
      <c r="A152" s="47"/>
      <c r="B152" s="18"/>
      <c r="C152" s="12"/>
      <c r="D152" s="13"/>
      <c r="E152" s="64"/>
      <c r="F152" s="64"/>
      <c r="G152" s="64"/>
      <c r="H152" s="65"/>
      <c r="I152" s="65"/>
      <c r="J152" s="18"/>
      <c r="K152" s="12"/>
      <c r="L152" s="12"/>
      <c r="M152" s="18"/>
      <c r="N152" s="18"/>
      <c r="P152" s="12"/>
      <c r="Q152" s="12"/>
      <c r="U152" s="79"/>
      <c r="V152" s="79"/>
      <c r="Z152" s="79"/>
      <c r="AA152" s="79"/>
      <c r="AE152" s="79"/>
    </row>
    <row r="153" ht="15.75" customHeight="1">
      <c r="A153" s="47"/>
      <c r="B153" s="18"/>
      <c r="C153" s="12"/>
      <c r="D153" s="13"/>
      <c r="E153" s="64"/>
      <c r="F153" s="64"/>
      <c r="G153" s="64"/>
      <c r="H153" s="65"/>
      <c r="I153" s="65"/>
      <c r="J153" s="18"/>
      <c r="K153" s="12"/>
      <c r="L153" s="12"/>
      <c r="M153" s="18"/>
      <c r="N153" s="18"/>
      <c r="P153" s="12"/>
      <c r="Q153" s="12"/>
      <c r="U153" s="79"/>
      <c r="V153" s="79"/>
      <c r="Z153" s="79"/>
      <c r="AA153" s="79"/>
      <c r="AE153" s="79"/>
    </row>
    <row r="154" ht="15.75" customHeight="1">
      <c r="A154" s="47"/>
      <c r="B154" s="18"/>
      <c r="C154" s="12"/>
      <c r="D154" s="13"/>
      <c r="E154" s="64"/>
      <c r="F154" s="64"/>
      <c r="G154" s="64"/>
      <c r="H154" s="65"/>
      <c r="I154" s="65"/>
      <c r="J154" s="18"/>
      <c r="K154" s="12"/>
      <c r="L154" s="12"/>
      <c r="M154" s="18"/>
      <c r="N154" s="18"/>
      <c r="P154" s="12"/>
      <c r="Q154" s="12"/>
      <c r="U154" s="79"/>
      <c r="V154" s="79"/>
      <c r="Z154" s="79"/>
      <c r="AA154" s="79"/>
      <c r="AE154" s="79"/>
    </row>
    <row r="155" ht="15.75" customHeight="1">
      <c r="A155" s="47"/>
      <c r="B155" s="18"/>
      <c r="C155" s="12"/>
      <c r="D155" s="13"/>
      <c r="E155" s="64"/>
      <c r="F155" s="64"/>
      <c r="G155" s="64"/>
      <c r="H155" s="65"/>
      <c r="I155" s="65"/>
      <c r="J155" s="18"/>
      <c r="K155" s="12"/>
      <c r="L155" s="12"/>
      <c r="M155" s="18"/>
      <c r="N155" s="18"/>
      <c r="P155" s="12"/>
      <c r="Q155" s="12"/>
      <c r="U155" s="79"/>
      <c r="V155" s="79"/>
      <c r="Z155" s="79"/>
      <c r="AA155" s="79"/>
      <c r="AE155" s="79"/>
    </row>
    <row r="156" ht="15.75" customHeight="1">
      <c r="A156" s="47"/>
      <c r="B156" s="11"/>
      <c r="C156" s="12"/>
      <c r="D156" s="13"/>
      <c r="E156" s="64"/>
      <c r="F156" s="64"/>
      <c r="G156" s="64"/>
      <c r="H156" s="65"/>
      <c r="I156" s="65"/>
      <c r="J156" s="18"/>
      <c r="K156" s="12"/>
      <c r="L156" s="12"/>
      <c r="M156" s="18"/>
      <c r="N156" s="18"/>
      <c r="P156" s="12"/>
      <c r="Q156" s="12"/>
      <c r="U156" s="79"/>
      <c r="V156" s="79"/>
      <c r="Z156" s="79"/>
      <c r="AA156" s="79"/>
      <c r="AE156" s="79"/>
    </row>
    <row r="157" ht="15.75" customHeight="1">
      <c r="A157" s="47"/>
      <c r="B157" s="11"/>
      <c r="C157" s="12"/>
      <c r="D157" s="13"/>
      <c r="E157" s="64"/>
      <c r="F157" s="64"/>
      <c r="G157" s="64"/>
      <c r="H157" s="65"/>
      <c r="I157" s="65"/>
      <c r="J157" s="18"/>
      <c r="K157" s="12"/>
      <c r="L157" s="12"/>
      <c r="M157" s="18"/>
      <c r="N157" s="18"/>
      <c r="P157" s="12"/>
      <c r="Q157" s="12"/>
      <c r="U157" s="79"/>
      <c r="V157" s="79"/>
      <c r="Z157" s="79"/>
      <c r="AA157" s="79"/>
      <c r="AE157" s="79"/>
    </row>
    <row r="158" ht="15.75" customHeight="1">
      <c r="A158" s="47"/>
      <c r="B158" s="11"/>
      <c r="C158" s="12"/>
      <c r="D158" s="13"/>
      <c r="E158" s="64"/>
      <c r="F158" s="64"/>
      <c r="G158" s="64"/>
      <c r="H158" s="65"/>
      <c r="I158" s="65"/>
      <c r="J158" s="18"/>
      <c r="K158" s="12"/>
      <c r="L158" s="12"/>
      <c r="M158" s="18"/>
      <c r="N158" s="18"/>
      <c r="P158" s="12"/>
      <c r="Q158" s="12"/>
      <c r="U158" s="79"/>
      <c r="V158" s="79"/>
      <c r="Z158" s="79"/>
      <c r="AA158" s="79"/>
      <c r="AE158" s="79"/>
    </row>
    <row r="159" ht="15.75" customHeight="1">
      <c r="A159" s="47"/>
      <c r="B159" s="11"/>
      <c r="C159" s="12"/>
      <c r="D159" s="13"/>
      <c r="E159" s="64"/>
      <c r="F159" s="64"/>
      <c r="G159" s="64"/>
      <c r="H159" s="65"/>
      <c r="I159" s="65"/>
      <c r="J159" s="18"/>
      <c r="K159" s="12"/>
      <c r="L159" s="12"/>
      <c r="M159" s="18"/>
      <c r="N159" s="18"/>
      <c r="P159" s="12"/>
      <c r="Q159" s="12"/>
      <c r="U159" s="79"/>
      <c r="V159" s="79"/>
      <c r="Z159" s="79"/>
      <c r="AA159" s="79"/>
      <c r="AE159" s="79"/>
    </row>
    <row r="160" ht="15.75" customHeight="1">
      <c r="A160" s="47"/>
      <c r="B160" s="11"/>
      <c r="C160" s="12"/>
      <c r="D160" s="13"/>
      <c r="E160" s="64"/>
      <c r="F160" s="64"/>
      <c r="G160" s="64"/>
      <c r="H160" s="65"/>
      <c r="I160" s="66"/>
      <c r="J160" s="11"/>
      <c r="K160" s="12"/>
      <c r="L160" s="12"/>
      <c r="M160" s="18"/>
      <c r="N160" s="18"/>
      <c r="P160" s="12"/>
      <c r="Q160" s="12"/>
      <c r="U160" s="79"/>
      <c r="V160" s="79"/>
      <c r="Z160" s="79"/>
      <c r="AA160" s="79"/>
      <c r="AE160" s="79"/>
    </row>
    <row r="161" ht="15.75" customHeight="1">
      <c r="A161" s="47"/>
      <c r="B161" s="11"/>
      <c r="C161" s="12"/>
      <c r="D161" s="13"/>
      <c r="E161" s="64"/>
      <c r="F161" s="64"/>
      <c r="G161" s="64"/>
      <c r="H161" s="65"/>
      <c r="I161" s="66"/>
      <c r="J161" s="11"/>
      <c r="K161" s="12"/>
      <c r="L161" s="12"/>
      <c r="M161" s="18"/>
      <c r="N161" s="18"/>
      <c r="P161" s="12"/>
      <c r="Q161" s="12"/>
      <c r="U161" s="79"/>
      <c r="V161" s="79"/>
      <c r="Z161" s="79"/>
      <c r="AA161" s="79"/>
      <c r="AE161" s="79"/>
    </row>
    <row r="162" ht="15.75" customHeight="1">
      <c r="A162" s="47"/>
      <c r="B162" s="11"/>
      <c r="C162" s="12"/>
      <c r="D162" s="13"/>
      <c r="E162" s="64"/>
      <c r="F162" s="64"/>
      <c r="G162" s="64"/>
      <c r="H162" s="65"/>
      <c r="I162" s="66"/>
      <c r="J162" s="11"/>
      <c r="K162" s="12"/>
      <c r="L162" s="12"/>
      <c r="M162" s="18"/>
      <c r="N162" s="18"/>
      <c r="P162" s="12"/>
      <c r="Q162" s="12"/>
      <c r="U162" s="79"/>
      <c r="V162" s="79"/>
      <c r="Z162" s="79"/>
      <c r="AA162" s="79"/>
      <c r="AE162" s="79"/>
    </row>
    <row r="163" ht="15.75" customHeight="1">
      <c r="A163" s="47"/>
      <c r="B163" s="11"/>
      <c r="C163" s="12"/>
      <c r="D163" s="13"/>
      <c r="E163" s="64"/>
      <c r="F163" s="64"/>
      <c r="G163" s="64"/>
      <c r="H163" s="65"/>
      <c r="I163" s="66"/>
      <c r="J163" s="11"/>
      <c r="K163" s="18"/>
      <c r="L163" s="18"/>
      <c r="M163" s="18"/>
    </row>
    <row r="164" ht="15.75" customHeight="1">
      <c r="A164" s="47"/>
      <c r="B164" s="11"/>
      <c r="C164" s="12"/>
      <c r="D164" s="13"/>
      <c r="E164" s="64"/>
      <c r="F164" s="64"/>
      <c r="G164" s="64"/>
      <c r="H164" s="65"/>
      <c r="I164" s="66"/>
      <c r="J164" s="11"/>
      <c r="K164" s="12"/>
      <c r="L164" s="12"/>
      <c r="M164" s="18"/>
      <c r="N164" s="18"/>
      <c r="P164" s="12"/>
      <c r="Q164" s="12"/>
      <c r="U164" s="79"/>
      <c r="V164" s="79"/>
      <c r="Z164" s="79"/>
      <c r="AA164" s="79"/>
      <c r="AE164" s="79"/>
    </row>
    <row r="165" ht="15.75" customHeight="1">
      <c r="A165" s="47"/>
      <c r="B165" s="11"/>
      <c r="C165" s="12"/>
      <c r="D165" s="13"/>
      <c r="E165" s="64"/>
      <c r="F165" s="64"/>
      <c r="G165" s="64"/>
      <c r="H165" s="65"/>
      <c r="I165" s="66"/>
      <c r="J165" s="11"/>
      <c r="K165" s="12"/>
      <c r="L165" s="12"/>
      <c r="M165" s="18"/>
      <c r="N165" s="18"/>
      <c r="P165" s="12"/>
      <c r="Q165" s="12"/>
      <c r="U165" s="79"/>
      <c r="V165" s="79"/>
      <c r="Z165" s="79"/>
      <c r="AA165" s="79"/>
      <c r="AE165" s="79"/>
    </row>
    <row r="166" ht="15.75" customHeight="1">
      <c r="A166" s="47"/>
      <c r="B166" s="11"/>
      <c r="C166" s="12"/>
      <c r="D166" s="13"/>
      <c r="E166" s="64"/>
      <c r="F166" s="64"/>
      <c r="G166" s="64"/>
      <c r="H166" s="65"/>
      <c r="I166" s="66"/>
      <c r="J166" s="11"/>
      <c r="K166" s="12"/>
      <c r="L166" s="12"/>
      <c r="M166" s="18"/>
      <c r="N166" s="18"/>
      <c r="P166" s="12"/>
      <c r="Q166" s="12"/>
      <c r="U166" s="79"/>
      <c r="V166" s="79"/>
      <c r="Z166" s="79"/>
      <c r="AA166" s="79"/>
      <c r="AE166" s="79"/>
    </row>
    <row r="167" ht="15.75" customHeight="1">
      <c r="A167" s="47"/>
      <c r="B167" s="11"/>
      <c r="C167" s="12"/>
      <c r="D167" s="13"/>
      <c r="E167" s="64"/>
      <c r="F167" s="64"/>
      <c r="G167" s="64"/>
      <c r="H167" s="65"/>
      <c r="I167" s="66"/>
      <c r="J167" s="11"/>
      <c r="K167" s="12"/>
      <c r="L167" s="18"/>
      <c r="M167" s="18"/>
      <c r="N167" s="18"/>
      <c r="P167" s="12"/>
      <c r="Q167" s="12"/>
      <c r="U167" s="79"/>
      <c r="V167" s="79"/>
      <c r="Z167" s="79"/>
      <c r="AA167" s="79"/>
      <c r="AE167" s="79"/>
    </row>
    <row r="168" ht="15.75" customHeight="1">
      <c r="A168" s="47"/>
      <c r="B168" s="11"/>
      <c r="C168" s="12"/>
      <c r="D168" s="13"/>
      <c r="E168" s="64"/>
      <c r="F168" s="64"/>
      <c r="G168" s="64"/>
      <c r="H168" s="65"/>
      <c r="I168" s="66"/>
      <c r="J168" s="11"/>
      <c r="K168" s="12"/>
      <c r="L168" s="12"/>
      <c r="M168" s="18"/>
      <c r="N168" s="18"/>
      <c r="P168" s="12"/>
      <c r="Q168" s="12"/>
      <c r="U168" s="79"/>
      <c r="V168" s="79"/>
      <c r="Z168" s="79"/>
      <c r="AA168" s="79"/>
      <c r="AE168" s="79"/>
    </row>
    <row r="169" ht="15.75" customHeight="1">
      <c r="A169" s="47"/>
      <c r="B169" s="11"/>
      <c r="C169" s="12"/>
      <c r="D169" s="13"/>
      <c r="E169" s="64"/>
      <c r="F169" s="64"/>
      <c r="G169" s="64"/>
      <c r="H169" s="65"/>
      <c r="I169" s="66"/>
      <c r="J169" s="11"/>
      <c r="K169" s="12"/>
      <c r="L169" s="12"/>
      <c r="M169" s="18"/>
      <c r="N169" s="18"/>
      <c r="P169" s="12"/>
      <c r="Q169" s="12"/>
      <c r="U169" s="79"/>
      <c r="V169" s="79"/>
      <c r="Z169" s="79"/>
      <c r="AA169" s="79"/>
      <c r="AE169" s="79"/>
    </row>
    <row r="170" ht="15.75" customHeight="1">
      <c r="A170" s="47"/>
      <c r="B170" s="11"/>
      <c r="C170" s="12"/>
      <c r="D170" s="13"/>
      <c r="E170" s="64"/>
      <c r="F170" s="64"/>
      <c r="G170" s="64"/>
      <c r="H170" s="65"/>
      <c r="I170" s="66"/>
      <c r="J170" s="11"/>
      <c r="K170" s="12"/>
      <c r="L170" s="12"/>
      <c r="M170" s="18"/>
      <c r="N170" s="18"/>
      <c r="P170" s="12"/>
      <c r="Q170" s="12"/>
      <c r="U170" s="79"/>
      <c r="V170" s="79"/>
      <c r="Z170" s="79"/>
      <c r="AA170" s="79"/>
      <c r="AE170" s="79"/>
    </row>
    <row r="171" ht="15.75" customHeight="1">
      <c r="A171" s="47"/>
      <c r="B171" s="11"/>
      <c r="C171" s="12"/>
      <c r="D171" s="13"/>
      <c r="E171" s="64"/>
      <c r="F171" s="64"/>
      <c r="G171" s="64"/>
      <c r="H171" s="65"/>
      <c r="I171" s="66"/>
      <c r="J171" s="11"/>
      <c r="K171" s="12"/>
      <c r="L171" s="12"/>
      <c r="M171" s="18"/>
      <c r="N171" s="18"/>
      <c r="P171" s="12"/>
      <c r="Q171" s="12"/>
      <c r="U171" s="79"/>
      <c r="V171" s="79"/>
      <c r="Z171" s="79"/>
      <c r="AA171" s="79"/>
      <c r="AE171" s="79"/>
    </row>
    <row r="172" ht="15.75" customHeight="1">
      <c r="A172" s="47"/>
      <c r="B172" s="11"/>
      <c r="C172" s="12"/>
      <c r="D172" s="13"/>
      <c r="E172" s="64"/>
      <c r="F172" s="64"/>
      <c r="G172" s="64"/>
      <c r="H172" s="65"/>
      <c r="I172" s="66"/>
      <c r="J172" s="11"/>
      <c r="K172" s="12"/>
      <c r="L172" s="12"/>
      <c r="M172" s="18"/>
      <c r="N172" s="18"/>
      <c r="P172" s="12"/>
      <c r="Q172" s="12"/>
      <c r="U172" s="79"/>
      <c r="V172" s="79"/>
      <c r="Z172" s="79"/>
      <c r="AA172" s="79"/>
      <c r="AE172" s="79"/>
    </row>
    <row r="173" ht="15.75" customHeight="1">
      <c r="A173" s="47"/>
      <c r="B173" s="11"/>
      <c r="C173" s="12"/>
      <c r="D173" s="13"/>
      <c r="E173" s="64"/>
      <c r="F173" s="64"/>
      <c r="G173" s="64"/>
      <c r="H173" s="65"/>
      <c r="I173" s="66"/>
      <c r="J173" s="11"/>
      <c r="K173" s="12"/>
      <c r="L173" s="12"/>
      <c r="M173" s="18"/>
      <c r="N173" s="18"/>
      <c r="P173" s="12"/>
      <c r="Q173" s="12"/>
      <c r="U173" s="79"/>
    </row>
    <row r="174" ht="15.75" customHeight="1">
      <c r="A174" s="47"/>
      <c r="B174" s="11"/>
      <c r="C174" s="12"/>
      <c r="D174" s="13"/>
      <c r="E174" s="64"/>
      <c r="F174" s="64"/>
      <c r="G174" s="64"/>
      <c r="H174" s="65"/>
      <c r="I174" s="66"/>
      <c r="J174" s="11"/>
      <c r="K174" s="12"/>
      <c r="L174" s="12"/>
      <c r="M174" s="18"/>
      <c r="N174" s="18"/>
      <c r="P174" s="12"/>
      <c r="Q174" s="12"/>
      <c r="U174" s="79"/>
      <c r="V174" s="79"/>
      <c r="Z174" s="79"/>
      <c r="AA174" s="79"/>
      <c r="AE174" s="79"/>
    </row>
    <row r="175" ht="15.75" customHeight="1">
      <c r="A175" s="47"/>
      <c r="B175" s="11"/>
      <c r="C175" s="12"/>
      <c r="D175" s="13"/>
      <c r="E175" s="64"/>
      <c r="F175" s="64"/>
      <c r="G175" s="64"/>
      <c r="H175" s="65"/>
      <c r="I175" s="66"/>
      <c r="J175" s="11"/>
      <c r="K175" s="12"/>
      <c r="L175" s="12"/>
      <c r="M175" s="18"/>
      <c r="N175" s="18"/>
      <c r="P175" s="12"/>
      <c r="Q175" s="12"/>
      <c r="U175" s="79"/>
      <c r="V175" s="79"/>
      <c r="Z175" s="79"/>
      <c r="AA175" s="79"/>
      <c r="AE175" s="79"/>
    </row>
    <row r="176" ht="15.75" customHeight="1">
      <c r="A176" s="47"/>
      <c r="B176" s="11"/>
      <c r="C176" s="12"/>
      <c r="D176" s="13"/>
      <c r="E176" s="64"/>
      <c r="F176" s="64"/>
      <c r="G176" s="64"/>
      <c r="H176" s="65"/>
      <c r="I176" s="66"/>
      <c r="J176" s="11"/>
      <c r="K176" s="12"/>
      <c r="L176" s="12"/>
      <c r="M176" s="18"/>
      <c r="N176" s="18"/>
      <c r="P176" s="12"/>
      <c r="Q176" s="12"/>
      <c r="U176" s="79"/>
      <c r="V176" s="79"/>
      <c r="Z176" s="79"/>
      <c r="AA176" s="79"/>
      <c r="AE176" s="79"/>
    </row>
    <row r="177" ht="15.75" customHeight="1">
      <c r="A177" s="47"/>
      <c r="B177" s="11"/>
      <c r="C177" s="12"/>
      <c r="D177" s="13"/>
      <c r="E177" s="64"/>
      <c r="F177" s="64"/>
      <c r="G177" s="64"/>
      <c r="H177" s="65"/>
      <c r="I177" s="66"/>
      <c r="J177" s="11"/>
      <c r="K177" s="12"/>
      <c r="L177" s="12"/>
      <c r="M177" s="18"/>
      <c r="N177" s="18"/>
      <c r="P177" s="12"/>
      <c r="Q177" s="12"/>
      <c r="U177" s="79"/>
      <c r="V177" s="79"/>
      <c r="Z177" s="79"/>
      <c r="AA177" s="79"/>
      <c r="AE177" s="79"/>
    </row>
    <row r="178" ht="15.75" customHeight="1">
      <c r="A178" s="47"/>
      <c r="B178" s="11"/>
      <c r="C178" s="12"/>
      <c r="D178" s="13"/>
      <c r="E178" s="64"/>
      <c r="F178" s="64"/>
      <c r="G178" s="64"/>
      <c r="H178" s="65"/>
      <c r="I178" s="66"/>
      <c r="J178" s="11"/>
      <c r="K178" s="12"/>
      <c r="L178" s="12"/>
      <c r="M178" s="18"/>
      <c r="N178" s="18"/>
      <c r="P178" s="12"/>
      <c r="Q178" s="12"/>
      <c r="U178" s="79"/>
      <c r="V178" s="79"/>
      <c r="Z178" s="79"/>
      <c r="AA178" s="79"/>
      <c r="AE178" s="79"/>
    </row>
    <row r="179" ht="15.75" customHeight="1">
      <c r="A179" s="47"/>
      <c r="B179" s="11"/>
      <c r="C179" s="12"/>
      <c r="D179" s="13"/>
      <c r="E179" s="64"/>
      <c r="F179" s="64"/>
      <c r="G179" s="64"/>
      <c r="H179" s="65"/>
      <c r="I179" s="66"/>
      <c r="J179" s="11"/>
      <c r="K179" s="12"/>
      <c r="L179" s="12"/>
      <c r="M179" s="18"/>
      <c r="N179" s="18"/>
      <c r="P179" s="12"/>
      <c r="Q179" s="12"/>
      <c r="U179" s="79"/>
      <c r="V179" s="79"/>
      <c r="Z179" s="79"/>
      <c r="AA179" s="79"/>
      <c r="AE179" s="79"/>
    </row>
    <row r="180" ht="15.75" customHeight="1">
      <c r="A180" s="47"/>
      <c r="B180" s="11"/>
      <c r="C180" s="12"/>
      <c r="D180" s="13"/>
      <c r="E180" s="64"/>
      <c r="F180" s="64"/>
      <c r="G180" s="64"/>
      <c r="H180" s="65"/>
      <c r="I180" s="66"/>
      <c r="J180" s="11"/>
      <c r="K180" s="12"/>
      <c r="L180" s="12"/>
      <c r="M180" s="18"/>
      <c r="N180" s="18"/>
      <c r="P180" s="12"/>
      <c r="Q180" s="12"/>
      <c r="U180" s="79"/>
      <c r="V180" s="79"/>
      <c r="Z180" s="79"/>
      <c r="AA180" s="79"/>
      <c r="AE180" s="79"/>
    </row>
    <row r="181" ht="15.75" customHeight="1">
      <c r="A181" s="47"/>
      <c r="B181" s="11"/>
      <c r="C181" s="12"/>
      <c r="D181" s="13"/>
      <c r="E181" s="64"/>
      <c r="F181" s="64"/>
      <c r="G181" s="64"/>
      <c r="H181" s="65"/>
      <c r="I181" s="66"/>
      <c r="J181" s="11"/>
      <c r="K181" s="12"/>
      <c r="L181" s="12"/>
      <c r="M181" s="18"/>
      <c r="N181" s="18"/>
      <c r="P181" s="12"/>
      <c r="Q181" s="12"/>
      <c r="U181" s="79"/>
      <c r="V181" s="79"/>
      <c r="Z181" s="79"/>
      <c r="AA181" s="79"/>
      <c r="AE181" s="79"/>
    </row>
    <row r="182" ht="15.75" customHeight="1">
      <c r="A182" s="47"/>
      <c r="B182" s="11"/>
      <c r="C182" s="12"/>
      <c r="D182" s="13"/>
      <c r="E182" s="64"/>
      <c r="F182" s="64"/>
      <c r="G182" s="64"/>
      <c r="H182" s="65"/>
      <c r="I182" s="66"/>
      <c r="J182" s="11"/>
      <c r="K182" s="12"/>
      <c r="L182" s="12"/>
      <c r="M182" s="18"/>
      <c r="N182" s="18"/>
      <c r="P182" s="12"/>
      <c r="Q182" s="12"/>
      <c r="U182" s="79"/>
      <c r="V182" s="79"/>
      <c r="Z182" s="79"/>
      <c r="AA182" s="79"/>
      <c r="AE182" s="79"/>
    </row>
    <row r="183" ht="15.75" customHeight="1">
      <c r="A183" s="47"/>
      <c r="B183" s="11"/>
      <c r="C183" s="12"/>
      <c r="D183" s="13"/>
      <c r="E183" s="64"/>
      <c r="F183" s="64"/>
      <c r="G183" s="64"/>
      <c r="H183" s="65"/>
      <c r="I183" s="66"/>
      <c r="J183" s="11"/>
      <c r="K183" s="12"/>
      <c r="L183" s="12"/>
      <c r="M183" s="18"/>
      <c r="N183" s="18"/>
      <c r="P183" s="12"/>
      <c r="Q183" s="12"/>
      <c r="U183" s="79"/>
      <c r="V183" s="79"/>
      <c r="Z183" s="79"/>
      <c r="AA183" s="79"/>
      <c r="AE183" s="79"/>
    </row>
    <row r="184" ht="15.75" customHeight="1">
      <c r="A184" s="47"/>
      <c r="B184" s="11"/>
      <c r="C184" s="12"/>
      <c r="D184" s="13"/>
      <c r="E184" s="64"/>
      <c r="F184" s="64"/>
      <c r="G184" s="64"/>
      <c r="H184" s="65"/>
      <c r="I184" s="66"/>
      <c r="J184" s="11"/>
      <c r="K184" s="12"/>
      <c r="L184" s="12"/>
      <c r="M184" s="18"/>
      <c r="N184" s="18"/>
      <c r="P184" s="12"/>
      <c r="Q184" s="12"/>
      <c r="U184" s="79"/>
      <c r="V184" s="79"/>
      <c r="Z184" s="79"/>
      <c r="AA184" s="79"/>
      <c r="AE184" s="79"/>
    </row>
    <row r="185" ht="15.75" customHeight="1">
      <c r="A185" s="47"/>
      <c r="B185" s="11"/>
      <c r="C185" s="12"/>
      <c r="D185" s="13"/>
      <c r="E185" s="64"/>
      <c r="F185" s="64"/>
      <c r="G185" s="64"/>
      <c r="H185" s="65"/>
      <c r="I185" s="66"/>
      <c r="J185" s="11"/>
      <c r="K185" s="12"/>
      <c r="L185" s="12"/>
      <c r="M185" s="18"/>
      <c r="N185" s="18"/>
      <c r="P185" s="12"/>
      <c r="Q185" s="12"/>
      <c r="U185" s="79"/>
      <c r="V185" s="79"/>
      <c r="Z185" s="79"/>
      <c r="AA185" s="79"/>
      <c r="AE185" s="79"/>
    </row>
    <row r="186" ht="15.75" customHeight="1">
      <c r="A186" s="47"/>
      <c r="B186" s="11"/>
      <c r="C186" s="12"/>
      <c r="D186" s="13"/>
      <c r="E186" s="64"/>
      <c r="F186" s="64"/>
      <c r="G186" s="64"/>
      <c r="H186" s="65"/>
      <c r="I186" s="66"/>
      <c r="J186" s="11"/>
      <c r="K186" s="12"/>
      <c r="L186" s="12"/>
      <c r="M186" s="18"/>
      <c r="N186" s="18"/>
      <c r="P186" s="12"/>
      <c r="Q186" s="12"/>
      <c r="U186" s="79"/>
      <c r="V186" s="79"/>
      <c r="Z186" s="79"/>
      <c r="AA186" s="79"/>
      <c r="AE186" s="79"/>
    </row>
    <row r="187" ht="15.75" customHeight="1">
      <c r="A187" s="47"/>
      <c r="B187" s="11"/>
      <c r="C187" s="12"/>
      <c r="D187" s="13"/>
      <c r="E187" s="64"/>
      <c r="F187" s="64"/>
      <c r="G187" s="64"/>
      <c r="H187" s="65"/>
      <c r="I187" s="66"/>
      <c r="J187" s="11"/>
      <c r="K187" s="12"/>
      <c r="L187" s="12"/>
      <c r="N187" s="18"/>
      <c r="P187" s="12"/>
      <c r="Q187" s="12"/>
      <c r="U187" s="79"/>
      <c r="V187" s="79"/>
      <c r="Z187" s="79"/>
      <c r="AA187" s="79"/>
      <c r="AE187" s="79"/>
    </row>
    <row r="188" ht="15.75" customHeight="1">
      <c r="A188" s="47"/>
      <c r="B188" s="11"/>
      <c r="C188" s="12"/>
      <c r="D188" s="13"/>
      <c r="E188" s="64"/>
      <c r="F188" s="64"/>
      <c r="G188" s="64"/>
      <c r="H188" s="65"/>
      <c r="I188" s="66"/>
      <c r="J188" s="11"/>
      <c r="K188" s="12"/>
      <c r="L188" s="12"/>
      <c r="M188" s="18"/>
      <c r="N188" s="18"/>
      <c r="P188" s="12"/>
      <c r="Q188" s="12"/>
      <c r="U188" s="79"/>
      <c r="V188" s="79"/>
      <c r="Z188" s="79"/>
      <c r="AA188" s="79"/>
      <c r="AE188" s="79"/>
    </row>
    <row r="189" ht="15.75" customHeight="1">
      <c r="A189" s="47"/>
      <c r="B189" s="11"/>
      <c r="C189" s="12"/>
      <c r="D189" s="13"/>
      <c r="E189" s="64"/>
      <c r="F189" s="64"/>
      <c r="G189" s="64"/>
      <c r="H189" s="65"/>
      <c r="I189" s="66"/>
      <c r="J189" s="11"/>
      <c r="K189" s="12"/>
      <c r="L189" s="12"/>
      <c r="M189" s="18"/>
      <c r="N189" s="18"/>
      <c r="P189" s="12"/>
      <c r="Q189" s="12"/>
      <c r="U189" s="79"/>
      <c r="V189" s="79"/>
      <c r="Z189" s="79"/>
      <c r="AA189" s="79"/>
      <c r="AE189" s="79"/>
    </row>
    <row r="190" ht="15.75" customHeight="1">
      <c r="A190" s="47"/>
      <c r="B190" s="11"/>
      <c r="C190" s="12"/>
      <c r="D190" s="13"/>
      <c r="E190" s="64"/>
      <c r="F190" s="64"/>
      <c r="G190" s="64"/>
      <c r="H190" s="65"/>
      <c r="I190" s="66"/>
      <c r="J190" s="11"/>
      <c r="K190" s="12"/>
      <c r="L190" s="12"/>
      <c r="M190" s="18"/>
      <c r="N190" s="18"/>
      <c r="P190" s="12"/>
      <c r="Q190" s="12"/>
      <c r="U190" s="79"/>
      <c r="V190" s="79"/>
      <c r="Z190" s="79"/>
      <c r="AA190" s="79"/>
      <c r="AE190" s="79"/>
    </row>
    <row r="191" ht="15.75" customHeight="1">
      <c r="A191" s="47"/>
      <c r="B191" s="11"/>
      <c r="C191" s="12"/>
      <c r="D191" s="13"/>
      <c r="E191" s="64"/>
      <c r="F191" s="64"/>
      <c r="G191" s="64"/>
      <c r="H191" s="65"/>
      <c r="I191" s="66"/>
      <c r="J191" s="11"/>
      <c r="K191" s="12"/>
      <c r="L191" s="12"/>
      <c r="M191" s="18"/>
      <c r="N191" s="18"/>
      <c r="P191" s="12"/>
      <c r="Q191" s="12"/>
      <c r="U191" s="79"/>
      <c r="V191" s="79"/>
      <c r="Z191" s="79"/>
      <c r="AA191" s="79"/>
      <c r="AE191" s="79"/>
    </row>
    <row r="192" ht="15.75" customHeight="1">
      <c r="A192" s="47"/>
      <c r="B192" s="11"/>
      <c r="C192" s="12"/>
      <c r="D192" s="13"/>
      <c r="E192" s="64"/>
      <c r="F192" s="64"/>
      <c r="G192" s="64"/>
      <c r="H192" s="65"/>
      <c r="I192" s="66"/>
      <c r="J192" s="11"/>
      <c r="K192" s="12"/>
      <c r="L192" s="12"/>
      <c r="M192" s="18"/>
      <c r="N192" s="18"/>
      <c r="P192" s="12"/>
      <c r="Q192" s="12"/>
      <c r="U192" s="79"/>
      <c r="V192" s="79"/>
      <c r="Z192" s="79"/>
      <c r="AA192" s="79"/>
      <c r="AE192" s="79"/>
    </row>
    <row r="193" ht="15.75" customHeight="1">
      <c r="A193" s="47"/>
      <c r="B193" s="11"/>
      <c r="C193" s="12"/>
      <c r="D193" s="13"/>
      <c r="E193" s="64"/>
      <c r="F193" s="64"/>
      <c r="G193" s="64"/>
      <c r="H193" s="65"/>
      <c r="I193" s="66"/>
      <c r="J193" s="11"/>
      <c r="K193" s="12"/>
      <c r="L193" s="12"/>
      <c r="M193" s="18"/>
      <c r="N193" s="18"/>
      <c r="P193" s="12"/>
      <c r="Q193" s="12"/>
      <c r="U193" s="79"/>
      <c r="V193" s="79"/>
      <c r="Z193" s="79"/>
      <c r="AA193" s="79"/>
      <c r="AE193" s="79"/>
    </row>
    <row r="194" ht="15.75" customHeight="1">
      <c r="A194" s="47"/>
      <c r="B194" s="11"/>
      <c r="C194" s="12"/>
      <c r="D194" s="13"/>
      <c r="E194" s="64"/>
      <c r="F194" s="64"/>
      <c r="G194" s="64"/>
      <c r="H194" s="65"/>
      <c r="I194" s="66"/>
      <c r="J194" s="11"/>
      <c r="K194" s="12"/>
      <c r="L194" s="12"/>
      <c r="M194" s="18"/>
      <c r="N194" s="18"/>
      <c r="P194" s="12"/>
      <c r="Q194" s="12"/>
      <c r="U194" s="79"/>
      <c r="V194" s="79"/>
      <c r="Z194" s="79"/>
      <c r="AA194" s="79"/>
      <c r="AE194" s="79"/>
    </row>
    <row r="195" ht="15.75" customHeight="1">
      <c r="A195" s="47"/>
      <c r="B195" s="11"/>
      <c r="C195" s="12"/>
      <c r="D195" s="13"/>
      <c r="E195" s="64"/>
      <c r="F195" s="64"/>
      <c r="G195" s="64"/>
      <c r="H195" s="65"/>
      <c r="I195" s="66"/>
      <c r="J195" s="11"/>
      <c r="K195" s="12"/>
      <c r="L195" s="12"/>
      <c r="M195" s="18"/>
      <c r="N195" s="18"/>
      <c r="P195" s="12"/>
      <c r="Q195" s="12"/>
      <c r="U195" s="79"/>
      <c r="V195" s="79"/>
      <c r="Z195" s="79"/>
      <c r="AA195" s="79"/>
      <c r="AE195" s="79"/>
    </row>
    <row r="196" ht="15.75" customHeight="1">
      <c r="A196" s="47"/>
      <c r="B196" s="11"/>
      <c r="C196" s="12"/>
      <c r="D196" s="13"/>
      <c r="E196" s="64"/>
      <c r="F196" s="64"/>
      <c r="G196" s="64"/>
      <c r="H196" s="65"/>
      <c r="I196" s="66"/>
      <c r="J196" s="11"/>
      <c r="K196" s="12"/>
      <c r="L196" s="12"/>
      <c r="M196" s="18"/>
      <c r="N196" s="18"/>
      <c r="P196" s="12"/>
      <c r="Q196" s="12"/>
      <c r="U196" s="79"/>
      <c r="V196" s="79"/>
      <c r="Z196" s="79"/>
      <c r="AA196" s="79"/>
      <c r="AE196" s="79"/>
    </row>
    <row r="197" ht="15.75" customHeight="1">
      <c r="A197" s="47"/>
      <c r="B197" s="11"/>
      <c r="C197" s="12"/>
      <c r="D197" s="13"/>
      <c r="E197" s="64"/>
      <c r="F197" s="64"/>
      <c r="G197" s="64"/>
      <c r="H197" s="65"/>
      <c r="I197" s="66"/>
      <c r="J197" s="11"/>
      <c r="K197" s="12"/>
      <c r="L197" s="12"/>
      <c r="M197" s="18"/>
      <c r="N197" s="18"/>
      <c r="P197" s="12"/>
      <c r="Q197" s="12"/>
      <c r="U197" s="79"/>
      <c r="V197" s="79"/>
      <c r="Z197" s="79"/>
      <c r="AA197" s="79"/>
      <c r="AE197" s="79"/>
    </row>
    <row r="198" ht="15.75" customHeight="1">
      <c r="A198" s="47"/>
      <c r="B198" s="11"/>
      <c r="C198" s="12"/>
      <c r="D198" s="13"/>
      <c r="E198" s="64"/>
      <c r="F198" s="64"/>
      <c r="G198" s="64"/>
      <c r="H198" s="65"/>
      <c r="I198" s="66"/>
      <c r="J198" s="11"/>
      <c r="K198" s="12"/>
      <c r="L198" s="12"/>
      <c r="M198" s="18"/>
      <c r="N198" s="18"/>
      <c r="P198" s="12"/>
      <c r="Q198" s="12"/>
      <c r="U198" s="79"/>
      <c r="V198" s="79"/>
      <c r="Z198" s="79"/>
      <c r="AA198" s="79"/>
      <c r="AE198" s="79"/>
    </row>
    <row r="199" ht="15.75" customHeight="1">
      <c r="A199" s="47"/>
      <c r="B199" s="11"/>
      <c r="C199" s="12"/>
      <c r="D199" s="13"/>
      <c r="E199" s="64"/>
      <c r="F199" s="64"/>
      <c r="G199" s="64"/>
      <c r="H199" s="65"/>
      <c r="I199" s="66"/>
      <c r="J199" s="11"/>
      <c r="K199" s="12"/>
      <c r="L199" s="12"/>
      <c r="M199" s="18"/>
      <c r="N199" s="18"/>
      <c r="P199" s="12"/>
      <c r="Q199" s="12"/>
      <c r="U199" s="79"/>
      <c r="V199" s="81"/>
    </row>
    <row r="200" ht="15.75" customHeight="1">
      <c r="A200" s="47"/>
      <c r="B200" s="11"/>
      <c r="C200" s="12"/>
      <c r="D200" s="13"/>
      <c r="E200" s="64"/>
      <c r="F200" s="64"/>
      <c r="G200" s="64"/>
      <c r="H200" s="65"/>
      <c r="I200" s="66"/>
      <c r="J200" s="11"/>
      <c r="K200" s="12"/>
      <c r="L200" s="12"/>
      <c r="M200" s="18"/>
      <c r="N200" s="18"/>
      <c r="P200" s="12"/>
      <c r="Q200" s="12"/>
      <c r="U200" s="79"/>
      <c r="V200" s="79"/>
      <c r="Z200" s="79"/>
      <c r="AA200" s="79"/>
      <c r="AE200" s="79"/>
    </row>
    <row r="201" ht="15.75" customHeight="1">
      <c r="A201" s="47"/>
      <c r="B201" s="11"/>
      <c r="C201" s="12"/>
      <c r="D201" s="13"/>
      <c r="E201" s="64"/>
      <c r="F201" s="64"/>
      <c r="G201" s="64"/>
      <c r="H201" s="65"/>
      <c r="I201" s="66"/>
      <c r="J201" s="11"/>
      <c r="K201" s="12"/>
      <c r="L201" s="12"/>
      <c r="M201" s="18"/>
      <c r="N201" s="18"/>
      <c r="P201" s="12"/>
      <c r="Q201" s="12"/>
      <c r="U201" s="79"/>
      <c r="V201" s="79"/>
      <c r="Z201" s="79"/>
      <c r="AA201" s="79"/>
      <c r="AE201" s="79"/>
    </row>
    <row r="202" ht="15.75" customHeight="1">
      <c r="A202" s="47"/>
      <c r="B202" s="11"/>
      <c r="C202" s="12"/>
      <c r="D202" s="13"/>
      <c r="E202" s="64"/>
      <c r="F202" s="64"/>
      <c r="G202" s="64"/>
      <c r="H202" s="65"/>
      <c r="I202" s="66"/>
      <c r="J202" s="11"/>
      <c r="K202" s="12"/>
      <c r="L202" s="12"/>
      <c r="M202" s="18"/>
      <c r="N202" s="18"/>
      <c r="P202" s="12"/>
      <c r="Q202" s="12"/>
      <c r="U202" s="79"/>
      <c r="V202" s="79"/>
      <c r="Z202" s="79"/>
      <c r="AA202" s="79"/>
      <c r="AE202" s="79"/>
    </row>
    <row r="203" ht="15.75" customHeight="1">
      <c r="A203" s="47"/>
      <c r="B203" s="11"/>
      <c r="C203" s="12"/>
      <c r="D203" s="13"/>
      <c r="E203" s="64"/>
      <c r="F203" s="64"/>
      <c r="G203" s="64"/>
      <c r="H203" s="65"/>
      <c r="I203" s="66"/>
      <c r="J203" s="11"/>
      <c r="K203" s="12"/>
      <c r="L203" s="12"/>
      <c r="M203" s="18"/>
      <c r="N203" s="18"/>
      <c r="P203" s="12"/>
      <c r="Q203" s="12"/>
      <c r="U203" s="79"/>
      <c r="V203" s="79"/>
      <c r="Z203" s="79"/>
      <c r="AA203" s="79"/>
      <c r="AE203" s="79"/>
    </row>
    <row r="204" ht="15.75" customHeight="1">
      <c r="A204" s="47"/>
      <c r="B204" s="11"/>
      <c r="C204" s="12"/>
      <c r="D204" s="13"/>
      <c r="E204" s="64"/>
      <c r="F204" s="64"/>
      <c r="G204" s="64"/>
      <c r="H204" s="65"/>
      <c r="I204" s="66"/>
      <c r="J204" s="11"/>
      <c r="K204" s="12"/>
      <c r="L204" s="12"/>
      <c r="M204" s="18"/>
      <c r="N204" s="18"/>
      <c r="P204" s="12"/>
      <c r="Q204" s="12"/>
      <c r="U204" s="79"/>
      <c r="V204" s="79"/>
      <c r="Z204" s="79"/>
      <c r="AA204" s="79"/>
      <c r="AE204" s="79"/>
    </row>
    <row r="205" ht="15.75" customHeight="1">
      <c r="A205" s="47"/>
      <c r="B205" s="11"/>
      <c r="C205" s="12"/>
      <c r="D205" s="13"/>
      <c r="E205" s="64"/>
      <c r="F205" s="64"/>
      <c r="G205" s="64"/>
      <c r="H205" s="65"/>
      <c r="I205" s="66"/>
      <c r="J205" s="11"/>
      <c r="K205" s="12"/>
      <c r="L205" s="12"/>
      <c r="M205" s="18"/>
      <c r="N205" s="18"/>
      <c r="P205" s="12"/>
      <c r="Q205" s="12"/>
      <c r="U205" s="79"/>
      <c r="V205" s="79"/>
      <c r="Z205" s="79"/>
      <c r="AA205" s="79"/>
      <c r="AE205" s="79"/>
    </row>
    <row r="206" ht="15.75" customHeight="1">
      <c r="A206" s="47"/>
      <c r="B206" s="11"/>
      <c r="C206" s="12"/>
      <c r="D206" s="13"/>
      <c r="E206" s="64"/>
      <c r="F206" s="64"/>
      <c r="G206" s="64"/>
      <c r="H206" s="65"/>
      <c r="I206" s="66"/>
      <c r="J206" s="11"/>
      <c r="K206" s="12"/>
      <c r="L206" s="12"/>
      <c r="M206" s="18"/>
      <c r="N206" s="18"/>
      <c r="P206" s="12"/>
      <c r="Q206" s="12"/>
      <c r="U206" s="79"/>
      <c r="V206" s="79"/>
      <c r="Z206" s="79"/>
      <c r="AA206" s="79"/>
      <c r="AE206" s="79"/>
    </row>
    <row r="207" ht="15.75" customHeight="1">
      <c r="A207" s="47"/>
      <c r="B207" s="11"/>
      <c r="C207" s="12"/>
      <c r="D207" s="13"/>
      <c r="E207" s="64"/>
      <c r="F207" s="64"/>
      <c r="G207" s="64"/>
      <c r="H207" s="65"/>
      <c r="I207" s="66"/>
      <c r="J207" s="11"/>
      <c r="K207" s="12"/>
      <c r="L207" s="12"/>
      <c r="M207" s="18"/>
      <c r="N207" s="18"/>
      <c r="P207" s="12"/>
      <c r="Q207" s="12"/>
      <c r="U207" s="79"/>
      <c r="V207" s="79"/>
      <c r="Z207" s="79"/>
      <c r="AA207" s="79"/>
      <c r="AE207" s="79"/>
    </row>
    <row r="208" ht="15.75" customHeight="1">
      <c r="A208" s="47"/>
      <c r="B208" s="11"/>
      <c r="C208" s="12"/>
      <c r="D208" s="13"/>
      <c r="E208" s="64"/>
      <c r="F208" s="64"/>
      <c r="G208" s="64"/>
      <c r="H208" s="65"/>
      <c r="I208" s="66"/>
      <c r="J208" s="11"/>
      <c r="K208" s="12"/>
      <c r="L208" s="12"/>
      <c r="M208" s="18"/>
      <c r="N208" s="18"/>
      <c r="P208" s="12"/>
      <c r="Q208" s="12"/>
      <c r="U208" s="79"/>
      <c r="V208" s="79"/>
      <c r="Z208" s="79"/>
      <c r="AA208" s="79"/>
      <c r="AE208" s="79"/>
    </row>
    <row r="209" ht="15.75" customHeight="1">
      <c r="A209" s="47"/>
      <c r="B209" s="11"/>
      <c r="C209" s="12"/>
      <c r="D209" s="13"/>
      <c r="E209" s="64"/>
      <c r="F209" s="64"/>
      <c r="G209" s="64"/>
      <c r="H209" s="65"/>
      <c r="I209" s="66"/>
      <c r="J209" s="11"/>
      <c r="K209" s="12"/>
      <c r="L209" s="12"/>
    </row>
    <row r="210" ht="15.75" customHeight="1">
      <c r="B210" s="11"/>
      <c r="C210" s="12"/>
      <c r="D210" s="13"/>
      <c r="E210" s="64"/>
      <c r="F210" s="64"/>
      <c r="G210" s="64"/>
      <c r="H210" s="65"/>
      <c r="I210" s="66"/>
      <c r="J210" s="73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</row>
    <row r="223" ht="15.75" customHeight="1"/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55 G2:G122">
    <cfRule type="notContainsBlanks" dxfId="0" priority="1">
      <formula>LEN(TRIM(B2))&gt;0</formula>
    </cfRule>
  </conditionalFormatting>
  <conditionalFormatting sqref="K1:K1000">
    <cfRule type="notContainsBlanks" dxfId="0" priority="2">
      <formula>LEN(TRIM(K1))&gt;0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4" width="6.13"/>
    <col customWidth="1" min="5" max="5" width="6.63"/>
    <col customWidth="1" min="6" max="6" width="8.88"/>
    <col customWidth="1" min="9" max="9" width="12.63"/>
  </cols>
  <sheetData>
    <row r="1" ht="15.75" customHeight="1">
      <c r="A1" s="98" t="s">
        <v>0</v>
      </c>
      <c r="B1" s="99" t="s">
        <v>187</v>
      </c>
      <c r="C1" s="99"/>
      <c r="D1" s="99"/>
      <c r="E1" s="99" t="s">
        <v>2</v>
      </c>
      <c r="F1" s="99" t="s">
        <v>188</v>
      </c>
      <c r="G1" s="100"/>
      <c r="H1" s="100"/>
      <c r="I1" s="101" t="s">
        <v>189</v>
      </c>
      <c r="J1" s="17"/>
      <c r="K1" s="17"/>
    </row>
    <row r="2" ht="15.75" customHeight="1">
      <c r="A2" s="102" t="s">
        <v>163</v>
      </c>
      <c r="B2" s="103">
        <v>500.0</v>
      </c>
      <c r="C2" s="47">
        <v>500.0</v>
      </c>
      <c r="D2" s="47">
        <f t="shared" ref="D2:D122" si="1">B2-C2</f>
        <v>0</v>
      </c>
      <c r="E2" s="103" t="s">
        <v>54</v>
      </c>
      <c r="F2" s="104">
        <v>1.4508979166666667</v>
      </c>
      <c r="G2" s="100">
        <f t="shared" ref="G2:G122" si="2">K2+F2</f>
        <v>44787.65923</v>
      </c>
      <c r="H2" s="100">
        <v>44787.65923125</v>
      </c>
      <c r="I2" s="105">
        <v>107.0</v>
      </c>
      <c r="J2" s="17"/>
      <c r="K2" s="106">
        <v>44786.208333333336</v>
      </c>
    </row>
    <row r="3" ht="15.75" customHeight="1">
      <c r="A3" s="102" t="s">
        <v>176</v>
      </c>
      <c r="B3" s="103">
        <v>501.0</v>
      </c>
      <c r="C3" s="47">
        <v>501.0</v>
      </c>
      <c r="D3" s="47">
        <f t="shared" si="1"/>
        <v>0</v>
      </c>
      <c r="E3" s="103" t="s">
        <v>66</v>
      </c>
      <c r="F3" s="104">
        <v>1.4836866898148149</v>
      </c>
      <c r="G3" s="100">
        <f t="shared" si="2"/>
        <v>44787.69202</v>
      </c>
      <c r="H3" s="100">
        <v>44787.69202002315</v>
      </c>
      <c r="I3" s="105">
        <v>120.0</v>
      </c>
      <c r="J3" s="17"/>
      <c r="K3" s="106">
        <v>44786.208333333336</v>
      </c>
    </row>
    <row r="4" ht="15.75" customHeight="1">
      <c r="A4" s="102" t="s">
        <v>90</v>
      </c>
      <c r="B4" s="103">
        <v>507.0</v>
      </c>
      <c r="C4" s="47">
        <v>507.0</v>
      </c>
      <c r="D4" s="47">
        <f t="shared" si="1"/>
        <v>0</v>
      </c>
      <c r="E4" s="103" t="s">
        <v>54</v>
      </c>
      <c r="F4" s="104">
        <v>1.2331511574074074</v>
      </c>
      <c r="G4" s="100">
        <f t="shared" si="2"/>
        <v>44787.44148</v>
      </c>
      <c r="H4" s="100">
        <v>44787.441484490744</v>
      </c>
      <c r="I4" s="105">
        <v>36.0</v>
      </c>
      <c r="J4" s="17"/>
      <c r="K4" s="106">
        <v>44786.208333333336</v>
      </c>
    </row>
    <row r="5" ht="15.75" customHeight="1">
      <c r="A5" s="102" t="s">
        <v>136</v>
      </c>
      <c r="B5" s="103">
        <v>509.0</v>
      </c>
      <c r="C5" s="47">
        <v>509.0</v>
      </c>
      <c r="D5" s="47">
        <f t="shared" si="1"/>
        <v>0</v>
      </c>
      <c r="E5" s="103" t="s">
        <v>66</v>
      </c>
      <c r="F5" s="104">
        <v>1.3972873842592592</v>
      </c>
      <c r="G5" s="100">
        <f t="shared" si="2"/>
        <v>44787.60562</v>
      </c>
      <c r="H5" s="100">
        <v>44787.60562071759</v>
      </c>
      <c r="I5" s="105">
        <v>80.0</v>
      </c>
      <c r="J5" s="17"/>
      <c r="K5" s="106">
        <v>44786.208333333336</v>
      </c>
    </row>
    <row r="6" ht="15.75" customHeight="1">
      <c r="A6" s="102" t="s">
        <v>91</v>
      </c>
      <c r="B6" s="103">
        <v>511.0</v>
      </c>
      <c r="C6" s="47">
        <v>511.0</v>
      </c>
      <c r="D6" s="47">
        <f t="shared" si="1"/>
        <v>0</v>
      </c>
      <c r="E6" s="103" t="s">
        <v>54</v>
      </c>
      <c r="F6" s="104">
        <v>1.2336413194444444</v>
      </c>
      <c r="G6" s="100">
        <f t="shared" si="2"/>
        <v>44787.44197</v>
      </c>
      <c r="H6" s="100">
        <v>44787.44197465278</v>
      </c>
      <c r="I6" s="105">
        <v>37.0</v>
      </c>
      <c r="J6" s="17"/>
      <c r="K6" s="106">
        <v>44786.208333333336</v>
      </c>
    </row>
    <row r="7" ht="15.75" customHeight="1">
      <c r="A7" s="102" t="s">
        <v>56</v>
      </c>
      <c r="B7" s="103">
        <v>513.0</v>
      </c>
      <c r="C7" s="47">
        <v>513.0</v>
      </c>
      <c r="D7" s="47">
        <f t="shared" si="1"/>
        <v>0</v>
      </c>
      <c r="E7" s="103" t="s">
        <v>54</v>
      </c>
      <c r="F7" s="107">
        <v>0.9910855324074074</v>
      </c>
      <c r="G7" s="100">
        <f t="shared" si="2"/>
        <v>44787.19942</v>
      </c>
      <c r="H7" s="100">
        <v>44787.19941886574</v>
      </c>
      <c r="I7" s="105">
        <v>3.0</v>
      </c>
      <c r="J7" s="17"/>
      <c r="K7" s="106">
        <v>44786.208333333336</v>
      </c>
    </row>
    <row r="8" ht="15.75" customHeight="1">
      <c r="A8" s="102" t="s">
        <v>61</v>
      </c>
      <c r="B8" s="103">
        <v>515.0</v>
      </c>
      <c r="C8" s="47">
        <v>515.0</v>
      </c>
      <c r="D8" s="47">
        <f t="shared" si="1"/>
        <v>0</v>
      </c>
      <c r="E8" s="103" t="s">
        <v>54</v>
      </c>
      <c r="F8" s="104">
        <v>1.059508101851852</v>
      </c>
      <c r="G8" s="100">
        <f t="shared" si="2"/>
        <v>44787.26784</v>
      </c>
      <c r="H8" s="100">
        <v>44787.26784143519</v>
      </c>
      <c r="I8" s="105">
        <v>8.0</v>
      </c>
      <c r="J8" s="17"/>
      <c r="K8" s="106">
        <v>44786.208333333336</v>
      </c>
    </row>
    <row r="9" ht="15.75" customHeight="1">
      <c r="A9" s="102" t="s">
        <v>167</v>
      </c>
      <c r="B9" s="103">
        <v>516.0</v>
      </c>
      <c r="C9" s="47">
        <v>516.0</v>
      </c>
      <c r="D9" s="47">
        <f t="shared" si="1"/>
        <v>0</v>
      </c>
      <c r="E9" s="103" t="s">
        <v>54</v>
      </c>
      <c r="F9" s="104">
        <v>1.4593266203703705</v>
      </c>
      <c r="G9" s="100">
        <f t="shared" si="2"/>
        <v>44787.66766</v>
      </c>
      <c r="H9" s="100">
        <v>44787.66765995371</v>
      </c>
      <c r="I9" s="105">
        <v>111.0</v>
      </c>
      <c r="J9" s="17"/>
      <c r="K9" s="106">
        <v>44786.208333333336</v>
      </c>
    </row>
    <row r="10" ht="15.75" customHeight="1">
      <c r="A10" s="102" t="s">
        <v>135</v>
      </c>
      <c r="B10" s="103">
        <v>518.0</v>
      </c>
      <c r="C10" s="47">
        <v>518.0</v>
      </c>
      <c r="D10" s="47">
        <f t="shared" si="1"/>
        <v>0</v>
      </c>
      <c r="E10" s="103" t="s">
        <v>54</v>
      </c>
      <c r="F10" s="104">
        <v>1.3907583333333333</v>
      </c>
      <c r="G10" s="100">
        <f t="shared" si="2"/>
        <v>44787.59909</v>
      </c>
      <c r="H10" s="100">
        <v>44787.59909166667</v>
      </c>
      <c r="I10" s="105">
        <v>79.0</v>
      </c>
      <c r="J10" s="17"/>
      <c r="K10" s="106">
        <v>44786.208333333336</v>
      </c>
    </row>
    <row r="11" ht="15.75" customHeight="1">
      <c r="A11" s="102" t="s">
        <v>118</v>
      </c>
      <c r="B11" s="103">
        <v>519.0</v>
      </c>
      <c r="C11" s="47">
        <v>519.0</v>
      </c>
      <c r="D11" s="47">
        <f t="shared" si="1"/>
        <v>0</v>
      </c>
      <c r="E11" s="103" t="s">
        <v>54</v>
      </c>
      <c r="F11" s="104">
        <v>1.3597502314814816</v>
      </c>
      <c r="G11" s="100">
        <f t="shared" si="2"/>
        <v>44787.56808</v>
      </c>
      <c r="H11" s="100">
        <v>44787.568083564816</v>
      </c>
      <c r="I11" s="105">
        <v>63.0</v>
      </c>
      <c r="J11" s="17"/>
      <c r="K11" s="106">
        <v>44786.208333333336</v>
      </c>
    </row>
    <row r="12" ht="15.75" customHeight="1">
      <c r="A12" s="102" t="s">
        <v>95</v>
      </c>
      <c r="B12" s="103">
        <v>522.0</v>
      </c>
      <c r="C12" s="47">
        <v>522.0</v>
      </c>
      <c r="D12" s="47">
        <f t="shared" si="1"/>
        <v>0</v>
      </c>
      <c r="E12" s="103" t="s">
        <v>54</v>
      </c>
      <c r="F12" s="104">
        <v>1.2433167824074074</v>
      </c>
      <c r="G12" s="100">
        <f t="shared" si="2"/>
        <v>44787.45165</v>
      </c>
      <c r="H12" s="100">
        <v>44787.45165011574</v>
      </c>
      <c r="I12" s="105">
        <v>41.0</v>
      </c>
      <c r="J12" s="17"/>
      <c r="K12" s="106">
        <v>44786.208333333336</v>
      </c>
    </row>
    <row r="13" ht="15.75" customHeight="1">
      <c r="A13" s="102" t="s">
        <v>93</v>
      </c>
      <c r="B13" s="103">
        <v>523.0</v>
      </c>
      <c r="C13" s="47">
        <v>523.0</v>
      </c>
      <c r="D13" s="47">
        <f t="shared" si="1"/>
        <v>0</v>
      </c>
      <c r="E13" s="103" t="s">
        <v>54</v>
      </c>
      <c r="F13" s="104">
        <v>1.2390349537037038</v>
      </c>
      <c r="G13" s="100">
        <f t="shared" si="2"/>
        <v>44787.44737</v>
      </c>
      <c r="H13" s="100">
        <v>44787.44736828704</v>
      </c>
      <c r="I13" s="105">
        <v>39.0</v>
      </c>
      <c r="J13" s="17"/>
      <c r="K13" s="106">
        <v>44786.208333333336</v>
      </c>
    </row>
    <row r="14" ht="15.75" customHeight="1">
      <c r="A14" s="102" t="s">
        <v>161</v>
      </c>
      <c r="B14" s="103">
        <v>525.0</v>
      </c>
      <c r="C14" s="47">
        <v>525.0</v>
      </c>
      <c r="D14" s="47">
        <f t="shared" si="1"/>
        <v>0</v>
      </c>
      <c r="E14" s="103" t="s">
        <v>66</v>
      </c>
      <c r="F14" s="104">
        <v>1.4455030092592593</v>
      </c>
      <c r="G14" s="100">
        <f t="shared" si="2"/>
        <v>44787.65384</v>
      </c>
      <c r="H14" s="100">
        <v>44787.65383634259</v>
      </c>
      <c r="I14" s="105">
        <v>105.0</v>
      </c>
      <c r="J14" s="17"/>
      <c r="K14" s="106">
        <v>44786.208333333336</v>
      </c>
    </row>
    <row r="15" ht="15.75" customHeight="1">
      <c r="A15" s="102" t="s">
        <v>84</v>
      </c>
      <c r="B15" s="103">
        <v>527.0</v>
      </c>
      <c r="C15" s="47">
        <v>527.0</v>
      </c>
      <c r="D15" s="47">
        <f t="shared" si="1"/>
        <v>0</v>
      </c>
      <c r="E15" s="103" t="s">
        <v>54</v>
      </c>
      <c r="F15" s="104">
        <v>1.210885300925926</v>
      </c>
      <c r="G15" s="100">
        <f t="shared" si="2"/>
        <v>44787.41922</v>
      </c>
      <c r="H15" s="100">
        <v>44787.41921863426</v>
      </c>
      <c r="I15" s="105">
        <v>30.0</v>
      </c>
      <c r="J15" s="17"/>
      <c r="K15" s="106">
        <v>44786.208333333336</v>
      </c>
    </row>
    <row r="16" ht="15.75" customHeight="1">
      <c r="A16" s="102" t="s">
        <v>154</v>
      </c>
      <c r="B16" s="103">
        <v>528.0</v>
      </c>
      <c r="C16" s="47">
        <v>528.0</v>
      </c>
      <c r="D16" s="47">
        <f t="shared" si="1"/>
        <v>0</v>
      </c>
      <c r="E16" s="103" t="s">
        <v>54</v>
      </c>
      <c r="F16" s="104">
        <v>1.4284540509259258</v>
      </c>
      <c r="G16" s="100">
        <f t="shared" si="2"/>
        <v>44787.63679</v>
      </c>
      <c r="H16" s="100">
        <v>44787.63678738426</v>
      </c>
      <c r="I16" s="105">
        <v>98.0</v>
      </c>
      <c r="J16" s="17"/>
      <c r="K16" s="106">
        <v>44786.208333333336</v>
      </c>
    </row>
    <row r="17" ht="15.75" customHeight="1">
      <c r="A17" s="102" t="s">
        <v>70</v>
      </c>
      <c r="B17" s="103">
        <v>529.0</v>
      </c>
      <c r="C17" s="47">
        <v>529.0</v>
      </c>
      <c r="D17" s="47">
        <f t="shared" si="1"/>
        <v>0</v>
      </c>
      <c r="E17" s="103" t="s">
        <v>54</v>
      </c>
      <c r="F17" s="104">
        <v>1.1154905092592593</v>
      </c>
      <c r="G17" s="100">
        <f t="shared" si="2"/>
        <v>44787.32382</v>
      </c>
      <c r="H17" s="100">
        <v>44787.3238238426</v>
      </c>
      <c r="I17" s="105">
        <v>16.0</v>
      </c>
      <c r="J17" s="17"/>
      <c r="K17" s="106">
        <v>44786.208333333336</v>
      </c>
    </row>
    <row r="18" ht="15.75" customHeight="1">
      <c r="A18" s="102" t="s">
        <v>87</v>
      </c>
      <c r="B18" s="103">
        <v>530.0</v>
      </c>
      <c r="C18" s="47">
        <v>530.0</v>
      </c>
      <c r="D18" s="47">
        <f t="shared" si="1"/>
        <v>0</v>
      </c>
      <c r="E18" s="103" t="s">
        <v>54</v>
      </c>
      <c r="F18" s="104">
        <v>1.2228887731481481</v>
      </c>
      <c r="G18" s="100">
        <f t="shared" si="2"/>
        <v>44787.43122</v>
      </c>
      <c r="H18" s="100">
        <v>44787.43122210648</v>
      </c>
      <c r="I18" s="105">
        <v>33.0</v>
      </c>
      <c r="J18" s="17"/>
      <c r="K18" s="106">
        <v>44786.208333333336</v>
      </c>
    </row>
    <row r="19" ht="15.75" customHeight="1">
      <c r="A19" s="102" t="s">
        <v>148</v>
      </c>
      <c r="B19" s="103">
        <v>534.0</v>
      </c>
      <c r="C19" s="47">
        <v>534.0</v>
      </c>
      <c r="D19" s="47">
        <f t="shared" si="1"/>
        <v>0</v>
      </c>
      <c r="E19" s="103" t="s">
        <v>54</v>
      </c>
      <c r="F19" s="104">
        <v>1.416175462962963</v>
      </c>
      <c r="G19" s="100">
        <f t="shared" si="2"/>
        <v>44787.62451</v>
      </c>
      <c r="H19" s="100">
        <v>44787.624508796296</v>
      </c>
      <c r="I19" s="105">
        <v>92.0</v>
      </c>
      <c r="J19" s="17"/>
      <c r="K19" s="106">
        <v>44786.208333333336</v>
      </c>
    </row>
    <row r="20" ht="15.75" customHeight="1">
      <c r="A20" s="102" t="s">
        <v>114</v>
      </c>
      <c r="B20" s="103">
        <v>536.0</v>
      </c>
      <c r="C20" s="47">
        <v>536.0</v>
      </c>
      <c r="D20" s="47">
        <f t="shared" si="1"/>
        <v>0</v>
      </c>
      <c r="E20" s="103" t="s">
        <v>54</v>
      </c>
      <c r="F20" s="104">
        <v>1.3347590277777777</v>
      </c>
      <c r="G20" s="100">
        <f t="shared" si="2"/>
        <v>44787.54309</v>
      </c>
      <c r="H20" s="100">
        <v>44787.54309236111</v>
      </c>
      <c r="I20" s="105">
        <v>59.0</v>
      </c>
      <c r="J20" s="17"/>
      <c r="K20" s="106">
        <v>44786.208333333336</v>
      </c>
    </row>
    <row r="21" ht="15.75" customHeight="1">
      <c r="A21" s="102" t="s">
        <v>53</v>
      </c>
      <c r="B21" s="103">
        <v>537.0</v>
      </c>
      <c r="C21" s="47">
        <v>537.0</v>
      </c>
      <c r="D21" s="47">
        <f t="shared" si="1"/>
        <v>0</v>
      </c>
      <c r="E21" s="103" t="s">
        <v>54</v>
      </c>
      <c r="F21" s="107">
        <v>0.8426692129629629</v>
      </c>
      <c r="G21" s="100">
        <f t="shared" si="2"/>
        <v>44787.051</v>
      </c>
      <c r="H21" s="100">
        <v>44787.0510025463</v>
      </c>
      <c r="I21" s="105">
        <v>1.0</v>
      </c>
      <c r="J21" s="17"/>
      <c r="K21" s="106">
        <v>44786.208333333336</v>
      </c>
    </row>
    <row r="22" ht="15.75" customHeight="1">
      <c r="A22" s="102" t="s">
        <v>130</v>
      </c>
      <c r="B22" s="103">
        <v>538.0</v>
      </c>
      <c r="C22" s="47">
        <v>538.0</v>
      </c>
      <c r="D22" s="47">
        <f t="shared" si="1"/>
        <v>0</v>
      </c>
      <c r="E22" s="103" t="s">
        <v>54</v>
      </c>
      <c r="F22" s="104">
        <v>1.3801907407407408</v>
      </c>
      <c r="G22" s="100">
        <f t="shared" si="2"/>
        <v>44787.58852</v>
      </c>
      <c r="H22" s="100">
        <v>44787.588524074075</v>
      </c>
      <c r="I22" s="105">
        <v>74.0</v>
      </c>
      <c r="J22" s="17"/>
      <c r="K22" s="106">
        <v>44786.208333333336</v>
      </c>
    </row>
    <row r="23" ht="15.75" customHeight="1">
      <c r="A23" s="102" t="s">
        <v>60</v>
      </c>
      <c r="B23" s="103">
        <v>543.0</v>
      </c>
      <c r="C23" s="47">
        <v>543.0</v>
      </c>
      <c r="D23" s="47">
        <f t="shared" si="1"/>
        <v>0</v>
      </c>
      <c r="E23" s="103" t="s">
        <v>54</v>
      </c>
      <c r="F23" s="104">
        <v>1.0584597222222223</v>
      </c>
      <c r="G23" s="100">
        <f t="shared" si="2"/>
        <v>44787.26679</v>
      </c>
      <c r="H23" s="100">
        <v>44787.266793055554</v>
      </c>
      <c r="I23" s="105">
        <v>7.0</v>
      </c>
      <c r="J23" s="17"/>
      <c r="K23" s="106">
        <v>44786.208333333336</v>
      </c>
    </row>
    <row r="24" ht="15.75" customHeight="1">
      <c r="A24" s="102" t="s">
        <v>144</v>
      </c>
      <c r="B24" s="103">
        <v>545.0</v>
      </c>
      <c r="C24" s="47">
        <v>545.0</v>
      </c>
      <c r="D24" s="47">
        <f t="shared" si="1"/>
        <v>0</v>
      </c>
      <c r="E24" s="103" t="s">
        <v>54</v>
      </c>
      <c r="F24" s="104">
        <v>1.4108878472222224</v>
      </c>
      <c r="G24" s="100">
        <f t="shared" si="2"/>
        <v>44787.61922</v>
      </c>
      <c r="H24" s="100">
        <v>44787.61922118056</v>
      </c>
      <c r="I24" s="105">
        <v>88.0</v>
      </c>
      <c r="J24" s="17"/>
      <c r="K24" s="106">
        <v>44786.208333333336</v>
      </c>
    </row>
    <row r="25" ht="15.75" customHeight="1">
      <c r="A25" s="102" t="s">
        <v>102</v>
      </c>
      <c r="B25" s="103">
        <v>546.0</v>
      </c>
      <c r="C25" s="47">
        <v>546.0</v>
      </c>
      <c r="D25" s="47">
        <f t="shared" si="1"/>
        <v>0</v>
      </c>
      <c r="E25" s="103" t="s">
        <v>66</v>
      </c>
      <c r="F25" s="104">
        <v>1.2742763888888888</v>
      </c>
      <c r="G25" s="100">
        <f t="shared" si="2"/>
        <v>44787.48261</v>
      </c>
      <c r="H25" s="100">
        <v>44787.482609722225</v>
      </c>
      <c r="I25" s="105">
        <v>48.0</v>
      </c>
      <c r="J25" s="17"/>
      <c r="K25" s="106">
        <v>44786.208333333336</v>
      </c>
    </row>
    <row r="26" ht="15.75" customHeight="1">
      <c r="A26" s="102" t="s">
        <v>113</v>
      </c>
      <c r="B26" s="103">
        <v>547.0</v>
      </c>
      <c r="C26" s="47">
        <v>547.0</v>
      </c>
      <c r="D26" s="47">
        <f t="shared" si="1"/>
        <v>0</v>
      </c>
      <c r="E26" s="103" t="s">
        <v>66</v>
      </c>
      <c r="F26" s="104">
        <v>1.3323645833333333</v>
      </c>
      <c r="G26" s="100">
        <f t="shared" si="2"/>
        <v>44787.5407</v>
      </c>
      <c r="H26" s="100">
        <v>44787.540697916666</v>
      </c>
      <c r="I26" s="105">
        <v>58.0</v>
      </c>
      <c r="J26" s="17"/>
      <c r="K26" s="106">
        <v>44786.208333333336</v>
      </c>
    </row>
    <row r="27" ht="15.75" customHeight="1">
      <c r="A27" s="102" t="s">
        <v>137</v>
      </c>
      <c r="B27" s="103">
        <v>548.0</v>
      </c>
      <c r="C27" s="47">
        <v>548.0</v>
      </c>
      <c r="D27" s="47">
        <f t="shared" si="1"/>
        <v>0</v>
      </c>
      <c r="E27" s="103" t="s">
        <v>54</v>
      </c>
      <c r="F27" s="104">
        <v>1.3981730324074073</v>
      </c>
      <c r="G27" s="100">
        <f t="shared" si="2"/>
        <v>44787.60651</v>
      </c>
      <c r="H27" s="100">
        <v>44787.606506365744</v>
      </c>
      <c r="I27" s="105">
        <v>81.0</v>
      </c>
      <c r="J27" s="17"/>
      <c r="K27" s="106">
        <v>44786.208333333336</v>
      </c>
    </row>
    <row r="28" ht="15.75" customHeight="1">
      <c r="A28" s="102" t="s">
        <v>111</v>
      </c>
      <c r="B28" s="103">
        <v>549.0</v>
      </c>
      <c r="C28" s="47">
        <v>549.0</v>
      </c>
      <c r="D28" s="47">
        <f t="shared" si="1"/>
        <v>0</v>
      </c>
      <c r="E28" s="103" t="s">
        <v>54</v>
      </c>
      <c r="F28" s="104">
        <v>1.3305755787037037</v>
      </c>
      <c r="G28" s="100">
        <f t="shared" si="2"/>
        <v>44787.53891</v>
      </c>
      <c r="H28" s="100">
        <v>44787.538908912036</v>
      </c>
      <c r="I28" s="105">
        <v>56.0</v>
      </c>
      <c r="J28" s="17"/>
      <c r="K28" s="106">
        <v>44786.208333333336</v>
      </c>
    </row>
    <row r="29" ht="15.75" customHeight="1">
      <c r="A29" s="102" t="s">
        <v>85</v>
      </c>
      <c r="B29" s="103">
        <v>550.0</v>
      </c>
      <c r="C29" s="47">
        <v>550.0</v>
      </c>
      <c r="D29" s="47">
        <f t="shared" si="1"/>
        <v>0</v>
      </c>
      <c r="E29" s="103" t="s">
        <v>66</v>
      </c>
      <c r="F29" s="104">
        <v>1.2150649305555556</v>
      </c>
      <c r="G29" s="100">
        <f t="shared" si="2"/>
        <v>44787.4234</v>
      </c>
      <c r="H29" s="100">
        <v>44787.42339826389</v>
      </c>
      <c r="I29" s="105">
        <v>31.0</v>
      </c>
      <c r="J29" s="17"/>
      <c r="K29" s="106">
        <v>44786.208333333336</v>
      </c>
    </row>
    <row r="30" ht="15.75" customHeight="1">
      <c r="A30" s="102" t="s">
        <v>147</v>
      </c>
      <c r="B30" s="103">
        <v>553.0</v>
      </c>
      <c r="C30" s="47">
        <v>553.0</v>
      </c>
      <c r="D30" s="47">
        <f t="shared" si="1"/>
        <v>0</v>
      </c>
      <c r="E30" s="103" t="s">
        <v>54</v>
      </c>
      <c r="F30" s="104">
        <v>1.4139953703703703</v>
      </c>
      <c r="G30" s="100">
        <f t="shared" si="2"/>
        <v>44787.62233</v>
      </c>
      <c r="H30" s="100">
        <v>44787.62232870371</v>
      </c>
      <c r="I30" s="105">
        <v>91.0</v>
      </c>
      <c r="J30" s="17"/>
      <c r="K30" s="106">
        <v>44786.208333333336</v>
      </c>
    </row>
    <row r="31" ht="15.75" customHeight="1">
      <c r="A31" s="102" t="s">
        <v>172</v>
      </c>
      <c r="B31" s="103">
        <v>554.0</v>
      </c>
      <c r="C31" s="47">
        <v>554.0</v>
      </c>
      <c r="D31" s="47">
        <f t="shared" si="1"/>
        <v>0</v>
      </c>
      <c r="E31" s="103" t="s">
        <v>54</v>
      </c>
      <c r="F31" s="104">
        <v>1.477177199074074</v>
      </c>
      <c r="G31" s="100">
        <f t="shared" si="2"/>
        <v>44787.68551</v>
      </c>
      <c r="H31" s="100">
        <v>44787.68551053241</v>
      </c>
      <c r="I31" s="105">
        <v>116.0</v>
      </c>
      <c r="J31" s="17"/>
      <c r="K31" s="106">
        <v>44786.208333333336</v>
      </c>
    </row>
    <row r="32" ht="15.75" customHeight="1">
      <c r="A32" s="102" t="s">
        <v>165</v>
      </c>
      <c r="B32" s="103">
        <v>559.0</v>
      </c>
      <c r="C32" s="47">
        <v>559.0</v>
      </c>
      <c r="D32" s="47">
        <f t="shared" si="1"/>
        <v>0</v>
      </c>
      <c r="E32" s="103" t="s">
        <v>54</v>
      </c>
      <c r="F32" s="104">
        <v>1.4583865740740742</v>
      </c>
      <c r="G32" s="100">
        <f t="shared" si="2"/>
        <v>44787.66672</v>
      </c>
      <c r="H32" s="100">
        <v>44787.66671990741</v>
      </c>
      <c r="I32" s="105">
        <v>109.0</v>
      </c>
      <c r="J32" s="17"/>
      <c r="K32" s="106">
        <v>44786.208333333336</v>
      </c>
    </row>
    <row r="33" ht="15.75" customHeight="1">
      <c r="A33" s="102" t="s">
        <v>69</v>
      </c>
      <c r="B33" s="103">
        <v>561.0</v>
      </c>
      <c r="C33" s="47">
        <v>561.0</v>
      </c>
      <c r="D33" s="47">
        <f t="shared" si="1"/>
        <v>0</v>
      </c>
      <c r="E33" s="103" t="s">
        <v>54</v>
      </c>
      <c r="F33" s="104">
        <v>1.1112447916666668</v>
      </c>
      <c r="G33" s="100">
        <f t="shared" si="2"/>
        <v>44787.31958</v>
      </c>
      <c r="H33" s="100">
        <v>44787.319578125</v>
      </c>
      <c r="I33" s="105">
        <v>15.0</v>
      </c>
      <c r="J33" s="17"/>
      <c r="K33" s="106">
        <v>44786.208333333336</v>
      </c>
    </row>
    <row r="34" ht="15.75" customHeight="1">
      <c r="A34" s="102" t="s">
        <v>100</v>
      </c>
      <c r="B34" s="103">
        <v>562.0</v>
      </c>
      <c r="C34" s="47">
        <v>562.0</v>
      </c>
      <c r="D34" s="47">
        <f t="shared" si="1"/>
        <v>0</v>
      </c>
      <c r="E34" s="103" t="s">
        <v>66</v>
      </c>
      <c r="F34" s="104">
        <v>1.2701270833333334</v>
      </c>
      <c r="G34" s="100">
        <f t="shared" si="2"/>
        <v>44787.47846</v>
      </c>
      <c r="H34" s="100">
        <v>44787.47846041667</v>
      </c>
      <c r="I34" s="105">
        <v>46.0</v>
      </c>
      <c r="J34" s="17"/>
      <c r="K34" s="106">
        <v>44786.208333333336</v>
      </c>
    </row>
    <row r="35" ht="15.75" customHeight="1">
      <c r="A35" s="102" t="s">
        <v>63</v>
      </c>
      <c r="B35" s="103">
        <v>563.0</v>
      </c>
      <c r="C35" s="47">
        <v>563.0</v>
      </c>
      <c r="D35" s="47">
        <f t="shared" si="1"/>
        <v>0</v>
      </c>
      <c r="E35" s="103" t="s">
        <v>54</v>
      </c>
      <c r="F35" s="104">
        <v>1.0767109953703704</v>
      </c>
      <c r="G35" s="100">
        <f t="shared" si="2"/>
        <v>44787.28504</v>
      </c>
      <c r="H35" s="100">
        <v>44787.2850443287</v>
      </c>
      <c r="I35" s="105">
        <v>10.0</v>
      </c>
      <c r="J35" s="17"/>
      <c r="K35" s="106">
        <v>44786.208333333336</v>
      </c>
    </row>
    <row r="36" ht="15.75" customHeight="1">
      <c r="A36" s="102" t="s">
        <v>129</v>
      </c>
      <c r="B36" s="103">
        <v>564.0</v>
      </c>
      <c r="C36" s="47">
        <v>564.0</v>
      </c>
      <c r="D36" s="47">
        <f t="shared" si="1"/>
        <v>0</v>
      </c>
      <c r="E36" s="103" t="s">
        <v>66</v>
      </c>
      <c r="F36" s="104">
        <v>1.3786773148148148</v>
      </c>
      <c r="G36" s="100">
        <f t="shared" si="2"/>
        <v>44787.58701</v>
      </c>
      <c r="H36" s="100">
        <v>44787.58701064815</v>
      </c>
      <c r="I36" s="105">
        <v>73.0</v>
      </c>
      <c r="J36" s="17"/>
      <c r="K36" s="106">
        <v>44786.208333333336</v>
      </c>
    </row>
    <row r="37" ht="15.75" customHeight="1">
      <c r="A37" s="102" t="s">
        <v>104</v>
      </c>
      <c r="B37" s="103">
        <v>565.0</v>
      </c>
      <c r="C37" s="47">
        <v>565.0</v>
      </c>
      <c r="D37" s="47">
        <f t="shared" si="1"/>
        <v>0</v>
      </c>
      <c r="E37" s="103" t="s">
        <v>54</v>
      </c>
      <c r="F37" s="104">
        <v>1.2872075231481481</v>
      </c>
      <c r="G37" s="100">
        <f t="shared" si="2"/>
        <v>44787.49554</v>
      </c>
      <c r="H37" s="100">
        <v>44787.495540856486</v>
      </c>
      <c r="I37" s="105">
        <v>50.0</v>
      </c>
      <c r="J37" s="17"/>
      <c r="K37" s="106">
        <v>44786.208333333336</v>
      </c>
    </row>
    <row r="38" ht="15.75" customHeight="1">
      <c r="A38" s="102" t="s">
        <v>73</v>
      </c>
      <c r="B38" s="103">
        <v>567.0</v>
      </c>
      <c r="C38" s="47">
        <v>567.0</v>
      </c>
      <c r="D38" s="47">
        <f t="shared" si="1"/>
        <v>0</v>
      </c>
      <c r="E38" s="103" t="s">
        <v>54</v>
      </c>
      <c r="F38" s="104">
        <v>1.1495278935185187</v>
      </c>
      <c r="G38" s="100">
        <f t="shared" si="2"/>
        <v>44787.35786</v>
      </c>
      <c r="H38" s="100">
        <v>44787.357861226854</v>
      </c>
      <c r="I38" s="105">
        <v>19.0</v>
      </c>
      <c r="J38" s="17"/>
      <c r="K38" s="106">
        <v>44786.208333333336</v>
      </c>
    </row>
    <row r="39" ht="15.75" customHeight="1">
      <c r="A39" s="102" t="s">
        <v>138</v>
      </c>
      <c r="B39" s="103">
        <v>569.0</v>
      </c>
      <c r="C39" s="47">
        <v>569.0</v>
      </c>
      <c r="D39" s="47">
        <f t="shared" si="1"/>
        <v>0</v>
      </c>
      <c r="E39" s="103" t="s">
        <v>54</v>
      </c>
      <c r="F39" s="104">
        <v>1.3991878472222223</v>
      </c>
      <c r="G39" s="100">
        <f t="shared" si="2"/>
        <v>44787.60752</v>
      </c>
      <c r="H39" s="100">
        <v>44787.60752118056</v>
      </c>
      <c r="I39" s="105">
        <v>82.0</v>
      </c>
      <c r="J39" s="17"/>
      <c r="K39" s="106">
        <v>44786.208333333336</v>
      </c>
    </row>
    <row r="40" ht="15.75" customHeight="1">
      <c r="A40" s="102" t="s">
        <v>155</v>
      </c>
      <c r="B40" s="103">
        <v>571.0</v>
      </c>
      <c r="C40" s="47">
        <v>571.0</v>
      </c>
      <c r="D40" s="47">
        <f t="shared" si="1"/>
        <v>0</v>
      </c>
      <c r="E40" s="103" t="s">
        <v>54</v>
      </c>
      <c r="F40" s="104">
        <v>1.4425844907407408</v>
      </c>
      <c r="G40" s="100">
        <f t="shared" si="2"/>
        <v>44787.65092</v>
      </c>
      <c r="H40" s="100">
        <v>44787.650917824074</v>
      </c>
      <c r="I40" s="105">
        <v>99.0</v>
      </c>
      <c r="J40" s="17"/>
      <c r="K40" s="106">
        <v>44786.208333333336</v>
      </c>
    </row>
    <row r="41" ht="15.75" customHeight="1">
      <c r="A41" s="102" t="s">
        <v>117</v>
      </c>
      <c r="B41" s="103">
        <v>575.0</v>
      </c>
      <c r="C41" s="47">
        <v>575.0</v>
      </c>
      <c r="D41" s="47">
        <f t="shared" si="1"/>
        <v>0</v>
      </c>
      <c r="E41" s="103" t="s">
        <v>54</v>
      </c>
      <c r="F41" s="104">
        <v>1.3571278935185185</v>
      </c>
      <c r="G41" s="100">
        <f t="shared" si="2"/>
        <v>44787.56546</v>
      </c>
      <c r="H41" s="100">
        <v>44787.565461226855</v>
      </c>
      <c r="I41" s="105">
        <v>62.0</v>
      </c>
      <c r="J41" s="17"/>
      <c r="K41" s="106">
        <v>44786.208333333336</v>
      </c>
    </row>
    <row r="42" ht="15.75" customHeight="1">
      <c r="A42" s="102" t="s">
        <v>132</v>
      </c>
      <c r="B42" s="103">
        <v>577.0</v>
      </c>
      <c r="C42" s="47">
        <v>577.0</v>
      </c>
      <c r="D42" s="47">
        <f t="shared" si="1"/>
        <v>0</v>
      </c>
      <c r="E42" s="103" t="s">
        <v>54</v>
      </c>
      <c r="F42" s="104">
        <v>1.3873506944444445</v>
      </c>
      <c r="G42" s="100">
        <f t="shared" si="2"/>
        <v>44787.59568</v>
      </c>
      <c r="H42" s="100">
        <v>44787.59568402778</v>
      </c>
      <c r="I42" s="105">
        <v>76.0</v>
      </c>
      <c r="J42" s="17"/>
      <c r="K42" s="106">
        <v>44786.208333333336</v>
      </c>
    </row>
    <row r="43" ht="15.75" customHeight="1">
      <c r="A43" s="102" t="s">
        <v>159</v>
      </c>
      <c r="B43" s="103">
        <v>580.0</v>
      </c>
      <c r="C43" s="47">
        <v>580.0</v>
      </c>
      <c r="D43" s="47">
        <f t="shared" si="1"/>
        <v>0</v>
      </c>
      <c r="E43" s="103" t="s">
        <v>54</v>
      </c>
      <c r="F43" s="104">
        <v>1.4454950231481483</v>
      </c>
      <c r="G43" s="100">
        <f t="shared" si="2"/>
        <v>44787.65383</v>
      </c>
      <c r="H43" s="100">
        <v>44787.65382835648</v>
      </c>
      <c r="I43" s="105">
        <v>103.0</v>
      </c>
      <c r="J43" s="17"/>
      <c r="K43" s="106">
        <v>44786.208333333336</v>
      </c>
    </row>
    <row r="44" ht="15.75" customHeight="1">
      <c r="A44" s="102" t="s">
        <v>160</v>
      </c>
      <c r="B44" s="103">
        <v>582.0</v>
      </c>
      <c r="C44" s="47">
        <v>582.0</v>
      </c>
      <c r="D44" s="47">
        <f t="shared" si="1"/>
        <v>0</v>
      </c>
      <c r="E44" s="103" t="s">
        <v>54</v>
      </c>
      <c r="F44" s="104">
        <v>1.4454958333333332</v>
      </c>
      <c r="G44" s="100">
        <f t="shared" si="2"/>
        <v>44787.65383</v>
      </c>
      <c r="H44" s="100">
        <v>44787.653829166666</v>
      </c>
      <c r="I44" s="105">
        <v>104.0</v>
      </c>
      <c r="J44" s="17"/>
      <c r="K44" s="106">
        <v>44786.208333333336</v>
      </c>
    </row>
    <row r="45" ht="15.75" customHeight="1">
      <c r="A45" s="102" t="s">
        <v>107</v>
      </c>
      <c r="B45" s="103">
        <v>583.0</v>
      </c>
      <c r="C45" s="47">
        <v>583.0</v>
      </c>
      <c r="D45" s="47">
        <f t="shared" si="1"/>
        <v>0</v>
      </c>
      <c r="E45" s="103" t="s">
        <v>54</v>
      </c>
      <c r="F45" s="104">
        <v>1.2956644675925926</v>
      </c>
      <c r="G45" s="100">
        <f t="shared" si="2"/>
        <v>44787.504</v>
      </c>
      <c r="H45" s="100">
        <v>44787.50399780093</v>
      </c>
      <c r="I45" s="105">
        <v>52.0</v>
      </c>
      <c r="J45" s="17"/>
      <c r="K45" s="106">
        <v>44786.208333333336</v>
      </c>
    </row>
    <row r="46" ht="15.75" customHeight="1">
      <c r="A46" s="102" t="s">
        <v>97</v>
      </c>
      <c r="B46" s="103">
        <v>585.0</v>
      </c>
      <c r="C46" s="47">
        <v>585.0</v>
      </c>
      <c r="D46" s="47">
        <f t="shared" si="1"/>
        <v>0</v>
      </c>
      <c r="E46" s="103" t="s">
        <v>54</v>
      </c>
      <c r="F46" s="104">
        <v>1.254882060185185</v>
      </c>
      <c r="G46" s="100">
        <f t="shared" si="2"/>
        <v>44787.46322</v>
      </c>
      <c r="H46" s="100">
        <v>44787.46321539352</v>
      </c>
      <c r="I46" s="105">
        <v>43.0</v>
      </c>
      <c r="J46" s="17"/>
      <c r="K46" s="106">
        <v>44786.208333333336</v>
      </c>
    </row>
    <row r="47" ht="15.75" customHeight="1">
      <c r="A47" s="102" t="s">
        <v>75</v>
      </c>
      <c r="B47" s="103">
        <v>591.0</v>
      </c>
      <c r="C47" s="47">
        <v>591.0</v>
      </c>
      <c r="D47" s="47">
        <f t="shared" si="1"/>
        <v>0</v>
      </c>
      <c r="E47" s="103" t="s">
        <v>54</v>
      </c>
      <c r="F47" s="104">
        <v>1.163613310185185</v>
      </c>
      <c r="G47" s="100">
        <f t="shared" si="2"/>
        <v>44787.37195</v>
      </c>
      <c r="H47" s="100">
        <v>44787.37194664352</v>
      </c>
      <c r="I47" s="105">
        <v>21.0</v>
      </c>
      <c r="J47" s="17"/>
      <c r="K47" s="106">
        <v>44786.208333333336</v>
      </c>
    </row>
    <row r="48" ht="15.75" customHeight="1">
      <c r="A48" s="102" t="s">
        <v>177</v>
      </c>
      <c r="B48" s="103">
        <v>592.0</v>
      </c>
      <c r="C48" s="47">
        <v>592.0</v>
      </c>
      <c r="D48" s="47">
        <f t="shared" si="1"/>
        <v>0</v>
      </c>
      <c r="E48" s="103" t="s">
        <v>54</v>
      </c>
      <c r="F48" s="104">
        <v>1.4837084490740742</v>
      </c>
      <c r="G48" s="100">
        <f t="shared" si="2"/>
        <v>44787.69204</v>
      </c>
      <c r="H48" s="100">
        <v>44787.69204178241</v>
      </c>
      <c r="I48" s="105">
        <v>121.0</v>
      </c>
      <c r="J48" s="17"/>
      <c r="K48" s="106">
        <v>44786.208333333336</v>
      </c>
    </row>
    <row r="49" ht="15.75" customHeight="1">
      <c r="A49" s="102" t="s">
        <v>149</v>
      </c>
      <c r="B49" s="103">
        <v>595.0</v>
      </c>
      <c r="C49" s="47">
        <v>595.0</v>
      </c>
      <c r="D49" s="47">
        <f t="shared" si="1"/>
        <v>0</v>
      </c>
      <c r="E49" s="103" t="s">
        <v>54</v>
      </c>
      <c r="F49" s="104">
        <v>1.4163178240740741</v>
      </c>
      <c r="G49" s="100">
        <f t="shared" si="2"/>
        <v>44787.62465</v>
      </c>
      <c r="H49" s="100">
        <v>44787.624651157406</v>
      </c>
      <c r="I49" s="105">
        <v>93.0</v>
      </c>
      <c r="J49" s="17"/>
      <c r="K49" s="106">
        <v>44786.208333333336</v>
      </c>
    </row>
    <row r="50" ht="15.75" customHeight="1">
      <c r="A50" s="102" t="s">
        <v>55</v>
      </c>
      <c r="B50" s="103">
        <v>596.0</v>
      </c>
      <c r="C50" s="47">
        <v>596.0</v>
      </c>
      <c r="D50" s="47">
        <f t="shared" si="1"/>
        <v>0</v>
      </c>
      <c r="E50" s="103" t="s">
        <v>54</v>
      </c>
      <c r="F50" s="107">
        <v>0.9497130787037038</v>
      </c>
      <c r="G50" s="100">
        <f t="shared" si="2"/>
        <v>44787.15805</v>
      </c>
      <c r="H50" s="100">
        <v>44787.15804641204</v>
      </c>
      <c r="I50" s="105">
        <v>2.0</v>
      </c>
      <c r="J50" s="17"/>
      <c r="K50" s="106">
        <v>44786.208333333336</v>
      </c>
    </row>
    <row r="51" ht="15.75" customHeight="1">
      <c r="A51" s="102" t="s">
        <v>162</v>
      </c>
      <c r="B51" s="103">
        <v>598.0</v>
      </c>
      <c r="C51" s="47">
        <v>598.0</v>
      </c>
      <c r="D51" s="47">
        <f t="shared" si="1"/>
        <v>0</v>
      </c>
      <c r="E51" s="103" t="s">
        <v>54</v>
      </c>
      <c r="F51" s="104">
        <v>1.4466868055555555</v>
      </c>
      <c r="G51" s="100">
        <f t="shared" si="2"/>
        <v>44787.65502</v>
      </c>
      <c r="H51" s="100">
        <v>44787.65502013889</v>
      </c>
      <c r="I51" s="105">
        <v>106.0</v>
      </c>
      <c r="J51" s="17"/>
      <c r="K51" s="106">
        <v>44786.208333333336</v>
      </c>
    </row>
    <row r="52" ht="15.75" customHeight="1">
      <c r="A52" s="102" t="s">
        <v>64</v>
      </c>
      <c r="B52" s="103">
        <v>601.0</v>
      </c>
      <c r="C52" s="47">
        <v>601.0</v>
      </c>
      <c r="D52" s="47">
        <f t="shared" si="1"/>
        <v>0</v>
      </c>
      <c r="E52" s="103" t="s">
        <v>54</v>
      </c>
      <c r="F52" s="104">
        <v>1.0772747685185184</v>
      </c>
      <c r="G52" s="100">
        <f t="shared" si="2"/>
        <v>44787.28561</v>
      </c>
      <c r="H52" s="100">
        <v>44787.285608101854</v>
      </c>
      <c r="I52" s="105">
        <v>11.0</v>
      </c>
      <c r="J52" s="17"/>
      <c r="K52" s="106">
        <v>44786.208333333336</v>
      </c>
    </row>
    <row r="53" ht="15.75" customHeight="1">
      <c r="A53" s="102" t="s">
        <v>67</v>
      </c>
      <c r="B53" s="103">
        <v>602.0</v>
      </c>
      <c r="C53" s="47">
        <v>602.0</v>
      </c>
      <c r="D53" s="47">
        <f t="shared" si="1"/>
        <v>0</v>
      </c>
      <c r="E53" s="103" t="s">
        <v>54</v>
      </c>
      <c r="F53" s="104">
        <v>1.0935986111111111</v>
      </c>
      <c r="G53" s="100">
        <f t="shared" si="2"/>
        <v>44787.30193</v>
      </c>
      <c r="H53" s="100">
        <v>44787.30193194445</v>
      </c>
      <c r="I53" s="105">
        <v>13.0</v>
      </c>
      <c r="J53" s="17"/>
      <c r="K53" s="106">
        <v>44786.208333333336</v>
      </c>
    </row>
    <row r="54" ht="15.75" customHeight="1">
      <c r="A54" s="102" t="s">
        <v>57</v>
      </c>
      <c r="B54" s="103">
        <v>603.0</v>
      </c>
      <c r="C54" s="47">
        <v>603.0</v>
      </c>
      <c r="D54" s="47">
        <f t="shared" si="1"/>
        <v>0</v>
      </c>
      <c r="E54" s="103" t="s">
        <v>54</v>
      </c>
      <c r="F54" s="107">
        <v>0.9982189814814815</v>
      </c>
      <c r="G54" s="100">
        <f t="shared" si="2"/>
        <v>44787.20655</v>
      </c>
      <c r="H54" s="100">
        <v>44787.20655231482</v>
      </c>
      <c r="I54" s="105">
        <v>4.0</v>
      </c>
      <c r="J54" s="17"/>
      <c r="K54" s="106">
        <v>44786.208333333336</v>
      </c>
    </row>
    <row r="55" ht="15.75" customHeight="1">
      <c r="A55" s="102" t="s">
        <v>131</v>
      </c>
      <c r="B55" s="103">
        <v>604.0</v>
      </c>
      <c r="C55" s="47">
        <v>604.0</v>
      </c>
      <c r="D55" s="47">
        <f t="shared" si="1"/>
        <v>0</v>
      </c>
      <c r="E55" s="103" t="s">
        <v>66</v>
      </c>
      <c r="F55" s="104">
        <v>1.383064699074074</v>
      </c>
      <c r="G55" s="100">
        <f t="shared" si="2"/>
        <v>44787.5914</v>
      </c>
      <c r="H55" s="100">
        <v>44787.59139803241</v>
      </c>
      <c r="I55" s="105">
        <v>75.0</v>
      </c>
      <c r="J55" s="17"/>
      <c r="K55" s="106">
        <v>44786.208333333336</v>
      </c>
    </row>
    <row r="56" ht="15.75" customHeight="1">
      <c r="A56" s="102" t="s">
        <v>143</v>
      </c>
      <c r="B56" s="103">
        <v>605.0</v>
      </c>
      <c r="C56" s="47">
        <v>605.0</v>
      </c>
      <c r="D56" s="47">
        <f t="shared" si="1"/>
        <v>0</v>
      </c>
      <c r="E56" s="103" t="s">
        <v>54</v>
      </c>
      <c r="F56" s="104">
        <v>1.4087320601851852</v>
      </c>
      <c r="G56" s="100">
        <f t="shared" si="2"/>
        <v>44787.61707</v>
      </c>
      <c r="H56" s="100">
        <v>44787.61706539352</v>
      </c>
      <c r="I56" s="105">
        <v>87.0</v>
      </c>
      <c r="J56" s="17"/>
      <c r="K56" s="106">
        <v>44786.208333333336</v>
      </c>
    </row>
    <row r="57" ht="15.75" customHeight="1">
      <c r="A57" s="102" t="s">
        <v>158</v>
      </c>
      <c r="B57" s="103">
        <v>606.0</v>
      </c>
      <c r="C57" s="47">
        <v>606.0</v>
      </c>
      <c r="D57" s="47">
        <f t="shared" si="1"/>
        <v>0</v>
      </c>
      <c r="E57" s="103" t="s">
        <v>54</v>
      </c>
      <c r="F57" s="104">
        <v>1.4454935185185185</v>
      </c>
      <c r="G57" s="100">
        <f t="shared" si="2"/>
        <v>44787.65383</v>
      </c>
      <c r="H57" s="100">
        <v>44787.653826851856</v>
      </c>
      <c r="I57" s="105">
        <v>102.0</v>
      </c>
      <c r="J57" s="17"/>
      <c r="K57" s="106">
        <v>44786.208333333336</v>
      </c>
    </row>
    <row r="58" ht="15.75" customHeight="1">
      <c r="A58" s="102" t="s">
        <v>139</v>
      </c>
      <c r="B58" s="103">
        <v>607.0</v>
      </c>
      <c r="C58" s="47">
        <v>607.0</v>
      </c>
      <c r="D58" s="47">
        <f t="shared" si="1"/>
        <v>0</v>
      </c>
      <c r="E58" s="103" t="s">
        <v>54</v>
      </c>
      <c r="F58" s="104">
        <v>1.4002400462962963</v>
      </c>
      <c r="G58" s="100">
        <f t="shared" si="2"/>
        <v>44787.60857</v>
      </c>
      <c r="H58" s="100">
        <v>44787.608573379635</v>
      </c>
      <c r="I58" s="105">
        <v>83.0</v>
      </c>
      <c r="J58" s="17"/>
      <c r="K58" s="106">
        <v>44786.208333333336</v>
      </c>
    </row>
    <row r="59" ht="15.75" customHeight="1">
      <c r="A59" s="102" t="s">
        <v>79</v>
      </c>
      <c r="B59" s="103">
        <v>611.0</v>
      </c>
      <c r="C59" s="47">
        <v>611.0</v>
      </c>
      <c r="D59" s="47">
        <f t="shared" si="1"/>
        <v>0</v>
      </c>
      <c r="E59" s="103" t="s">
        <v>54</v>
      </c>
      <c r="F59" s="104">
        <v>1.1898484953703705</v>
      </c>
      <c r="G59" s="100">
        <f t="shared" si="2"/>
        <v>44787.39818</v>
      </c>
      <c r="H59" s="100">
        <v>44787.39818182871</v>
      </c>
      <c r="I59" s="105">
        <v>25.0</v>
      </c>
      <c r="J59" s="17"/>
      <c r="K59" s="106">
        <v>44786.208333333336</v>
      </c>
    </row>
    <row r="60" ht="15.75" customHeight="1">
      <c r="A60" s="102" t="s">
        <v>174</v>
      </c>
      <c r="B60" s="103">
        <v>612.0</v>
      </c>
      <c r="C60" s="47">
        <v>612.0</v>
      </c>
      <c r="D60" s="47">
        <f t="shared" si="1"/>
        <v>0</v>
      </c>
      <c r="E60" s="103" t="s">
        <v>66</v>
      </c>
      <c r="F60" s="104">
        <v>1.480291087962963</v>
      </c>
      <c r="G60" s="100">
        <f t="shared" si="2"/>
        <v>44787.68862</v>
      </c>
      <c r="H60" s="100">
        <v>44787.6886244213</v>
      </c>
      <c r="I60" s="105">
        <v>118.0</v>
      </c>
      <c r="J60" s="17"/>
      <c r="K60" s="106">
        <v>44786.208333333336</v>
      </c>
    </row>
    <row r="61" ht="15.75" customHeight="1">
      <c r="A61" s="102" t="s">
        <v>119</v>
      </c>
      <c r="B61" s="103">
        <v>617.0</v>
      </c>
      <c r="C61" s="47">
        <v>617.0</v>
      </c>
      <c r="D61" s="47">
        <f t="shared" si="1"/>
        <v>0</v>
      </c>
      <c r="E61" s="103" t="s">
        <v>54</v>
      </c>
      <c r="F61" s="104">
        <v>1.3598418981481482</v>
      </c>
      <c r="G61" s="100">
        <f t="shared" si="2"/>
        <v>44787.56818</v>
      </c>
      <c r="H61" s="100">
        <v>44787.568175231485</v>
      </c>
      <c r="I61" s="105">
        <v>64.0</v>
      </c>
      <c r="J61" s="17"/>
      <c r="K61" s="106">
        <v>44786.208333333336</v>
      </c>
    </row>
    <row r="62" ht="15.75" customHeight="1">
      <c r="A62" s="102" t="s">
        <v>68</v>
      </c>
      <c r="B62" s="103">
        <v>618.0</v>
      </c>
      <c r="C62" s="47">
        <v>618.0</v>
      </c>
      <c r="D62" s="47">
        <f t="shared" si="1"/>
        <v>0</v>
      </c>
      <c r="E62" s="103" t="s">
        <v>54</v>
      </c>
      <c r="F62" s="104">
        <v>1.110485300925926</v>
      </c>
      <c r="G62" s="100">
        <f t="shared" si="2"/>
        <v>44787.31882</v>
      </c>
      <c r="H62" s="100">
        <v>44787.31881863426</v>
      </c>
      <c r="I62" s="105">
        <v>14.0</v>
      </c>
      <c r="J62" s="17"/>
      <c r="K62" s="106">
        <v>44786.208333333336</v>
      </c>
    </row>
    <row r="63" ht="15.75" customHeight="1">
      <c r="A63" s="102" t="s">
        <v>59</v>
      </c>
      <c r="B63" s="103">
        <v>620.0</v>
      </c>
      <c r="C63" s="47">
        <v>620.0</v>
      </c>
      <c r="D63" s="47">
        <f t="shared" si="1"/>
        <v>0</v>
      </c>
      <c r="E63" s="103" t="s">
        <v>54</v>
      </c>
      <c r="F63" s="104">
        <v>1.0084627314814814</v>
      </c>
      <c r="G63" s="100">
        <f t="shared" si="2"/>
        <v>44787.2168</v>
      </c>
      <c r="H63" s="100">
        <v>44787.216796064815</v>
      </c>
      <c r="I63" s="105">
        <v>6.0</v>
      </c>
      <c r="J63" s="17"/>
      <c r="K63" s="106">
        <v>44786.208333333336</v>
      </c>
    </row>
    <row r="64" ht="15.75" customHeight="1">
      <c r="A64" s="102" t="s">
        <v>151</v>
      </c>
      <c r="B64" s="103">
        <v>625.0</v>
      </c>
      <c r="C64" s="47">
        <v>625.0</v>
      </c>
      <c r="D64" s="47">
        <f t="shared" si="1"/>
        <v>0</v>
      </c>
      <c r="E64" s="103" t="s">
        <v>66</v>
      </c>
      <c r="F64" s="104">
        <v>1.420714699074074</v>
      </c>
      <c r="G64" s="100">
        <f t="shared" si="2"/>
        <v>44787.62905</v>
      </c>
      <c r="H64" s="100">
        <v>44787.62904803241</v>
      </c>
      <c r="I64" s="105">
        <v>95.0</v>
      </c>
      <c r="J64" s="17"/>
      <c r="K64" s="106">
        <v>44786.208333333336</v>
      </c>
    </row>
    <row r="65" ht="15.75" customHeight="1">
      <c r="A65" s="102" t="s">
        <v>125</v>
      </c>
      <c r="B65" s="103">
        <v>626.0</v>
      </c>
      <c r="C65" s="47">
        <v>626.0</v>
      </c>
      <c r="D65" s="47">
        <f t="shared" si="1"/>
        <v>0</v>
      </c>
      <c r="E65" s="103" t="s">
        <v>54</v>
      </c>
      <c r="F65" s="104">
        <v>1.372380787037037</v>
      </c>
      <c r="G65" s="100">
        <f t="shared" si="2"/>
        <v>44787.58071</v>
      </c>
      <c r="H65" s="100">
        <v>44787.58071412037</v>
      </c>
      <c r="I65" s="105">
        <v>69.0</v>
      </c>
      <c r="J65" s="17"/>
      <c r="K65" s="106">
        <v>44786.208333333336</v>
      </c>
    </row>
    <row r="66" ht="15.75" customHeight="1">
      <c r="A66" s="102" t="s">
        <v>71</v>
      </c>
      <c r="B66" s="103">
        <v>629.0</v>
      </c>
      <c r="C66" s="47">
        <v>629.0</v>
      </c>
      <c r="D66" s="47">
        <f t="shared" si="1"/>
        <v>0</v>
      </c>
      <c r="E66" s="103" t="s">
        <v>54</v>
      </c>
      <c r="F66" s="104">
        <v>1.1170739583333333</v>
      </c>
      <c r="G66" s="100">
        <f t="shared" si="2"/>
        <v>44787.32541</v>
      </c>
      <c r="H66" s="100">
        <v>44787.32540729167</v>
      </c>
      <c r="I66" s="105">
        <v>17.0</v>
      </c>
      <c r="J66" s="17"/>
      <c r="K66" s="106">
        <v>44786.208333333336</v>
      </c>
    </row>
    <row r="67" ht="15.75" customHeight="1">
      <c r="A67" s="102" t="s">
        <v>128</v>
      </c>
      <c r="B67" s="103">
        <v>631.0</v>
      </c>
      <c r="C67" s="47">
        <v>631.0</v>
      </c>
      <c r="D67" s="47">
        <f t="shared" si="1"/>
        <v>0</v>
      </c>
      <c r="E67" s="103" t="s">
        <v>54</v>
      </c>
      <c r="F67" s="104">
        <v>1.377379050925926</v>
      </c>
      <c r="G67" s="100">
        <f t="shared" si="2"/>
        <v>44787.58571</v>
      </c>
      <c r="H67" s="100">
        <v>44787.585712384265</v>
      </c>
      <c r="I67" s="105">
        <v>72.0</v>
      </c>
      <c r="J67" s="17"/>
      <c r="K67" s="106">
        <v>44786.208333333336</v>
      </c>
    </row>
    <row r="68" ht="15.75" customHeight="1">
      <c r="A68" s="102" t="s">
        <v>166</v>
      </c>
      <c r="B68" s="103">
        <v>632.0</v>
      </c>
      <c r="C68" s="47">
        <v>632.0</v>
      </c>
      <c r="D68" s="47">
        <f t="shared" si="1"/>
        <v>0</v>
      </c>
      <c r="E68" s="103" t="s">
        <v>54</v>
      </c>
      <c r="F68" s="104">
        <v>1.4591245370370372</v>
      </c>
      <c r="G68" s="100">
        <f t="shared" si="2"/>
        <v>44787.66746</v>
      </c>
      <c r="H68" s="100">
        <v>44787.667457870375</v>
      </c>
      <c r="I68" s="105">
        <v>110.0</v>
      </c>
      <c r="J68" s="17"/>
      <c r="K68" s="106">
        <v>44786.208333333336</v>
      </c>
    </row>
    <row r="69" ht="15.75" customHeight="1">
      <c r="A69" s="102" t="s">
        <v>98</v>
      </c>
      <c r="B69" s="103">
        <v>637.0</v>
      </c>
      <c r="C69" s="47">
        <v>637.0</v>
      </c>
      <c r="D69" s="47">
        <f t="shared" si="1"/>
        <v>0</v>
      </c>
      <c r="E69" s="103" t="s">
        <v>54</v>
      </c>
      <c r="F69" s="104">
        <v>1.259852199074074</v>
      </c>
      <c r="G69" s="100">
        <f t="shared" si="2"/>
        <v>44787.46819</v>
      </c>
      <c r="H69" s="100">
        <v>44787.46818553241</v>
      </c>
      <c r="I69" s="105">
        <v>44.0</v>
      </c>
      <c r="J69" s="17"/>
      <c r="K69" s="106">
        <v>44786.208333333336</v>
      </c>
    </row>
    <row r="70" ht="15.75" customHeight="1">
      <c r="A70" s="102" t="s">
        <v>120</v>
      </c>
      <c r="B70" s="103">
        <v>638.0</v>
      </c>
      <c r="C70" s="47">
        <v>638.0</v>
      </c>
      <c r="D70" s="47">
        <f t="shared" si="1"/>
        <v>0</v>
      </c>
      <c r="E70" s="103" t="s">
        <v>54</v>
      </c>
      <c r="F70" s="104">
        <v>1.3603099537037038</v>
      </c>
      <c r="G70" s="100">
        <f t="shared" si="2"/>
        <v>44787.56864</v>
      </c>
      <c r="H70" s="100">
        <v>44787.56864328704</v>
      </c>
      <c r="I70" s="105">
        <v>65.0</v>
      </c>
      <c r="J70" s="17"/>
      <c r="K70" s="106">
        <v>44786.208333333336</v>
      </c>
    </row>
    <row r="71" ht="15.75" customHeight="1">
      <c r="A71" s="102" t="s">
        <v>94</v>
      </c>
      <c r="B71" s="103">
        <v>642.0</v>
      </c>
      <c r="C71" s="47">
        <v>642.0</v>
      </c>
      <c r="D71" s="47">
        <f t="shared" si="1"/>
        <v>0</v>
      </c>
      <c r="E71" s="103" t="s">
        <v>54</v>
      </c>
      <c r="F71" s="104">
        <v>1.2421729166666666</v>
      </c>
      <c r="G71" s="100">
        <f t="shared" si="2"/>
        <v>44787.45051</v>
      </c>
      <c r="H71" s="100">
        <v>44787.45050625</v>
      </c>
      <c r="I71" s="105">
        <v>40.0</v>
      </c>
      <c r="J71" s="17"/>
      <c r="K71" s="106">
        <v>44786.208333333336</v>
      </c>
    </row>
    <row r="72" ht="15.75" customHeight="1">
      <c r="A72" s="102" t="s">
        <v>78</v>
      </c>
      <c r="B72" s="103">
        <v>644.0</v>
      </c>
      <c r="C72" s="47">
        <v>644.0</v>
      </c>
      <c r="D72" s="47">
        <f t="shared" si="1"/>
        <v>0</v>
      </c>
      <c r="E72" s="103" t="s">
        <v>54</v>
      </c>
      <c r="F72" s="104">
        <v>1.1878549768518518</v>
      </c>
      <c r="G72" s="100">
        <f t="shared" si="2"/>
        <v>44787.39619</v>
      </c>
      <c r="H72" s="100">
        <v>44787.39618831019</v>
      </c>
      <c r="I72" s="105">
        <v>24.0</v>
      </c>
      <c r="J72" s="17"/>
      <c r="K72" s="106">
        <v>44786.208333333336</v>
      </c>
    </row>
    <row r="73" ht="15.75" customHeight="1">
      <c r="A73" s="102" t="s">
        <v>92</v>
      </c>
      <c r="B73" s="103">
        <v>645.0</v>
      </c>
      <c r="C73" s="47">
        <v>645.0</v>
      </c>
      <c r="D73" s="47">
        <f t="shared" si="1"/>
        <v>0</v>
      </c>
      <c r="E73" s="103" t="s">
        <v>54</v>
      </c>
      <c r="F73" s="104">
        <v>1.2352041666666667</v>
      </c>
      <c r="G73" s="100">
        <f t="shared" si="2"/>
        <v>44787.44354</v>
      </c>
      <c r="H73" s="100">
        <v>44787.4435375</v>
      </c>
      <c r="I73" s="105">
        <v>38.0</v>
      </c>
      <c r="J73" s="17"/>
      <c r="K73" s="106">
        <v>44786.208333333336</v>
      </c>
    </row>
    <row r="74" ht="15.75" customHeight="1">
      <c r="A74" s="102" t="s">
        <v>112</v>
      </c>
      <c r="B74" s="103">
        <v>647.0</v>
      </c>
      <c r="C74" s="47">
        <v>647.0</v>
      </c>
      <c r="D74" s="47">
        <f t="shared" si="1"/>
        <v>0</v>
      </c>
      <c r="E74" s="103" t="s">
        <v>54</v>
      </c>
      <c r="F74" s="104">
        <v>1.3319005787037037</v>
      </c>
      <c r="G74" s="100">
        <f t="shared" si="2"/>
        <v>44787.54023</v>
      </c>
      <c r="H74" s="100">
        <v>44787.54023391204</v>
      </c>
      <c r="I74" s="105">
        <v>57.0</v>
      </c>
      <c r="J74" s="17"/>
      <c r="K74" s="106">
        <v>44786.208333333336</v>
      </c>
    </row>
    <row r="75" ht="15.75" customHeight="1">
      <c r="A75" s="102" t="s">
        <v>169</v>
      </c>
      <c r="B75" s="103">
        <v>648.0</v>
      </c>
      <c r="C75" s="47">
        <v>648.0</v>
      </c>
      <c r="D75" s="47">
        <f t="shared" si="1"/>
        <v>0</v>
      </c>
      <c r="E75" s="103" t="s">
        <v>54</v>
      </c>
      <c r="F75" s="104">
        <v>1.4702873842592592</v>
      </c>
      <c r="G75" s="100">
        <f t="shared" si="2"/>
        <v>44787.67862</v>
      </c>
      <c r="H75" s="100">
        <v>44787.6786207176</v>
      </c>
      <c r="I75" s="105">
        <v>113.0</v>
      </c>
      <c r="J75" s="17"/>
      <c r="K75" s="106">
        <v>44786.208333333336</v>
      </c>
    </row>
    <row r="76" ht="15.75" customHeight="1">
      <c r="A76" s="102" t="s">
        <v>168</v>
      </c>
      <c r="B76" s="103">
        <v>649.0</v>
      </c>
      <c r="C76" s="47">
        <v>649.0</v>
      </c>
      <c r="D76" s="47">
        <f t="shared" si="1"/>
        <v>0</v>
      </c>
      <c r="E76" s="103" t="s">
        <v>54</v>
      </c>
      <c r="F76" s="104">
        <v>1.4681569444444444</v>
      </c>
      <c r="G76" s="100">
        <f t="shared" si="2"/>
        <v>44787.67649</v>
      </c>
      <c r="H76" s="100">
        <v>44787.67649027778</v>
      </c>
      <c r="I76" s="105">
        <v>112.0</v>
      </c>
      <c r="J76" s="17"/>
      <c r="K76" s="106">
        <v>44786.208333333336</v>
      </c>
    </row>
    <row r="77" ht="15.75" customHeight="1">
      <c r="A77" s="102" t="s">
        <v>77</v>
      </c>
      <c r="B77" s="103">
        <v>650.0</v>
      </c>
      <c r="C77" s="47">
        <v>650.0</v>
      </c>
      <c r="D77" s="47">
        <f t="shared" si="1"/>
        <v>0</v>
      </c>
      <c r="E77" s="103" t="s">
        <v>54</v>
      </c>
      <c r="F77" s="104">
        <v>1.1713479166666667</v>
      </c>
      <c r="G77" s="100">
        <f t="shared" si="2"/>
        <v>44787.37968</v>
      </c>
      <c r="H77" s="100">
        <v>44787.37968125</v>
      </c>
      <c r="I77" s="105">
        <v>23.0</v>
      </c>
      <c r="J77" s="17"/>
      <c r="K77" s="106">
        <v>44786.208333333336</v>
      </c>
    </row>
    <row r="78" ht="15.75" customHeight="1">
      <c r="A78" s="102" t="s">
        <v>116</v>
      </c>
      <c r="B78" s="103">
        <v>651.0</v>
      </c>
      <c r="C78" s="47">
        <v>651.0</v>
      </c>
      <c r="D78" s="47">
        <f t="shared" si="1"/>
        <v>0</v>
      </c>
      <c r="E78" s="103" t="s">
        <v>54</v>
      </c>
      <c r="F78" s="104">
        <v>1.347094212962963</v>
      </c>
      <c r="G78" s="100">
        <f t="shared" si="2"/>
        <v>44787.55543</v>
      </c>
      <c r="H78" s="100">
        <v>44787.5554275463</v>
      </c>
      <c r="I78" s="105">
        <v>61.0</v>
      </c>
      <c r="J78" s="17"/>
      <c r="K78" s="106">
        <v>44786.208333333336</v>
      </c>
    </row>
    <row r="79" ht="15.75" customHeight="1">
      <c r="A79" s="102" t="s">
        <v>123</v>
      </c>
      <c r="B79" s="103">
        <v>653.0</v>
      </c>
      <c r="C79" s="47">
        <v>653.0</v>
      </c>
      <c r="D79" s="47">
        <f t="shared" si="1"/>
        <v>0</v>
      </c>
      <c r="E79" s="103" t="s">
        <v>54</v>
      </c>
      <c r="F79" s="104">
        <v>1.3657054398148147</v>
      </c>
      <c r="G79" s="100">
        <f t="shared" si="2"/>
        <v>44787.57404</v>
      </c>
      <c r="H79" s="100">
        <v>44787.57403877315</v>
      </c>
      <c r="I79" s="105">
        <v>67.0</v>
      </c>
      <c r="J79" s="17"/>
      <c r="K79" s="106">
        <v>44786.208333333336</v>
      </c>
    </row>
    <row r="80" ht="15.75" customHeight="1">
      <c r="A80" s="102" t="s">
        <v>72</v>
      </c>
      <c r="B80" s="103">
        <v>655.0</v>
      </c>
      <c r="C80" s="47">
        <v>655.0</v>
      </c>
      <c r="D80" s="47">
        <f t="shared" si="1"/>
        <v>0</v>
      </c>
      <c r="E80" s="103" t="s">
        <v>54</v>
      </c>
      <c r="F80" s="104">
        <v>1.1467761574074076</v>
      </c>
      <c r="G80" s="100">
        <f t="shared" si="2"/>
        <v>44787.35511</v>
      </c>
      <c r="H80" s="100">
        <v>44787.355109490745</v>
      </c>
      <c r="I80" s="105">
        <v>18.0</v>
      </c>
      <c r="J80" s="17"/>
      <c r="K80" s="106">
        <v>44786.208333333336</v>
      </c>
    </row>
    <row r="81" ht="15.75" customHeight="1">
      <c r="A81" s="102" t="s">
        <v>170</v>
      </c>
      <c r="B81" s="103">
        <v>657.0</v>
      </c>
      <c r="C81" s="47">
        <v>657.0</v>
      </c>
      <c r="D81" s="47">
        <f t="shared" si="1"/>
        <v>0</v>
      </c>
      <c r="E81" s="103" t="s">
        <v>54</v>
      </c>
      <c r="F81" s="104">
        <v>1.474975462962963</v>
      </c>
      <c r="G81" s="100">
        <f t="shared" si="2"/>
        <v>44787.68331</v>
      </c>
      <c r="H81" s="100">
        <v>44787.6833087963</v>
      </c>
      <c r="I81" s="105">
        <v>114.0</v>
      </c>
      <c r="J81" s="17"/>
      <c r="K81" s="106">
        <v>44786.208333333336</v>
      </c>
    </row>
    <row r="82" ht="15.75" customHeight="1">
      <c r="A82" s="102" t="s">
        <v>81</v>
      </c>
      <c r="B82" s="103">
        <v>662.0</v>
      </c>
      <c r="C82" s="47">
        <v>662.0</v>
      </c>
      <c r="D82" s="47">
        <f t="shared" si="1"/>
        <v>0</v>
      </c>
      <c r="E82" s="103" t="s">
        <v>54</v>
      </c>
      <c r="F82" s="104">
        <v>1.1999743055555556</v>
      </c>
      <c r="G82" s="100">
        <f t="shared" si="2"/>
        <v>44787.40831</v>
      </c>
      <c r="H82" s="100">
        <v>44787.40830763889</v>
      </c>
      <c r="I82" s="105">
        <v>27.0</v>
      </c>
      <c r="J82" s="17"/>
      <c r="K82" s="106">
        <v>44786.208333333336</v>
      </c>
    </row>
    <row r="83" ht="15.75" customHeight="1">
      <c r="A83" s="102" t="s">
        <v>99</v>
      </c>
      <c r="B83" s="103">
        <v>663.0</v>
      </c>
      <c r="C83" s="47">
        <v>663.0</v>
      </c>
      <c r="D83" s="47">
        <f t="shared" si="1"/>
        <v>0</v>
      </c>
      <c r="E83" s="103" t="s">
        <v>54</v>
      </c>
      <c r="F83" s="104">
        <v>1.2644244212962963</v>
      </c>
      <c r="G83" s="100">
        <f t="shared" si="2"/>
        <v>44787.47276</v>
      </c>
      <c r="H83" s="100">
        <v>44787.47275775463</v>
      </c>
      <c r="I83" s="105">
        <v>45.0</v>
      </c>
      <c r="J83" s="17"/>
      <c r="K83" s="106">
        <v>44786.208333333336</v>
      </c>
    </row>
    <row r="84" ht="15.75" customHeight="1">
      <c r="A84" s="102" t="s">
        <v>108</v>
      </c>
      <c r="B84" s="103">
        <v>665.0</v>
      </c>
      <c r="C84" s="47">
        <v>665.0</v>
      </c>
      <c r="D84" s="47">
        <f t="shared" si="1"/>
        <v>0</v>
      </c>
      <c r="E84" s="103" t="s">
        <v>54</v>
      </c>
      <c r="F84" s="104">
        <v>1.311700462962963</v>
      </c>
      <c r="G84" s="100">
        <f t="shared" si="2"/>
        <v>44787.52003</v>
      </c>
      <c r="H84" s="100">
        <v>44787.520033796296</v>
      </c>
      <c r="I84" s="105">
        <v>53.0</v>
      </c>
      <c r="J84" s="17"/>
      <c r="K84" s="106">
        <v>44786.208333333336</v>
      </c>
    </row>
    <row r="85" ht="15.75" customHeight="1">
      <c r="A85" s="102" t="s">
        <v>171</v>
      </c>
      <c r="B85" s="103">
        <v>669.0</v>
      </c>
      <c r="C85" s="47">
        <v>669.0</v>
      </c>
      <c r="D85" s="47">
        <f t="shared" si="1"/>
        <v>0</v>
      </c>
      <c r="E85" s="103" t="s">
        <v>54</v>
      </c>
      <c r="F85" s="104">
        <v>1.475044675925926</v>
      </c>
      <c r="G85" s="100">
        <f t="shared" si="2"/>
        <v>44787.68338</v>
      </c>
      <c r="H85" s="100">
        <v>44787.683378009264</v>
      </c>
      <c r="I85" s="105">
        <v>115.0</v>
      </c>
      <c r="J85" s="17"/>
      <c r="K85" s="106">
        <v>44786.208333333336</v>
      </c>
    </row>
    <row r="86" ht="15.75" customHeight="1">
      <c r="A86" s="102" t="s">
        <v>146</v>
      </c>
      <c r="B86" s="103">
        <v>670.0</v>
      </c>
      <c r="C86" s="47">
        <v>670.0</v>
      </c>
      <c r="D86" s="47">
        <f t="shared" si="1"/>
        <v>0</v>
      </c>
      <c r="E86" s="103" t="s">
        <v>54</v>
      </c>
      <c r="F86" s="104">
        <v>1.4139766203703703</v>
      </c>
      <c r="G86" s="100">
        <f t="shared" si="2"/>
        <v>44787.62231</v>
      </c>
      <c r="H86" s="100">
        <v>44787.62230995371</v>
      </c>
      <c r="I86" s="105">
        <v>90.0</v>
      </c>
      <c r="J86" s="17"/>
      <c r="K86" s="106">
        <v>44786.208333333336</v>
      </c>
    </row>
    <row r="87" ht="15.75" customHeight="1">
      <c r="A87" s="102" t="s">
        <v>96</v>
      </c>
      <c r="B87" s="103">
        <v>675.0</v>
      </c>
      <c r="C87" s="47">
        <v>675.0</v>
      </c>
      <c r="D87" s="47">
        <f t="shared" si="1"/>
        <v>0</v>
      </c>
      <c r="E87" s="103" t="s">
        <v>66</v>
      </c>
      <c r="F87" s="104">
        <v>1.2494005787037037</v>
      </c>
      <c r="G87" s="100">
        <f t="shared" si="2"/>
        <v>44787.45773</v>
      </c>
      <c r="H87" s="100">
        <v>44787.45773391204</v>
      </c>
      <c r="I87" s="105">
        <v>42.0</v>
      </c>
      <c r="J87" s="17"/>
      <c r="K87" s="106">
        <v>44786.208333333336</v>
      </c>
    </row>
    <row r="88" ht="15.75" customHeight="1">
      <c r="A88" s="102" t="s">
        <v>175</v>
      </c>
      <c r="B88" s="103">
        <v>676.0</v>
      </c>
      <c r="C88" s="47">
        <v>676.0</v>
      </c>
      <c r="D88" s="47">
        <f t="shared" si="1"/>
        <v>0</v>
      </c>
      <c r="E88" s="103" t="s">
        <v>54</v>
      </c>
      <c r="F88" s="104">
        <v>1.481533564814815</v>
      </c>
      <c r="G88" s="100">
        <f t="shared" si="2"/>
        <v>44787.68987</v>
      </c>
      <c r="H88" s="100">
        <v>44787.68986689815</v>
      </c>
      <c r="I88" s="105">
        <v>119.0</v>
      </c>
      <c r="J88" s="17"/>
      <c r="K88" s="106">
        <v>44786.208333333336</v>
      </c>
    </row>
    <row r="89" ht="15.75" customHeight="1">
      <c r="A89" s="102" t="s">
        <v>173</v>
      </c>
      <c r="B89" s="103">
        <v>681.0</v>
      </c>
      <c r="C89" s="47">
        <v>681.0</v>
      </c>
      <c r="D89" s="47">
        <f t="shared" si="1"/>
        <v>0</v>
      </c>
      <c r="E89" s="103" t="s">
        <v>54</v>
      </c>
      <c r="F89" s="104">
        <v>1.4792010416666668</v>
      </c>
      <c r="G89" s="100">
        <f t="shared" si="2"/>
        <v>44787.68753</v>
      </c>
      <c r="H89" s="100">
        <v>44787.687534375</v>
      </c>
      <c r="I89" s="105">
        <v>117.0</v>
      </c>
      <c r="J89" s="17"/>
      <c r="K89" s="106">
        <v>44786.208333333336</v>
      </c>
    </row>
    <row r="90" ht="15.75" customHeight="1">
      <c r="A90" s="102" t="s">
        <v>134</v>
      </c>
      <c r="B90" s="103">
        <v>683.0</v>
      </c>
      <c r="C90" s="47">
        <v>683.0</v>
      </c>
      <c r="D90" s="47">
        <f t="shared" si="1"/>
        <v>0</v>
      </c>
      <c r="E90" s="103" t="s">
        <v>54</v>
      </c>
      <c r="F90" s="104">
        <v>1.3889561342592591</v>
      </c>
      <c r="G90" s="100">
        <f t="shared" si="2"/>
        <v>44787.59729</v>
      </c>
      <c r="H90" s="100">
        <v>44787.597289467594</v>
      </c>
      <c r="I90" s="105">
        <v>78.0</v>
      </c>
      <c r="J90" s="17"/>
      <c r="K90" s="106">
        <v>44786.208333333336</v>
      </c>
    </row>
    <row r="91" ht="15.75" customHeight="1">
      <c r="A91" s="102" t="s">
        <v>89</v>
      </c>
      <c r="B91" s="103">
        <v>684.0</v>
      </c>
      <c r="C91" s="47">
        <v>684.0</v>
      </c>
      <c r="D91" s="47">
        <f t="shared" si="1"/>
        <v>0</v>
      </c>
      <c r="E91" s="103" t="s">
        <v>54</v>
      </c>
      <c r="F91" s="104">
        <v>1.2321172453703704</v>
      </c>
      <c r="G91" s="100">
        <f t="shared" si="2"/>
        <v>44787.44045</v>
      </c>
      <c r="H91" s="100">
        <v>44787.44045057871</v>
      </c>
      <c r="I91" s="105">
        <v>35.0</v>
      </c>
      <c r="J91" s="17"/>
      <c r="K91" s="106">
        <v>44786.208333333336</v>
      </c>
    </row>
    <row r="92" ht="15.75" customHeight="1">
      <c r="A92" s="102" t="s">
        <v>62</v>
      </c>
      <c r="B92" s="103">
        <v>685.0</v>
      </c>
      <c r="C92" s="47">
        <v>685.0</v>
      </c>
      <c r="D92" s="47">
        <f t="shared" si="1"/>
        <v>0</v>
      </c>
      <c r="E92" s="103" t="s">
        <v>54</v>
      </c>
      <c r="F92" s="104">
        <v>1.0744649305555556</v>
      </c>
      <c r="G92" s="100">
        <f t="shared" si="2"/>
        <v>44787.2828</v>
      </c>
      <c r="H92" s="100">
        <v>44787.28279826389</v>
      </c>
      <c r="I92" s="105">
        <v>9.0</v>
      </c>
      <c r="J92" s="17"/>
      <c r="K92" s="106">
        <v>44786.208333333336</v>
      </c>
    </row>
    <row r="93" ht="15.75" customHeight="1">
      <c r="A93" s="102" t="s">
        <v>88</v>
      </c>
      <c r="B93" s="103">
        <v>686.0</v>
      </c>
      <c r="C93" s="47">
        <v>686.0</v>
      </c>
      <c r="D93" s="47">
        <f t="shared" si="1"/>
        <v>0</v>
      </c>
      <c r="E93" s="103" t="s">
        <v>54</v>
      </c>
      <c r="F93" s="104">
        <v>1.2298565972222222</v>
      </c>
      <c r="G93" s="100">
        <f t="shared" si="2"/>
        <v>44787.43819</v>
      </c>
      <c r="H93" s="100">
        <v>44787.43818993056</v>
      </c>
      <c r="I93" s="105">
        <v>34.0</v>
      </c>
      <c r="J93" s="17"/>
      <c r="K93" s="106">
        <v>44786.208333333336</v>
      </c>
    </row>
    <row r="94" ht="15.75" customHeight="1">
      <c r="A94" s="102" t="s">
        <v>121</v>
      </c>
      <c r="B94" s="103">
        <v>687.0</v>
      </c>
      <c r="C94" s="47">
        <v>687.0</v>
      </c>
      <c r="D94" s="47">
        <f t="shared" si="1"/>
        <v>0</v>
      </c>
      <c r="E94" s="103" t="s">
        <v>54</v>
      </c>
      <c r="F94" s="104">
        <v>1.3627269675925926</v>
      </c>
      <c r="G94" s="100">
        <f t="shared" si="2"/>
        <v>44787.57106</v>
      </c>
      <c r="H94" s="100">
        <v>44787.57106030093</v>
      </c>
      <c r="I94" s="105">
        <v>66.0</v>
      </c>
      <c r="J94" s="17"/>
      <c r="K94" s="106">
        <v>44786.208333333336</v>
      </c>
    </row>
    <row r="95" ht="15.75" customHeight="1">
      <c r="A95" s="102" t="s">
        <v>150</v>
      </c>
      <c r="B95" s="103">
        <v>688.0</v>
      </c>
      <c r="C95" s="47">
        <v>688.0</v>
      </c>
      <c r="D95" s="47">
        <f t="shared" si="1"/>
        <v>0</v>
      </c>
      <c r="E95" s="103" t="s">
        <v>66</v>
      </c>
      <c r="F95" s="104">
        <v>1.4190347222222224</v>
      </c>
      <c r="G95" s="100">
        <f t="shared" si="2"/>
        <v>44787.62737</v>
      </c>
      <c r="H95" s="100">
        <v>44787.62736805556</v>
      </c>
      <c r="I95" s="105">
        <v>94.0</v>
      </c>
      <c r="J95" s="17"/>
      <c r="K95" s="106">
        <v>44786.208333333336</v>
      </c>
    </row>
    <row r="96" ht="15.75" customHeight="1">
      <c r="A96" s="102" t="s">
        <v>58</v>
      </c>
      <c r="B96" s="103">
        <v>689.0</v>
      </c>
      <c r="C96" s="47">
        <v>689.0</v>
      </c>
      <c r="D96" s="47">
        <f t="shared" si="1"/>
        <v>0</v>
      </c>
      <c r="E96" s="103" t="s">
        <v>54</v>
      </c>
      <c r="F96" s="104">
        <v>1.0048136574074074</v>
      </c>
      <c r="G96" s="100">
        <f t="shared" si="2"/>
        <v>44787.21315</v>
      </c>
      <c r="H96" s="100">
        <v>44787.21314699074</v>
      </c>
      <c r="I96" s="105">
        <v>5.0</v>
      </c>
      <c r="J96" s="17"/>
      <c r="K96" s="106">
        <v>44786.208333333336</v>
      </c>
    </row>
    <row r="97" ht="15.75" customHeight="1">
      <c r="A97" s="102" t="s">
        <v>80</v>
      </c>
      <c r="B97" s="103">
        <v>692.0</v>
      </c>
      <c r="C97" s="47">
        <v>692.0</v>
      </c>
      <c r="D97" s="47">
        <f t="shared" si="1"/>
        <v>0</v>
      </c>
      <c r="E97" s="103" t="s">
        <v>54</v>
      </c>
      <c r="F97" s="104">
        <v>1.1898533564814815</v>
      </c>
      <c r="G97" s="100">
        <f t="shared" si="2"/>
        <v>44787.39819</v>
      </c>
      <c r="H97" s="100">
        <v>44787.39818668982</v>
      </c>
      <c r="I97" s="105">
        <v>26.0</v>
      </c>
      <c r="J97" s="17"/>
      <c r="K97" s="106">
        <v>44786.208333333336</v>
      </c>
    </row>
    <row r="98" ht="15.75" customHeight="1">
      <c r="A98" s="102" t="s">
        <v>156</v>
      </c>
      <c r="B98" s="103">
        <v>693.0</v>
      </c>
      <c r="C98" s="47">
        <v>693.0</v>
      </c>
      <c r="D98" s="47">
        <f t="shared" si="1"/>
        <v>0</v>
      </c>
      <c r="E98" s="103" t="s">
        <v>66</v>
      </c>
      <c r="F98" s="104">
        <v>1.4428974537037036</v>
      </c>
      <c r="G98" s="100">
        <f t="shared" si="2"/>
        <v>44787.65123</v>
      </c>
      <c r="H98" s="100">
        <v>44787.651230787036</v>
      </c>
      <c r="I98" s="105">
        <v>100.0</v>
      </c>
      <c r="J98" s="17"/>
      <c r="K98" s="106">
        <v>44786.208333333336</v>
      </c>
    </row>
    <row r="99" ht="15.75" customHeight="1">
      <c r="A99" s="102" t="s">
        <v>153</v>
      </c>
      <c r="B99" s="103">
        <v>695.0</v>
      </c>
      <c r="C99" s="47">
        <v>695.0</v>
      </c>
      <c r="D99" s="47">
        <f t="shared" si="1"/>
        <v>0</v>
      </c>
      <c r="E99" s="103" t="s">
        <v>54</v>
      </c>
      <c r="F99" s="104">
        <v>1.426162037037037</v>
      </c>
      <c r="G99" s="100">
        <f t="shared" si="2"/>
        <v>44787.6345</v>
      </c>
      <c r="H99" s="100">
        <v>44787.634495370374</v>
      </c>
      <c r="I99" s="105">
        <v>97.0</v>
      </c>
      <c r="J99" s="17"/>
      <c r="K99" s="106">
        <v>44786.208333333336</v>
      </c>
    </row>
    <row r="100" ht="15.75" customHeight="1">
      <c r="A100" s="102" t="s">
        <v>157</v>
      </c>
      <c r="B100" s="103">
        <v>696.0</v>
      </c>
      <c r="C100" s="47">
        <v>696.0</v>
      </c>
      <c r="D100" s="47">
        <f t="shared" si="1"/>
        <v>0</v>
      </c>
      <c r="E100" s="103" t="s">
        <v>54</v>
      </c>
      <c r="F100" s="104">
        <v>1.4441879629629628</v>
      </c>
      <c r="G100" s="100">
        <f t="shared" si="2"/>
        <v>44787.65252</v>
      </c>
      <c r="H100" s="100">
        <v>44787.652521296295</v>
      </c>
      <c r="I100" s="105">
        <v>101.0</v>
      </c>
      <c r="J100" s="17"/>
      <c r="K100" s="106">
        <v>44786.208333333336</v>
      </c>
    </row>
    <row r="101" ht="15.75" customHeight="1">
      <c r="A101" s="102" t="s">
        <v>83</v>
      </c>
      <c r="B101" s="103">
        <v>697.0</v>
      </c>
      <c r="C101" s="47">
        <v>697.0</v>
      </c>
      <c r="D101" s="47">
        <f t="shared" si="1"/>
        <v>0</v>
      </c>
      <c r="E101" s="103" t="s">
        <v>54</v>
      </c>
      <c r="F101" s="104">
        <v>1.2085827546296297</v>
      </c>
      <c r="G101" s="100">
        <f t="shared" si="2"/>
        <v>44787.41692</v>
      </c>
      <c r="H101" s="100">
        <v>44787.41691608797</v>
      </c>
      <c r="I101" s="105">
        <v>29.0</v>
      </c>
      <c r="J101" s="17"/>
      <c r="K101" s="106">
        <v>44786.208333333336</v>
      </c>
    </row>
    <row r="102" ht="15.75" customHeight="1">
      <c r="A102" s="102" t="s">
        <v>140</v>
      </c>
      <c r="B102" s="103">
        <v>699.0</v>
      </c>
      <c r="C102" s="47">
        <v>699.0</v>
      </c>
      <c r="D102" s="47">
        <f t="shared" si="1"/>
        <v>0</v>
      </c>
      <c r="E102" s="103" t="s">
        <v>54</v>
      </c>
      <c r="F102" s="104">
        <v>1.4060833333333334</v>
      </c>
      <c r="G102" s="100">
        <f t="shared" si="2"/>
        <v>44787.61442</v>
      </c>
      <c r="H102" s="100">
        <v>44787.61441666667</v>
      </c>
      <c r="I102" s="105">
        <v>84.0</v>
      </c>
      <c r="J102" s="17"/>
      <c r="K102" s="106">
        <v>44786.208333333336</v>
      </c>
    </row>
    <row r="103" ht="15.75" customHeight="1">
      <c r="A103" s="102" t="s">
        <v>74</v>
      </c>
      <c r="B103" s="103">
        <v>702.0</v>
      </c>
      <c r="C103" s="47">
        <v>702.0</v>
      </c>
      <c r="D103" s="47">
        <f t="shared" si="1"/>
        <v>0</v>
      </c>
      <c r="E103" s="103" t="s">
        <v>54</v>
      </c>
      <c r="F103" s="104">
        <v>1.154623611111111</v>
      </c>
      <c r="G103" s="100">
        <f t="shared" si="2"/>
        <v>44787.36296</v>
      </c>
      <c r="H103" s="100">
        <v>44787.362956944446</v>
      </c>
      <c r="I103" s="105">
        <v>20.0</v>
      </c>
      <c r="J103" s="17"/>
      <c r="K103" s="106">
        <v>44786.208333333336</v>
      </c>
    </row>
    <row r="104" ht="15.75" customHeight="1">
      <c r="A104" s="102" t="s">
        <v>109</v>
      </c>
      <c r="B104" s="103">
        <v>703.0</v>
      </c>
      <c r="C104" s="47">
        <v>703.0</v>
      </c>
      <c r="D104" s="47">
        <f t="shared" si="1"/>
        <v>0</v>
      </c>
      <c r="E104" s="103" t="s">
        <v>54</v>
      </c>
      <c r="F104" s="104">
        <v>1.3143137731481482</v>
      </c>
      <c r="G104" s="100">
        <f t="shared" si="2"/>
        <v>44787.52265</v>
      </c>
      <c r="H104" s="100">
        <v>44787.52264710648</v>
      </c>
      <c r="I104" s="105">
        <v>54.0</v>
      </c>
      <c r="J104" s="17"/>
      <c r="K104" s="106">
        <v>44786.208333333336</v>
      </c>
    </row>
    <row r="105" ht="15.75" customHeight="1">
      <c r="A105" s="102" t="s">
        <v>145</v>
      </c>
      <c r="B105" s="103">
        <v>705.0</v>
      </c>
      <c r="C105" s="47">
        <v>705.0</v>
      </c>
      <c r="D105" s="47">
        <f t="shared" si="1"/>
        <v>0</v>
      </c>
      <c r="E105" s="103" t="s">
        <v>54</v>
      </c>
      <c r="F105" s="104">
        <v>1.413393287037037</v>
      </c>
      <c r="G105" s="100">
        <f t="shared" si="2"/>
        <v>44787.62173</v>
      </c>
      <c r="H105" s="100">
        <v>44787.621726620375</v>
      </c>
      <c r="I105" s="105">
        <v>89.0</v>
      </c>
      <c r="J105" s="17"/>
      <c r="K105" s="106">
        <v>44786.208333333336</v>
      </c>
    </row>
    <row r="106" ht="15.75" customHeight="1">
      <c r="A106" s="102" t="s">
        <v>152</v>
      </c>
      <c r="B106" s="103">
        <v>706.0</v>
      </c>
      <c r="C106" s="47">
        <v>706.0</v>
      </c>
      <c r="D106" s="47">
        <f t="shared" si="1"/>
        <v>0</v>
      </c>
      <c r="E106" s="103" t="s">
        <v>54</v>
      </c>
      <c r="F106" s="104">
        <v>1.4216494212962962</v>
      </c>
      <c r="G106" s="100">
        <f t="shared" si="2"/>
        <v>44787.62998</v>
      </c>
      <c r="H106" s="100">
        <v>44787.62998275463</v>
      </c>
      <c r="I106" s="105">
        <v>96.0</v>
      </c>
      <c r="J106" s="17"/>
      <c r="K106" s="106">
        <v>44786.208333333336</v>
      </c>
    </row>
    <row r="107" ht="15.75" customHeight="1">
      <c r="A107" s="102" t="s">
        <v>101</v>
      </c>
      <c r="B107" s="103">
        <v>709.0</v>
      </c>
      <c r="C107" s="47">
        <v>709.0</v>
      </c>
      <c r="D107" s="47">
        <f t="shared" si="1"/>
        <v>0</v>
      </c>
      <c r="E107" s="103" t="s">
        <v>54</v>
      </c>
      <c r="F107" s="104">
        <v>1.2742672453703705</v>
      </c>
      <c r="G107" s="100">
        <f t="shared" si="2"/>
        <v>44787.4826</v>
      </c>
      <c r="H107" s="100">
        <v>44787.4826005787</v>
      </c>
      <c r="I107" s="105">
        <v>47.0</v>
      </c>
      <c r="J107" s="17"/>
      <c r="K107" s="106">
        <v>44786.208333333336</v>
      </c>
    </row>
    <row r="108" ht="15.75" customHeight="1">
      <c r="A108" s="102" t="s">
        <v>103</v>
      </c>
      <c r="B108" s="103">
        <v>713.0</v>
      </c>
      <c r="C108" s="47">
        <v>713.0</v>
      </c>
      <c r="D108" s="47">
        <f t="shared" si="1"/>
        <v>0</v>
      </c>
      <c r="E108" s="103" t="s">
        <v>54</v>
      </c>
      <c r="F108" s="104">
        <v>1.2773746527777778</v>
      </c>
      <c r="G108" s="100">
        <f t="shared" si="2"/>
        <v>44787.48571</v>
      </c>
      <c r="H108" s="100">
        <v>44787.48570798611</v>
      </c>
      <c r="I108" s="105">
        <v>49.0</v>
      </c>
      <c r="J108" s="17"/>
      <c r="K108" s="106">
        <v>44786.208333333336</v>
      </c>
    </row>
    <row r="109" ht="15.75" customHeight="1">
      <c r="A109" s="102" t="s">
        <v>126</v>
      </c>
      <c r="B109" s="103">
        <v>714.0</v>
      </c>
      <c r="C109" s="47">
        <v>714.0</v>
      </c>
      <c r="D109" s="47">
        <f t="shared" si="1"/>
        <v>0</v>
      </c>
      <c r="E109" s="103" t="s">
        <v>54</v>
      </c>
      <c r="F109" s="104">
        <v>1.3746324074074074</v>
      </c>
      <c r="G109" s="100">
        <f t="shared" si="2"/>
        <v>44787.58297</v>
      </c>
      <c r="H109" s="100">
        <v>44787.582965740745</v>
      </c>
      <c r="I109" s="105">
        <v>70.0</v>
      </c>
      <c r="J109" s="17"/>
      <c r="K109" s="106">
        <v>44786.208333333336</v>
      </c>
    </row>
    <row r="110" ht="15.75" customHeight="1">
      <c r="A110" s="102" t="s">
        <v>82</v>
      </c>
      <c r="B110" s="103">
        <v>715.0</v>
      </c>
      <c r="C110" s="47">
        <v>715.0</v>
      </c>
      <c r="D110" s="47">
        <f t="shared" si="1"/>
        <v>0</v>
      </c>
      <c r="E110" s="103" t="s">
        <v>54</v>
      </c>
      <c r="F110" s="104">
        <v>1.203582175925926</v>
      </c>
      <c r="G110" s="100">
        <f t="shared" si="2"/>
        <v>44787.41192</v>
      </c>
      <c r="H110" s="100">
        <v>44787.41191550926</v>
      </c>
      <c r="I110" s="105">
        <v>28.0</v>
      </c>
      <c r="J110" s="17"/>
      <c r="K110" s="106">
        <v>44786.208333333336</v>
      </c>
    </row>
    <row r="111" ht="15.75" customHeight="1">
      <c r="A111" s="102" t="s">
        <v>142</v>
      </c>
      <c r="B111" s="103">
        <v>716.0</v>
      </c>
      <c r="C111" s="47">
        <v>716.0</v>
      </c>
      <c r="D111" s="47">
        <f t="shared" si="1"/>
        <v>0</v>
      </c>
      <c r="E111" s="103" t="s">
        <v>54</v>
      </c>
      <c r="F111" s="104">
        <v>1.408139351851852</v>
      </c>
      <c r="G111" s="100">
        <f t="shared" si="2"/>
        <v>44787.61647</v>
      </c>
      <c r="H111" s="100">
        <v>44787.616472685186</v>
      </c>
      <c r="I111" s="105">
        <v>86.0</v>
      </c>
      <c r="J111" s="17"/>
      <c r="K111" s="106">
        <v>44786.208333333336</v>
      </c>
    </row>
    <row r="112" ht="15.75" customHeight="1">
      <c r="A112" s="102" t="s">
        <v>110</v>
      </c>
      <c r="B112" s="103">
        <v>719.0</v>
      </c>
      <c r="C112" s="47">
        <v>719.0</v>
      </c>
      <c r="D112" s="47">
        <f t="shared" si="1"/>
        <v>0</v>
      </c>
      <c r="E112" s="103" t="s">
        <v>54</v>
      </c>
      <c r="F112" s="104">
        <v>1.3258251157407406</v>
      </c>
      <c r="G112" s="100">
        <f t="shared" si="2"/>
        <v>44787.53416</v>
      </c>
      <c r="H112" s="100">
        <v>44787.534158449074</v>
      </c>
      <c r="I112" s="105">
        <v>55.0</v>
      </c>
      <c r="J112" s="17"/>
      <c r="K112" s="106">
        <v>44786.208333333336</v>
      </c>
    </row>
    <row r="113" ht="15.75" customHeight="1">
      <c r="A113" s="102" t="s">
        <v>106</v>
      </c>
      <c r="B113" s="103">
        <v>722.0</v>
      </c>
      <c r="C113" s="47">
        <v>722.0</v>
      </c>
      <c r="D113" s="47">
        <f t="shared" si="1"/>
        <v>0</v>
      </c>
      <c r="E113" s="103" t="s">
        <v>54</v>
      </c>
      <c r="F113" s="104">
        <v>1.2878380787037038</v>
      </c>
      <c r="G113" s="100">
        <f t="shared" si="2"/>
        <v>44787.49617</v>
      </c>
      <c r="H113" s="100">
        <v>44787.496171412036</v>
      </c>
      <c r="I113" s="105">
        <v>51.0</v>
      </c>
      <c r="J113" s="17"/>
      <c r="K113" s="106">
        <v>44786.208333333336</v>
      </c>
    </row>
    <row r="114" ht="15.75" customHeight="1">
      <c r="A114" s="102" t="s">
        <v>115</v>
      </c>
      <c r="B114" s="103">
        <v>727.0</v>
      </c>
      <c r="C114" s="47">
        <v>727.0</v>
      </c>
      <c r="D114" s="47">
        <f t="shared" si="1"/>
        <v>0</v>
      </c>
      <c r="E114" s="103" t="s">
        <v>66</v>
      </c>
      <c r="F114" s="104">
        <v>1.3438681712962963</v>
      </c>
      <c r="G114" s="100">
        <f t="shared" si="2"/>
        <v>44787.5522</v>
      </c>
      <c r="H114" s="100">
        <v>44787.55220150463</v>
      </c>
      <c r="I114" s="105">
        <v>60.0</v>
      </c>
      <c r="J114" s="17"/>
      <c r="K114" s="106">
        <v>44786.208333333336</v>
      </c>
    </row>
    <row r="115" ht="15.75" customHeight="1">
      <c r="A115" s="102" t="s">
        <v>76</v>
      </c>
      <c r="B115" s="103">
        <v>728.0</v>
      </c>
      <c r="C115" s="47">
        <v>728.0</v>
      </c>
      <c r="D115" s="47">
        <f t="shared" si="1"/>
        <v>0</v>
      </c>
      <c r="E115" s="103" t="s">
        <v>66</v>
      </c>
      <c r="F115" s="104">
        <v>1.1658741898148148</v>
      </c>
      <c r="G115" s="100">
        <f t="shared" si="2"/>
        <v>44787.37421</v>
      </c>
      <c r="H115" s="100">
        <v>44787.37420752315</v>
      </c>
      <c r="I115" s="105">
        <v>22.0</v>
      </c>
      <c r="J115" s="17"/>
      <c r="K115" s="106">
        <v>44786.208333333336</v>
      </c>
    </row>
    <row r="116" ht="15.75" customHeight="1">
      <c r="A116" s="102" t="s">
        <v>86</v>
      </c>
      <c r="B116" s="103">
        <v>729.0</v>
      </c>
      <c r="C116" s="47">
        <v>729.0</v>
      </c>
      <c r="D116" s="47">
        <f t="shared" si="1"/>
        <v>0</v>
      </c>
      <c r="E116" s="103" t="s">
        <v>54</v>
      </c>
      <c r="F116" s="104">
        <v>1.221085300925926</v>
      </c>
      <c r="G116" s="100">
        <f t="shared" si="2"/>
        <v>44787.42942</v>
      </c>
      <c r="H116" s="100">
        <v>44787.42941863426</v>
      </c>
      <c r="I116" s="105">
        <v>32.0</v>
      </c>
      <c r="J116" s="17"/>
      <c r="K116" s="106">
        <v>44786.208333333336</v>
      </c>
    </row>
    <row r="117" ht="15.75" customHeight="1">
      <c r="A117" s="102" t="s">
        <v>124</v>
      </c>
      <c r="B117" s="103">
        <v>730.0</v>
      </c>
      <c r="C117" s="47">
        <v>730.0</v>
      </c>
      <c r="D117" s="47">
        <f t="shared" si="1"/>
        <v>0</v>
      </c>
      <c r="E117" s="103" t="s">
        <v>54</v>
      </c>
      <c r="F117" s="104">
        <v>1.372096875</v>
      </c>
      <c r="G117" s="100">
        <f t="shared" si="2"/>
        <v>44787.58043</v>
      </c>
      <c r="H117" s="100">
        <v>44787.580430208334</v>
      </c>
      <c r="I117" s="105">
        <v>68.0</v>
      </c>
      <c r="J117" s="17"/>
      <c r="K117" s="106">
        <v>44786.208333333336</v>
      </c>
    </row>
    <row r="118" ht="15.75" customHeight="1">
      <c r="A118" s="102" t="s">
        <v>65</v>
      </c>
      <c r="B118" s="103">
        <v>731.0</v>
      </c>
      <c r="C118" s="47">
        <v>731.0</v>
      </c>
      <c r="D118" s="47">
        <f t="shared" si="1"/>
        <v>0</v>
      </c>
      <c r="E118" s="103" t="s">
        <v>66</v>
      </c>
      <c r="F118" s="104">
        <v>1.0865414351851852</v>
      </c>
      <c r="G118" s="100">
        <f t="shared" si="2"/>
        <v>44787.29487</v>
      </c>
      <c r="H118" s="100">
        <v>44787.29487476852</v>
      </c>
      <c r="I118" s="105">
        <v>12.0</v>
      </c>
      <c r="J118" s="17"/>
      <c r="K118" s="106">
        <v>44786.208333333336</v>
      </c>
    </row>
    <row r="119" ht="15.75" customHeight="1">
      <c r="A119" s="102" t="s">
        <v>164</v>
      </c>
      <c r="B119" s="103">
        <v>732.0</v>
      </c>
      <c r="C119" s="47">
        <v>732.0</v>
      </c>
      <c r="D119" s="47">
        <f t="shared" si="1"/>
        <v>0</v>
      </c>
      <c r="E119" s="103" t="s">
        <v>54</v>
      </c>
      <c r="F119" s="104">
        <v>1.452544097222222</v>
      </c>
      <c r="G119" s="100">
        <f t="shared" si="2"/>
        <v>44787.66088</v>
      </c>
      <c r="H119" s="100">
        <v>44787.66087743056</v>
      </c>
      <c r="I119" s="105">
        <v>108.0</v>
      </c>
      <c r="J119" s="17"/>
      <c r="K119" s="106">
        <v>44786.208333333336</v>
      </c>
    </row>
    <row r="120" ht="15.75" customHeight="1">
      <c r="A120" s="102" t="s">
        <v>133</v>
      </c>
      <c r="B120" s="103">
        <v>734.0</v>
      </c>
      <c r="C120" s="47">
        <v>734.0</v>
      </c>
      <c r="D120" s="47">
        <f t="shared" si="1"/>
        <v>0</v>
      </c>
      <c r="E120" s="103" t="s">
        <v>54</v>
      </c>
      <c r="F120" s="104">
        <v>1.3876758101851852</v>
      </c>
      <c r="G120" s="100">
        <f t="shared" si="2"/>
        <v>44787.59601</v>
      </c>
      <c r="H120" s="100">
        <v>44787.59600914352</v>
      </c>
      <c r="I120" s="105">
        <v>77.0</v>
      </c>
      <c r="J120" s="17"/>
      <c r="K120" s="106">
        <v>44786.208333333336</v>
      </c>
    </row>
    <row r="121" ht="15.75" customHeight="1">
      <c r="A121" s="102" t="s">
        <v>127</v>
      </c>
      <c r="B121" s="103">
        <v>737.0</v>
      </c>
      <c r="C121" s="47">
        <v>737.0</v>
      </c>
      <c r="D121" s="47">
        <f t="shared" si="1"/>
        <v>0</v>
      </c>
      <c r="E121" s="103" t="s">
        <v>54</v>
      </c>
      <c r="F121" s="104">
        <v>1.3768633101851853</v>
      </c>
      <c r="G121" s="100">
        <f t="shared" si="2"/>
        <v>44787.5852</v>
      </c>
      <c r="H121" s="100">
        <v>44787.58519664352</v>
      </c>
      <c r="I121" s="105">
        <v>71.0</v>
      </c>
      <c r="J121" s="17"/>
      <c r="K121" s="106">
        <v>44786.208333333336</v>
      </c>
    </row>
    <row r="122" ht="15.75" customHeight="1">
      <c r="A122" s="102" t="s">
        <v>141</v>
      </c>
      <c r="B122" s="103">
        <v>739.0</v>
      </c>
      <c r="C122" s="47">
        <v>739.0</v>
      </c>
      <c r="D122" s="47">
        <f t="shared" si="1"/>
        <v>0</v>
      </c>
      <c r="E122" s="103" t="s">
        <v>54</v>
      </c>
      <c r="F122" s="104">
        <v>1.4080894675925926</v>
      </c>
      <c r="G122" s="100">
        <f t="shared" si="2"/>
        <v>44787.61642</v>
      </c>
      <c r="H122" s="100">
        <v>44787.61642280093</v>
      </c>
      <c r="I122" s="105">
        <v>85.0</v>
      </c>
      <c r="J122" s="17"/>
      <c r="K122" s="106">
        <v>44786.208333333336</v>
      </c>
    </row>
    <row r="123" ht="15.75" customHeight="1">
      <c r="A123" s="108"/>
      <c r="B123" s="17"/>
      <c r="C123" s="17"/>
      <c r="D123" s="17"/>
      <c r="E123" s="17"/>
      <c r="F123" s="17"/>
      <c r="G123" s="100"/>
      <c r="H123" s="100"/>
      <c r="I123" s="17"/>
      <c r="J123" s="17"/>
      <c r="K123" s="17"/>
    </row>
    <row r="124" ht="15.75" customHeight="1">
      <c r="A124" s="108"/>
      <c r="B124" s="17"/>
      <c r="C124" s="17"/>
      <c r="D124" s="17"/>
      <c r="E124" s="17"/>
      <c r="F124" s="17"/>
      <c r="G124" s="100"/>
      <c r="H124" s="100"/>
      <c r="I124" s="17"/>
      <c r="J124" s="17"/>
      <c r="K124" s="17"/>
    </row>
    <row r="125" ht="15.75" customHeight="1">
      <c r="A125" s="108"/>
      <c r="B125" s="17"/>
      <c r="C125" s="17"/>
      <c r="D125" s="17"/>
      <c r="E125" s="17"/>
      <c r="F125" s="17"/>
      <c r="G125" s="100"/>
      <c r="H125" s="100"/>
      <c r="I125" s="17"/>
      <c r="J125" s="17"/>
      <c r="K125" s="17"/>
    </row>
    <row r="126" ht="15.75" customHeight="1">
      <c r="A126" s="108"/>
      <c r="B126" s="17"/>
      <c r="C126" s="17"/>
      <c r="D126" s="17"/>
      <c r="E126" s="17"/>
      <c r="F126" s="17"/>
      <c r="G126" s="100"/>
      <c r="H126" s="100"/>
      <c r="I126" s="17"/>
      <c r="J126" s="17"/>
      <c r="K126" s="17"/>
    </row>
    <row r="127" ht="15.75" customHeight="1">
      <c r="A127" s="108"/>
      <c r="B127" s="17"/>
      <c r="C127" s="17"/>
      <c r="D127" s="17"/>
      <c r="E127" s="17"/>
      <c r="F127" s="17"/>
      <c r="G127" s="100"/>
      <c r="H127" s="100"/>
      <c r="I127" s="17"/>
      <c r="J127" s="17"/>
      <c r="K127" s="17"/>
    </row>
    <row r="128" ht="15.75" customHeight="1">
      <c r="A128" s="108"/>
      <c r="B128" s="17"/>
      <c r="C128" s="17"/>
      <c r="D128" s="17"/>
      <c r="E128" s="17"/>
      <c r="F128" s="17"/>
      <c r="G128" s="100"/>
      <c r="H128" s="100"/>
      <c r="I128" s="17"/>
      <c r="J128" s="17"/>
      <c r="K128" s="17"/>
    </row>
    <row r="129" ht="15.75" customHeight="1">
      <c r="A129" s="108"/>
      <c r="B129" s="17"/>
      <c r="C129" s="17"/>
      <c r="D129" s="17"/>
      <c r="E129" s="17"/>
      <c r="F129" s="17"/>
      <c r="G129" s="100"/>
      <c r="H129" s="100"/>
      <c r="I129" s="17"/>
      <c r="J129" s="17"/>
      <c r="K129" s="17"/>
    </row>
    <row r="130" ht="15.75" customHeight="1">
      <c r="A130" s="108"/>
      <c r="B130" s="17"/>
      <c r="C130" s="17"/>
      <c r="D130" s="17"/>
      <c r="E130" s="17"/>
      <c r="F130" s="17"/>
      <c r="G130" s="100"/>
      <c r="H130" s="100"/>
      <c r="I130" s="17"/>
      <c r="J130" s="17"/>
      <c r="K130" s="17"/>
    </row>
    <row r="131" ht="15.75" customHeight="1">
      <c r="A131" s="108"/>
      <c r="B131" s="17"/>
      <c r="C131" s="17"/>
      <c r="D131" s="17"/>
      <c r="E131" s="17"/>
      <c r="F131" s="17"/>
      <c r="G131" s="100"/>
      <c r="H131" s="100"/>
      <c r="I131" s="17"/>
      <c r="J131" s="17"/>
      <c r="K131" s="17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31">
    <sortState ref="A1:K131">
      <sortCondition ref="A1:A131"/>
      <sortCondition ref="B1:B131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9.75"/>
    <col customWidth="1" min="4" max="4" width="6.13"/>
    <col customWidth="1" min="5" max="5" width="3.88"/>
    <col customWidth="1" min="6" max="6" width="6.63"/>
    <col customWidth="1" min="7" max="7" width="9.0"/>
    <col customWidth="1" min="8" max="8" width="8.88"/>
  </cols>
  <sheetData>
    <row r="1" ht="15.75" customHeight="1">
      <c r="A1" s="109" t="s">
        <v>189</v>
      </c>
      <c r="B1" s="110" t="s">
        <v>0</v>
      </c>
      <c r="C1" s="110" t="s">
        <v>190</v>
      </c>
      <c r="D1" s="111" t="s">
        <v>187</v>
      </c>
      <c r="E1" s="111" t="s">
        <v>191</v>
      </c>
      <c r="F1" s="111" t="s">
        <v>2</v>
      </c>
      <c r="G1" s="111" t="s">
        <v>192</v>
      </c>
      <c r="H1" s="111" t="s">
        <v>188</v>
      </c>
      <c r="I1" s="111" t="s">
        <v>193</v>
      </c>
      <c r="J1" s="112" t="s">
        <v>194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13">
        <v>1.0</v>
      </c>
      <c r="B2" s="114" t="s">
        <v>53</v>
      </c>
      <c r="C2" s="114" t="s">
        <v>195</v>
      </c>
      <c r="D2" s="115">
        <v>537.0</v>
      </c>
      <c r="E2" s="115">
        <v>25.0</v>
      </c>
      <c r="F2" s="115" t="s">
        <v>54</v>
      </c>
      <c r="G2" s="115" t="s">
        <v>196</v>
      </c>
      <c r="H2" s="116">
        <v>0.8426692129629629</v>
      </c>
      <c r="I2" s="115" t="s">
        <v>197</v>
      </c>
      <c r="J2" s="117">
        <v>20.22406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18">
        <v>2.0</v>
      </c>
      <c r="B3" s="119" t="s">
        <v>55</v>
      </c>
      <c r="C3" s="119" t="s">
        <v>198</v>
      </c>
      <c r="D3" s="120">
        <v>596.0</v>
      </c>
      <c r="E3" s="120">
        <v>24.0</v>
      </c>
      <c r="F3" s="120" t="s">
        <v>54</v>
      </c>
      <c r="G3" s="120" t="s">
        <v>199</v>
      </c>
      <c r="H3" s="121">
        <v>0.9497130787037038</v>
      </c>
      <c r="I3" s="120" t="s">
        <v>200</v>
      </c>
      <c r="J3" s="122">
        <v>22.79311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13">
        <v>3.0</v>
      </c>
      <c r="B4" s="114" t="s">
        <v>56</v>
      </c>
      <c r="C4" s="114" t="s">
        <v>201</v>
      </c>
      <c r="D4" s="115">
        <v>513.0</v>
      </c>
      <c r="E4" s="115">
        <v>32.0</v>
      </c>
      <c r="F4" s="115" t="s">
        <v>54</v>
      </c>
      <c r="G4" s="115" t="s">
        <v>202</v>
      </c>
      <c r="H4" s="116">
        <v>0.9910855324074074</v>
      </c>
      <c r="I4" s="115" t="s">
        <v>203</v>
      </c>
      <c r="J4" s="117">
        <v>23.78605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18">
        <v>4.0</v>
      </c>
      <c r="B5" s="119" t="s">
        <v>57</v>
      </c>
      <c r="C5" s="119" t="s">
        <v>204</v>
      </c>
      <c r="D5" s="120">
        <v>603.0</v>
      </c>
      <c r="E5" s="120">
        <v>41.0</v>
      </c>
      <c r="F5" s="120" t="s">
        <v>54</v>
      </c>
      <c r="G5" s="120" t="s">
        <v>205</v>
      </c>
      <c r="H5" s="121">
        <v>0.9982189814814815</v>
      </c>
      <c r="I5" s="120" t="s">
        <v>206</v>
      </c>
      <c r="J5" s="122">
        <v>23.95726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13">
        <v>5.0</v>
      </c>
      <c r="B6" s="114" t="s">
        <v>58</v>
      </c>
      <c r="C6" s="114" t="s">
        <v>207</v>
      </c>
      <c r="D6" s="115">
        <v>689.0</v>
      </c>
      <c r="E6" s="115">
        <v>38.0</v>
      </c>
      <c r="F6" s="115" t="s">
        <v>54</v>
      </c>
      <c r="G6" s="115" t="s">
        <v>208</v>
      </c>
      <c r="H6" s="123">
        <v>1.0048136574074074</v>
      </c>
      <c r="I6" s="115" t="s">
        <v>209</v>
      </c>
      <c r="J6" s="117">
        <v>24.11553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18">
        <v>6.0</v>
      </c>
      <c r="B7" s="119" t="s">
        <v>59</v>
      </c>
      <c r="C7" s="119" t="s">
        <v>210</v>
      </c>
      <c r="D7" s="120">
        <v>620.0</v>
      </c>
      <c r="E7" s="120">
        <v>25.0</v>
      </c>
      <c r="F7" s="120" t="s">
        <v>54</v>
      </c>
      <c r="G7" s="120" t="s">
        <v>211</v>
      </c>
      <c r="H7" s="124">
        <v>1.0084627314814814</v>
      </c>
      <c r="I7" s="120" t="s">
        <v>212</v>
      </c>
      <c r="J7" s="122">
        <v>24.20311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13">
        <v>7.0</v>
      </c>
      <c r="B8" s="114" t="s">
        <v>60</v>
      </c>
      <c r="C8" s="114" t="s">
        <v>213</v>
      </c>
      <c r="D8" s="115">
        <v>543.0</v>
      </c>
      <c r="E8" s="115">
        <v>37.0</v>
      </c>
      <c r="F8" s="115" t="s">
        <v>54</v>
      </c>
      <c r="G8" s="115" t="s">
        <v>214</v>
      </c>
      <c r="H8" s="123">
        <v>1.0584597222222223</v>
      </c>
      <c r="I8" s="115" t="s">
        <v>215</v>
      </c>
      <c r="J8" s="117">
        <v>25.40303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18">
        <v>8.0</v>
      </c>
      <c r="B9" s="119" t="s">
        <v>61</v>
      </c>
      <c r="C9" s="119" t="s">
        <v>216</v>
      </c>
      <c r="D9" s="120">
        <v>515.0</v>
      </c>
      <c r="E9" s="120">
        <v>39.0</v>
      </c>
      <c r="F9" s="120" t="s">
        <v>54</v>
      </c>
      <c r="G9" s="120" t="s">
        <v>217</v>
      </c>
      <c r="H9" s="124">
        <v>1.059508101851852</v>
      </c>
      <c r="I9" s="120" t="s">
        <v>218</v>
      </c>
      <c r="J9" s="122">
        <v>25.42819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13">
        <v>9.0</v>
      </c>
      <c r="B10" s="114" t="s">
        <v>62</v>
      </c>
      <c r="C10" s="114" t="s">
        <v>219</v>
      </c>
      <c r="D10" s="115">
        <v>685.0</v>
      </c>
      <c r="E10" s="115">
        <v>32.0</v>
      </c>
      <c r="F10" s="115" t="s">
        <v>54</v>
      </c>
      <c r="G10" s="115" t="s">
        <v>220</v>
      </c>
      <c r="H10" s="123">
        <v>1.0744649305555556</v>
      </c>
      <c r="I10" s="115" t="s">
        <v>221</v>
      </c>
      <c r="J10" s="117">
        <v>25.78716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18">
        <v>10.0</v>
      </c>
      <c r="B11" s="119" t="s">
        <v>63</v>
      </c>
      <c r="C11" s="119" t="s">
        <v>222</v>
      </c>
      <c r="D11" s="120">
        <v>563.0</v>
      </c>
      <c r="E11" s="120">
        <v>28.0</v>
      </c>
      <c r="F11" s="120" t="s">
        <v>54</v>
      </c>
      <c r="G11" s="120" t="s">
        <v>223</v>
      </c>
      <c r="H11" s="124">
        <v>1.0767109953703704</v>
      </c>
      <c r="I11" s="120" t="s">
        <v>224</v>
      </c>
      <c r="J11" s="122">
        <v>25.84106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13">
        <v>11.0</v>
      </c>
      <c r="B12" s="114" t="s">
        <v>64</v>
      </c>
      <c r="C12" s="114" t="s">
        <v>225</v>
      </c>
      <c r="D12" s="115">
        <v>601.0</v>
      </c>
      <c r="E12" s="115">
        <v>41.0</v>
      </c>
      <c r="F12" s="115" t="s">
        <v>54</v>
      </c>
      <c r="G12" s="115" t="s">
        <v>226</v>
      </c>
      <c r="H12" s="123">
        <v>1.0772747685185184</v>
      </c>
      <c r="I12" s="115" t="s">
        <v>227</v>
      </c>
      <c r="J12" s="117">
        <v>25.85459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18">
        <v>12.0</v>
      </c>
      <c r="B13" s="119" t="s">
        <v>65</v>
      </c>
      <c r="C13" s="119" t="s">
        <v>228</v>
      </c>
      <c r="D13" s="120">
        <v>731.0</v>
      </c>
      <c r="E13" s="120">
        <v>46.0</v>
      </c>
      <c r="F13" s="120" t="s">
        <v>66</v>
      </c>
      <c r="G13" s="120" t="s">
        <v>196</v>
      </c>
      <c r="H13" s="124">
        <v>1.0865414351851852</v>
      </c>
      <c r="I13" s="120" t="s">
        <v>229</v>
      </c>
      <c r="J13" s="122">
        <v>26.07699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13">
        <v>13.0</v>
      </c>
      <c r="B14" s="114" t="s">
        <v>67</v>
      </c>
      <c r="C14" s="114" t="s">
        <v>230</v>
      </c>
      <c r="D14" s="115">
        <v>602.0</v>
      </c>
      <c r="E14" s="115">
        <v>43.0</v>
      </c>
      <c r="F14" s="115" t="s">
        <v>54</v>
      </c>
      <c r="G14" s="115" t="s">
        <v>231</v>
      </c>
      <c r="H14" s="123">
        <v>1.0935986111111111</v>
      </c>
      <c r="I14" s="115" t="s">
        <v>232</v>
      </c>
      <c r="J14" s="117">
        <v>26.24637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18">
        <v>14.0</v>
      </c>
      <c r="B15" s="119" t="s">
        <v>68</v>
      </c>
      <c r="C15" s="119" t="s">
        <v>233</v>
      </c>
      <c r="D15" s="120">
        <v>618.0</v>
      </c>
      <c r="E15" s="120">
        <v>33.0</v>
      </c>
      <c r="F15" s="120" t="s">
        <v>54</v>
      </c>
      <c r="G15" s="120" t="s">
        <v>234</v>
      </c>
      <c r="H15" s="124">
        <v>1.110485300925926</v>
      </c>
      <c r="I15" s="120" t="s">
        <v>235</v>
      </c>
      <c r="J15" s="122">
        <v>26.65165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13">
        <v>15.0</v>
      </c>
      <c r="B16" s="114" t="s">
        <v>69</v>
      </c>
      <c r="C16" s="114" t="s">
        <v>219</v>
      </c>
      <c r="D16" s="115">
        <v>561.0</v>
      </c>
      <c r="E16" s="115">
        <v>34.0</v>
      </c>
      <c r="F16" s="115" t="s">
        <v>54</v>
      </c>
      <c r="G16" s="115" t="s">
        <v>236</v>
      </c>
      <c r="H16" s="123">
        <v>1.1112447916666668</v>
      </c>
      <c r="I16" s="115" t="s">
        <v>235</v>
      </c>
      <c r="J16" s="117">
        <v>26.66988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18">
        <v>16.0</v>
      </c>
      <c r="B17" s="119" t="s">
        <v>70</v>
      </c>
      <c r="C17" s="119" t="s">
        <v>237</v>
      </c>
      <c r="D17" s="120">
        <v>529.0</v>
      </c>
      <c r="E17" s="120">
        <v>50.0</v>
      </c>
      <c r="F17" s="120" t="s">
        <v>54</v>
      </c>
      <c r="G17" s="120" t="s">
        <v>238</v>
      </c>
      <c r="H17" s="124">
        <v>1.1154905092592593</v>
      </c>
      <c r="I17" s="120" t="s">
        <v>239</v>
      </c>
      <c r="J17" s="122">
        <v>26.77177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13">
        <v>17.0</v>
      </c>
      <c r="B18" s="114" t="s">
        <v>71</v>
      </c>
      <c r="C18" s="114" t="s">
        <v>216</v>
      </c>
      <c r="D18" s="115">
        <v>629.0</v>
      </c>
      <c r="E18" s="115">
        <v>40.0</v>
      </c>
      <c r="F18" s="115" t="s">
        <v>54</v>
      </c>
      <c r="G18" s="115" t="s">
        <v>240</v>
      </c>
      <c r="H18" s="123">
        <v>1.1170739583333333</v>
      </c>
      <c r="I18" s="115" t="s">
        <v>241</v>
      </c>
      <c r="J18" s="117">
        <v>26.80978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18">
        <v>18.0</v>
      </c>
      <c r="B19" s="119" t="s">
        <v>72</v>
      </c>
      <c r="C19" s="119" t="s">
        <v>242</v>
      </c>
      <c r="D19" s="120">
        <v>655.0</v>
      </c>
      <c r="E19" s="120">
        <v>45.0</v>
      </c>
      <c r="F19" s="120" t="s">
        <v>54</v>
      </c>
      <c r="G19" s="120" t="s">
        <v>243</v>
      </c>
      <c r="H19" s="124">
        <v>1.1467761574074076</v>
      </c>
      <c r="I19" s="120" t="s">
        <v>244</v>
      </c>
      <c r="J19" s="122">
        <v>27.52263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13">
        <v>19.0</v>
      </c>
      <c r="B20" s="114" t="s">
        <v>73</v>
      </c>
      <c r="C20" s="114" t="s">
        <v>245</v>
      </c>
      <c r="D20" s="115">
        <v>567.0</v>
      </c>
      <c r="E20" s="115">
        <v>36.0</v>
      </c>
      <c r="F20" s="115" t="s">
        <v>54</v>
      </c>
      <c r="G20" s="115" t="s">
        <v>246</v>
      </c>
      <c r="H20" s="123">
        <v>1.1495278935185187</v>
      </c>
      <c r="I20" s="115" t="s">
        <v>247</v>
      </c>
      <c r="J20" s="117">
        <v>27.58867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18">
        <v>20.0</v>
      </c>
      <c r="B21" s="119" t="s">
        <v>74</v>
      </c>
      <c r="C21" s="119" t="s">
        <v>248</v>
      </c>
      <c r="D21" s="120">
        <v>702.0</v>
      </c>
      <c r="E21" s="120">
        <v>39.0</v>
      </c>
      <c r="F21" s="120" t="s">
        <v>54</v>
      </c>
      <c r="G21" s="120" t="s">
        <v>249</v>
      </c>
      <c r="H21" s="124">
        <v>1.154623611111111</v>
      </c>
      <c r="I21" s="120" t="s">
        <v>250</v>
      </c>
      <c r="J21" s="122">
        <v>27.71097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13">
        <v>21.0</v>
      </c>
      <c r="B22" s="114" t="s">
        <v>75</v>
      </c>
      <c r="C22" s="114" t="s">
        <v>251</v>
      </c>
      <c r="D22" s="115">
        <v>591.0</v>
      </c>
      <c r="E22" s="115">
        <v>29.0</v>
      </c>
      <c r="F22" s="115" t="s">
        <v>54</v>
      </c>
      <c r="G22" s="115" t="s">
        <v>252</v>
      </c>
      <c r="H22" s="123">
        <v>1.163613310185185</v>
      </c>
      <c r="I22" s="115" t="s">
        <v>253</v>
      </c>
      <c r="J22" s="117">
        <v>27.92672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18">
        <v>22.0</v>
      </c>
      <c r="B23" s="119" t="s">
        <v>76</v>
      </c>
      <c r="C23" s="119" t="s">
        <v>254</v>
      </c>
      <c r="D23" s="120">
        <v>728.0</v>
      </c>
      <c r="E23" s="120">
        <v>44.0</v>
      </c>
      <c r="F23" s="120" t="s">
        <v>66</v>
      </c>
      <c r="G23" s="120" t="s">
        <v>205</v>
      </c>
      <c r="H23" s="124">
        <v>1.1658741898148148</v>
      </c>
      <c r="I23" s="120" t="s">
        <v>255</v>
      </c>
      <c r="J23" s="122">
        <v>27.98098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13">
        <v>23.0</v>
      </c>
      <c r="B24" s="114" t="s">
        <v>77</v>
      </c>
      <c r="C24" s="114" t="s">
        <v>256</v>
      </c>
      <c r="D24" s="115">
        <v>650.0</v>
      </c>
      <c r="E24" s="115">
        <v>33.0</v>
      </c>
      <c r="F24" s="115" t="s">
        <v>54</v>
      </c>
      <c r="G24" s="115" t="s">
        <v>257</v>
      </c>
      <c r="H24" s="123">
        <v>1.1713479166666667</v>
      </c>
      <c r="I24" s="115" t="s">
        <v>258</v>
      </c>
      <c r="J24" s="117">
        <v>28.11235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18">
        <v>24.0</v>
      </c>
      <c r="B25" s="119" t="s">
        <v>78</v>
      </c>
      <c r="C25" s="119" t="s">
        <v>259</v>
      </c>
      <c r="D25" s="120">
        <v>644.0</v>
      </c>
      <c r="E25" s="120">
        <v>40.0</v>
      </c>
      <c r="F25" s="120" t="s">
        <v>54</v>
      </c>
      <c r="G25" s="120" t="s">
        <v>260</v>
      </c>
      <c r="H25" s="124">
        <v>1.1878549768518518</v>
      </c>
      <c r="I25" s="120" t="s">
        <v>261</v>
      </c>
      <c r="J25" s="122">
        <v>28.50852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13">
        <v>25.0</v>
      </c>
      <c r="B26" s="114" t="s">
        <v>79</v>
      </c>
      <c r="C26" s="114" t="s">
        <v>262</v>
      </c>
      <c r="D26" s="115">
        <v>611.0</v>
      </c>
      <c r="E26" s="115">
        <v>33.0</v>
      </c>
      <c r="F26" s="115" t="s">
        <v>54</v>
      </c>
      <c r="G26" s="115" t="s">
        <v>263</v>
      </c>
      <c r="H26" s="123">
        <v>1.1898484953703705</v>
      </c>
      <c r="I26" s="115" t="s">
        <v>264</v>
      </c>
      <c r="J26" s="117">
        <v>28.55636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18">
        <v>26.0</v>
      </c>
      <c r="B27" s="119" t="s">
        <v>80</v>
      </c>
      <c r="C27" s="119" t="s">
        <v>265</v>
      </c>
      <c r="D27" s="120">
        <v>692.0</v>
      </c>
      <c r="E27" s="120">
        <v>35.0</v>
      </c>
      <c r="F27" s="120" t="s">
        <v>54</v>
      </c>
      <c r="G27" s="120" t="s">
        <v>266</v>
      </c>
      <c r="H27" s="124">
        <v>1.1898533564814815</v>
      </c>
      <c r="I27" s="120" t="s">
        <v>264</v>
      </c>
      <c r="J27" s="122">
        <v>28.55648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13">
        <v>27.0</v>
      </c>
      <c r="B28" s="114" t="s">
        <v>81</v>
      </c>
      <c r="C28" s="114" t="s">
        <v>267</v>
      </c>
      <c r="D28" s="115">
        <v>662.0</v>
      </c>
      <c r="E28" s="115">
        <v>46.0</v>
      </c>
      <c r="F28" s="115" t="s">
        <v>54</v>
      </c>
      <c r="G28" s="115" t="s">
        <v>268</v>
      </c>
      <c r="H28" s="123">
        <v>1.1999743055555556</v>
      </c>
      <c r="I28" s="115" t="s">
        <v>269</v>
      </c>
      <c r="J28" s="117">
        <v>28.79938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18">
        <v>28.0</v>
      </c>
      <c r="B29" s="119" t="s">
        <v>82</v>
      </c>
      <c r="C29" s="119" t="s">
        <v>270</v>
      </c>
      <c r="D29" s="120">
        <v>715.0</v>
      </c>
      <c r="E29" s="120">
        <v>49.0</v>
      </c>
      <c r="F29" s="120" t="s">
        <v>54</v>
      </c>
      <c r="G29" s="120" t="s">
        <v>271</v>
      </c>
      <c r="H29" s="124">
        <v>1.203582175925926</v>
      </c>
      <c r="I29" s="120" t="s">
        <v>272</v>
      </c>
      <c r="J29" s="122">
        <v>28.88597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13">
        <v>29.0</v>
      </c>
      <c r="B30" s="114" t="s">
        <v>83</v>
      </c>
      <c r="C30" s="114" t="s">
        <v>273</v>
      </c>
      <c r="D30" s="115">
        <v>697.0</v>
      </c>
      <c r="E30" s="115">
        <v>41.0</v>
      </c>
      <c r="F30" s="115" t="s">
        <v>54</v>
      </c>
      <c r="G30" s="115" t="s">
        <v>274</v>
      </c>
      <c r="H30" s="123">
        <v>1.2085827546296297</v>
      </c>
      <c r="I30" s="115" t="s">
        <v>275</v>
      </c>
      <c r="J30" s="117">
        <v>29.00599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18">
        <v>30.0</v>
      </c>
      <c r="B31" s="119" t="s">
        <v>84</v>
      </c>
      <c r="C31" s="119" t="s">
        <v>276</v>
      </c>
      <c r="D31" s="120">
        <v>527.0</v>
      </c>
      <c r="E31" s="120">
        <v>43.0</v>
      </c>
      <c r="F31" s="120" t="s">
        <v>54</v>
      </c>
      <c r="G31" s="120" t="s">
        <v>277</v>
      </c>
      <c r="H31" s="124">
        <v>1.210885300925926</v>
      </c>
      <c r="I31" s="120" t="s">
        <v>278</v>
      </c>
      <c r="J31" s="122">
        <v>29.06125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13">
        <v>31.0</v>
      </c>
      <c r="B32" s="114" t="s">
        <v>85</v>
      </c>
      <c r="C32" s="114" t="s">
        <v>279</v>
      </c>
      <c r="D32" s="115">
        <v>550.0</v>
      </c>
      <c r="E32" s="115">
        <v>30.0</v>
      </c>
      <c r="F32" s="115" t="s">
        <v>66</v>
      </c>
      <c r="G32" s="115" t="s">
        <v>202</v>
      </c>
      <c r="H32" s="123">
        <v>1.2150649305555556</v>
      </c>
      <c r="I32" s="115" t="s">
        <v>280</v>
      </c>
      <c r="J32" s="117">
        <v>29.16156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18">
        <v>32.0</v>
      </c>
      <c r="B33" s="119" t="s">
        <v>86</v>
      </c>
      <c r="C33" s="119" t="s">
        <v>281</v>
      </c>
      <c r="D33" s="120">
        <v>729.0</v>
      </c>
      <c r="E33" s="120">
        <v>33.0</v>
      </c>
      <c r="F33" s="120" t="s">
        <v>54</v>
      </c>
      <c r="G33" s="120" t="s">
        <v>282</v>
      </c>
      <c r="H33" s="124">
        <v>1.221085300925926</v>
      </c>
      <c r="I33" s="120" t="s">
        <v>283</v>
      </c>
      <c r="J33" s="122">
        <v>29.30605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13">
        <v>33.0</v>
      </c>
      <c r="B34" s="114" t="s">
        <v>87</v>
      </c>
      <c r="C34" s="114" t="s">
        <v>284</v>
      </c>
      <c r="D34" s="115">
        <v>530.0</v>
      </c>
      <c r="E34" s="115">
        <v>47.0</v>
      </c>
      <c r="F34" s="115" t="s">
        <v>54</v>
      </c>
      <c r="G34" s="115" t="s">
        <v>285</v>
      </c>
      <c r="H34" s="123">
        <v>1.2228887731481481</v>
      </c>
      <c r="I34" s="115" t="s">
        <v>286</v>
      </c>
      <c r="J34" s="117">
        <v>29.34933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18">
        <v>34.0</v>
      </c>
      <c r="B35" s="119" t="s">
        <v>88</v>
      </c>
      <c r="C35" s="119" t="s">
        <v>262</v>
      </c>
      <c r="D35" s="120">
        <v>686.0</v>
      </c>
      <c r="E35" s="120">
        <v>31.0</v>
      </c>
      <c r="F35" s="120" t="s">
        <v>54</v>
      </c>
      <c r="G35" s="120" t="s">
        <v>287</v>
      </c>
      <c r="H35" s="124">
        <v>1.2298565972222222</v>
      </c>
      <c r="I35" s="120" t="s">
        <v>288</v>
      </c>
      <c r="J35" s="122">
        <v>29.51656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13">
        <v>35.0</v>
      </c>
      <c r="B36" s="114" t="s">
        <v>89</v>
      </c>
      <c r="C36" s="114" t="s">
        <v>289</v>
      </c>
      <c r="D36" s="115">
        <v>684.0</v>
      </c>
      <c r="E36" s="115">
        <v>46.0</v>
      </c>
      <c r="F36" s="115" t="s">
        <v>54</v>
      </c>
      <c r="G36" s="115" t="s">
        <v>290</v>
      </c>
      <c r="H36" s="123">
        <v>1.2321172453703704</v>
      </c>
      <c r="I36" s="115" t="s">
        <v>291</v>
      </c>
      <c r="J36" s="117">
        <v>29.57081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18">
        <v>36.0</v>
      </c>
      <c r="B37" s="119" t="s">
        <v>90</v>
      </c>
      <c r="C37" s="119" t="s">
        <v>292</v>
      </c>
      <c r="D37" s="120">
        <v>507.0</v>
      </c>
      <c r="E37" s="120">
        <v>35.0</v>
      </c>
      <c r="F37" s="120" t="s">
        <v>54</v>
      </c>
      <c r="G37" s="120" t="s">
        <v>293</v>
      </c>
      <c r="H37" s="124">
        <v>1.2331511574074074</v>
      </c>
      <c r="I37" s="120" t="s">
        <v>291</v>
      </c>
      <c r="J37" s="122">
        <v>29.59563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13">
        <v>37.0</v>
      </c>
      <c r="B38" s="114" t="s">
        <v>91</v>
      </c>
      <c r="C38" s="114" t="s">
        <v>294</v>
      </c>
      <c r="D38" s="115">
        <v>511.0</v>
      </c>
      <c r="E38" s="115">
        <v>50.0</v>
      </c>
      <c r="F38" s="115" t="s">
        <v>54</v>
      </c>
      <c r="G38" s="115" t="s">
        <v>295</v>
      </c>
      <c r="H38" s="123">
        <v>1.2336413194444444</v>
      </c>
      <c r="I38" s="115" t="s">
        <v>296</v>
      </c>
      <c r="J38" s="117">
        <v>29.60739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18">
        <v>38.0</v>
      </c>
      <c r="B39" s="119" t="s">
        <v>92</v>
      </c>
      <c r="C39" s="119" t="s">
        <v>297</v>
      </c>
      <c r="D39" s="120">
        <v>645.0</v>
      </c>
      <c r="E39" s="120">
        <v>43.0</v>
      </c>
      <c r="F39" s="120" t="s">
        <v>54</v>
      </c>
      <c r="G39" s="120" t="s">
        <v>298</v>
      </c>
      <c r="H39" s="124">
        <v>1.2352041666666667</v>
      </c>
      <c r="I39" s="120" t="s">
        <v>299</v>
      </c>
      <c r="J39" s="122">
        <v>29.6449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13">
        <v>39.0</v>
      </c>
      <c r="B40" s="114" t="s">
        <v>93</v>
      </c>
      <c r="C40" s="114" t="s">
        <v>300</v>
      </c>
      <c r="D40" s="115">
        <v>523.0</v>
      </c>
      <c r="E40" s="115">
        <v>33.0</v>
      </c>
      <c r="F40" s="115" t="s">
        <v>54</v>
      </c>
      <c r="G40" s="115" t="s">
        <v>301</v>
      </c>
      <c r="H40" s="123">
        <v>1.2390349537037038</v>
      </c>
      <c r="I40" s="115" t="s">
        <v>302</v>
      </c>
      <c r="J40" s="117">
        <v>29.73684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18">
        <v>40.0</v>
      </c>
      <c r="B41" s="119" t="s">
        <v>94</v>
      </c>
      <c r="C41" s="119" t="s">
        <v>303</v>
      </c>
      <c r="D41" s="120">
        <v>642.0</v>
      </c>
      <c r="E41" s="120">
        <v>26.0</v>
      </c>
      <c r="F41" s="120" t="s">
        <v>54</v>
      </c>
      <c r="G41" s="120" t="s">
        <v>304</v>
      </c>
      <c r="H41" s="124">
        <v>1.2421729166666666</v>
      </c>
      <c r="I41" s="120" t="s">
        <v>305</v>
      </c>
      <c r="J41" s="122">
        <v>29.81215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13">
        <v>41.0</v>
      </c>
      <c r="B42" s="114" t="s">
        <v>95</v>
      </c>
      <c r="C42" s="114" t="s">
        <v>306</v>
      </c>
      <c r="D42" s="115">
        <v>522.0</v>
      </c>
      <c r="E42" s="115">
        <v>44.0</v>
      </c>
      <c r="F42" s="115" t="s">
        <v>54</v>
      </c>
      <c r="G42" s="115" t="s">
        <v>307</v>
      </c>
      <c r="H42" s="123">
        <v>1.2433167824074074</v>
      </c>
      <c r="I42" s="115" t="s">
        <v>308</v>
      </c>
      <c r="J42" s="117">
        <v>29.8396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18">
        <v>42.0</v>
      </c>
      <c r="B43" s="119" t="s">
        <v>96</v>
      </c>
      <c r="C43" s="119" t="s">
        <v>198</v>
      </c>
      <c r="D43" s="120">
        <v>675.0</v>
      </c>
      <c r="E43" s="120">
        <v>47.0</v>
      </c>
      <c r="F43" s="120" t="s">
        <v>66</v>
      </c>
      <c r="G43" s="120" t="s">
        <v>226</v>
      </c>
      <c r="H43" s="124">
        <v>1.2494005787037037</v>
      </c>
      <c r="I43" s="120" t="s">
        <v>309</v>
      </c>
      <c r="J43" s="122">
        <v>29.98561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13">
        <v>43.0</v>
      </c>
      <c r="B44" s="114" t="s">
        <v>97</v>
      </c>
      <c r="C44" s="114" t="s">
        <v>310</v>
      </c>
      <c r="D44" s="115">
        <v>585.0</v>
      </c>
      <c r="E44" s="115">
        <v>47.0</v>
      </c>
      <c r="F44" s="115" t="s">
        <v>54</v>
      </c>
      <c r="G44" s="115" t="s">
        <v>311</v>
      </c>
      <c r="H44" s="123">
        <v>1.254882060185185</v>
      </c>
      <c r="I44" s="115" t="s">
        <v>312</v>
      </c>
      <c r="J44" s="117">
        <v>30.11717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18">
        <v>44.0</v>
      </c>
      <c r="B45" s="119" t="s">
        <v>98</v>
      </c>
      <c r="C45" s="119" t="s">
        <v>313</v>
      </c>
      <c r="D45" s="120">
        <v>637.0</v>
      </c>
      <c r="E45" s="120">
        <v>58.0</v>
      </c>
      <c r="F45" s="120" t="s">
        <v>54</v>
      </c>
      <c r="G45" s="120" t="s">
        <v>314</v>
      </c>
      <c r="H45" s="124">
        <v>1.259852199074074</v>
      </c>
      <c r="I45" s="120" t="s">
        <v>315</v>
      </c>
      <c r="J45" s="122">
        <v>30.23645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13">
        <v>45.0</v>
      </c>
      <c r="B46" s="114" t="s">
        <v>99</v>
      </c>
      <c r="C46" s="114" t="s">
        <v>316</v>
      </c>
      <c r="D46" s="115">
        <v>663.0</v>
      </c>
      <c r="E46" s="115">
        <v>50.0</v>
      </c>
      <c r="F46" s="115" t="s">
        <v>54</v>
      </c>
      <c r="G46" s="115" t="s">
        <v>317</v>
      </c>
      <c r="H46" s="123">
        <v>1.2644244212962963</v>
      </c>
      <c r="I46" s="115" t="s">
        <v>318</v>
      </c>
      <c r="J46" s="117">
        <v>30.34619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18">
        <v>46.0</v>
      </c>
      <c r="B47" s="119" t="s">
        <v>100</v>
      </c>
      <c r="C47" s="119" t="s">
        <v>284</v>
      </c>
      <c r="D47" s="120">
        <v>562.0</v>
      </c>
      <c r="E47" s="120">
        <v>38.0</v>
      </c>
      <c r="F47" s="120" t="s">
        <v>66</v>
      </c>
      <c r="G47" s="120" t="s">
        <v>208</v>
      </c>
      <c r="H47" s="124">
        <v>1.2701270833333334</v>
      </c>
      <c r="I47" s="120" t="s">
        <v>319</v>
      </c>
      <c r="J47" s="122">
        <v>30.48305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13">
        <v>47.0</v>
      </c>
      <c r="B48" s="114" t="s">
        <v>101</v>
      </c>
      <c r="C48" s="114" t="s">
        <v>320</v>
      </c>
      <c r="D48" s="115">
        <v>709.0</v>
      </c>
      <c r="E48" s="115">
        <v>44.0</v>
      </c>
      <c r="F48" s="115" t="s">
        <v>54</v>
      </c>
      <c r="G48" s="115" t="s">
        <v>321</v>
      </c>
      <c r="H48" s="123">
        <v>1.2742672453703705</v>
      </c>
      <c r="I48" s="115" t="s">
        <v>322</v>
      </c>
      <c r="J48" s="117">
        <v>30.58241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18">
        <v>48.0</v>
      </c>
      <c r="B49" s="119" t="s">
        <v>102</v>
      </c>
      <c r="C49" s="119" t="s">
        <v>323</v>
      </c>
      <c r="D49" s="120">
        <v>546.0</v>
      </c>
      <c r="E49" s="120">
        <v>44.0</v>
      </c>
      <c r="F49" s="120" t="s">
        <v>66</v>
      </c>
      <c r="G49" s="120" t="s">
        <v>231</v>
      </c>
      <c r="H49" s="124">
        <v>1.2742763888888888</v>
      </c>
      <c r="I49" s="120" t="s">
        <v>322</v>
      </c>
      <c r="J49" s="122">
        <v>30.58263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13">
        <v>49.0</v>
      </c>
      <c r="B50" s="114" t="s">
        <v>103</v>
      </c>
      <c r="C50" s="114" t="s">
        <v>324</v>
      </c>
      <c r="D50" s="115">
        <v>713.0</v>
      </c>
      <c r="E50" s="115">
        <v>37.0</v>
      </c>
      <c r="F50" s="115" t="s">
        <v>54</v>
      </c>
      <c r="G50" s="115" t="s">
        <v>325</v>
      </c>
      <c r="H50" s="123">
        <v>1.2773746527777778</v>
      </c>
      <c r="I50" s="115" t="s">
        <v>326</v>
      </c>
      <c r="J50" s="117">
        <v>30.65699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18">
        <v>50.0</v>
      </c>
      <c r="B51" s="119" t="s">
        <v>104</v>
      </c>
      <c r="C51" s="119" t="s">
        <v>327</v>
      </c>
      <c r="D51" s="120">
        <v>565.0</v>
      </c>
      <c r="E51" s="120">
        <v>44.0</v>
      </c>
      <c r="F51" s="120" t="s">
        <v>54</v>
      </c>
      <c r="G51" s="120" t="s">
        <v>328</v>
      </c>
      <c r="H51" s="124">
        <v>1.2872075231481481</v>
      </c>
      <c r="I51" s="120" t="s">
        <v>329</v>
      </c>
      <c r="J51" s="122">
        <v>30.89298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13">
        <v>51.0</v>
      </c>
      <c r="B52" s="114" t="s">
        <v>106</v>
      </c>
      <c r="C52" s="114" t="s">
        <v>330</v>
      </c>
      <c r="D52" s="115">
        <v>722.0</v>
      </c>
      <c r="E52" s="115">
        <v>40.0</v>
      </c>
      <c r="F52" s="115" t="s">
        <v>54</v>
      </c>
      <c r="G52" s="115" t="s">
        <v>331</v>
      </c>
      <c r="H52" s="123">
        <v>1.2878380787037038</v>
      </c>
      <c r="I52" s="115" t="s">
        <v>329</v>
      </c>
      <c r="J52" s="117">
        <v>30.90811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18">
        <v>52.0</v>
      </c>
      <c r="B53" s="119" t="s">
        <v>107</v>
      </c>
      <c r="C53" s="119" t="s">
        <v>332</v>
      </c>
      <c r="D53" s="120">
        <v>583.0</v>
      </c>
      <c r="E53" s="120">
        <v>36.0</v>
      </c>
      <c r="F53" s="120" t="s">
        <v>54</v>
      </c>
      <c r="G53" s="120" t="s">
        <v>333</v>
      </c>
      <c r="H53" s="124">
        <v>1.2956644675925926</v>
      </c>
      <c r="I53" s="120" t="s">
        <v>334</v>
      </c>
      <c r="J53" s="122">
        <v>31.09595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13">
        <v>53.0</v>
      </c>
      <c r="B54" s="114" t="s">
        <v>108</v>
      </c>
      <c r="C54" s="114" t="s">
        <v>335</v>
      </c>
      <c r="D54" s="115">
        <v>665.0</v>
      </c>
      <c r="E54" s="115">
        <v>22.0</v>
      </c>
      <c r="F54" s="115" t="s">
        <v>54</v>
      </c>
      <c r="G54" s="115" t="s">
        <v>336</v>
      </c>
      <c r="H54" s="123">
        <v>1.311700462962963</v>
      </c>
      <c r="I54" s="115" t="s">
        <v>337</v>
      </c>
      <c r="J54" s="117">
        <v>31.48081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18">
        <v>54.0</v>
      </c>
      <c r="B55" s="119" t="s">
        <v>109</v>
      </c>
      <c r="C55" s="119" t="s">
        <v>338</v>
      </c>
      <c r="D55" s="120">
        <v>703.0</v>
      </c>
      <c r="E55" s="120">
        <v>46.0</v>
      </c>
      <c r="F55" s="120" t="s">
        <v>54</v>
      </c>
      <c r="G55" s="120" t="s">
        <v>339</v>
      </c>
      <c r="H55" s="124">
        <v>1.3143137731481482</v>
      </c>
      <c r="I55" s="120" t="s">
        <v>340</v>
      </c>
      <c r="J55" s="122">
        <v>31.54353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13">
        <v>55.0</v>
      </c>
      <c r="B56" s="114" t="s">
        <v>110</v>
      </c>
      <c r="C56" s="114" t="s">
        <v>341</v>
      </c>
      <c r="D56" s="115">
        <v>719.0</v>
      </c>
      <c r="E56" s="115">
        <v>43.0</v>
      </c>
      <c r="F56" s="115" t="s">
        <v>54</v>
      </c>
      <c r="G56" s="115" t="s">
        <v>342</v>
      </c>
      <c r="H56" s="123">
        <v>1.3258251157407406</v>
      </c>
      <c r="I56" s="115" t="s">
        <v>343</v>
      </c>
      <c r="J56" s="117">
        <v>31.8198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18">
        <v>56.0</v>
      </c>
      <c r="B57" s="119" t="s">
        <v>111</v>
      </c>
      <c r="C57" s="119" t="s">
        <v>344</v>
      </c>
      <c r="D57" s="120">
        <v>549.0</v>
      </c>
      <c r="E57" s="120">
        <v>36.0</v>
      </c>
      <c r="F57" s="120" t="s">
        <v>54</v>
      </c>
      <c r="G57" s="120" t="s">
        <v>345</v>
      </c>
      <c r="H57" s="124">
        <v>1.3305755787037037</v>
      </c>
      <c r="I57" s="120" t="s">
        <v>346</v>
      </c>
      <c r="J57" s="122">
        <v>31.93381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13">
        <v>57.0</v>
      </c>
      <c r="B58" s="114" t="s">
        <v>112</v>
      </c>
      <c r="C58" s="114" t="s">
        <v>347</v>
      </c>
      <c r="D58" s="115">
        <v>647.0</v>
      </c>
      <c r="E58" s="115">
        <v>23.0</v>
      </c>
      <c r="F58" s="115" t="s">
        <v>54</v>
      </c>
      <c r="G58" s="115" t="s">
        <v>348</v>
      </c>
      <c r="H58" s="123">
        <v>1.3319005787037037</v>
      </c>
      <c r="I58" s="115" t="s">
        <v>349</v>
      </c>
      <c r="J58" s="117">
        <v>31.96561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18">
        <v>58.0</v>
      </c>
      <c r="B59" s="119" t="s">
        <v>113</v>
      </c>
      <c r="C59" s="119" t="s">
        <v>350</v>
      </c>
      <c r="D59" s="120">
        <v>547.0</v>
      </c>
      <c r="E59" s="120">
        <v>39.0</v>
      </c>
      <c r="F59" s="120" t="s">
        <v>66</v>
      </c>
      <c r="G59" s="120" t="s">
        <v>214</v>
      </c>
      <c r="H59" s="124">
        <v>1.3323645833333333</v>
      </c>
      <c r="I59" s="120" t="s">
        <v>351</v>
      </c>
      <c r="J59" s="122">
        <v>31.97675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13">
        <v>59.0</v>
      </c>
      <c r="B60" s="114" t="s">
        <v>114</v>
      </c>
      <c r="C60" s="114" t="s">
        <v>352</v>
      </c>
      <c r="D60" s="115">
        <v>536.0</v>
      </c>
      <c r="E60" s="115">
        <v>28.0</v>
      </c>
      <c r="F60" s="115" t="s">
        <v>54</v>
      </c>
      <c r="G60" s="115" t="s">
        <v>353</v>
      </c>
      <c r="H60" s="123">
        <v>1.3347590277777777</v>
      </c>
      <c r="I60" s="115" t="s">
        <v>354</v>
      </c>
      <c r="J60" s="117">
        <v>32.03422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18">
        <v>60.0</v>
      </c>
      <c r="B61" s="119" t="s">
        <v>115</v>
      </c>
      <c r="C61" s="119" t="s">
        <v>355</v>
      </c>
      <c r="D61" s="120">
        <v>727.0</v>
      </c>
      <c r="E61" s="120">
        <v>41.0</v>
      </c>
      <c r="F61" s="120" t="s">
        <v>66</v>
      </c>
      <c r="G61" s="120" t="s">
        <v>240</v>
      </c>
      <c r="H61" s="124">
        <v>1.3438681712962963</v>
      </c>
      <c r="I61" s="120" t="s">
        <v>356</v>
      </c>
      <c r="J61" s="122">
        <v>32.25284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13">
        <v>61.0</v>
      </c>
      <c r="B62" s="114" t="s">
        <v>116</v>
      </c>
      <c r="C62" s="114" t="s">
        <v>357</v>
      </c>
      <c r="D62" s="115">
        <v>651.0</v>
      </c>
      <c r="E62" s="115">
        <v>40.0</v>
      </c>
      <c r="F62" s="115" t="s">
        <v>54</v>
      </c>
      <c r="G62" s="115" t="s">
        <v>358</v>
      </c>
      <c r="H62" s="123">
        <v>1.347094212962963</v>
      </c>
      <c r="I62" s="115" t="s">
        <v>359</v>
      </c>
      <c r="J62" s="117">
        <v>32.33026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18">
        <v>62.0</v>
      </c>
      <c r="B63" s="119" t="s">
        <v>117</v>
      </c>
      <c r="C63" s="119" t="s">
        <v>248</v>
      </c>
      <c r="D63" s="120">
        <v>575.0</v>
      </c>
      <c r="E63" s="120">
        <v>36.0</v>
      </c>
      <c r="F63" s="120" t="s">
        <v>54</v>
      </c>
      <c r="G63" s="120" t="s">
        <v>360</v>
      </c>
      <c r="H63" s="124">
        <v>1.3571278935185185</v>
      </c>
      <c r="I63" s="120" t="s">
        <v>361</v>
      </c>
      <c r="J63" s="122">
        <v>32.57107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13">
        <v>63.0</v>
      </c>
      <c r="B64" s="114" t="s">
        <v>118</v>
      </c>
      <c r="C64" s="114" t="s">
        <v>303</v>
      </c>
      <c r="D64" s="115">
        <v>519.0</v>
      </c>
      <c r="E64" s="115">
        <v>25.0</v>
      </c>
      <c r="F64" s="115" t="s">
        <v>54</v>
      </c>
      <c r="G64" s="115" t="s">
        <v>362</v>
      </c>
      <c r="H64" s="123">
        <v>1.3597502314814816</v>
      </c>
      <c r="I64" s="115" t="s">
        <v>363</v>
      </c>
      <c r="J64" s="117">
        <v>32.63401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18">
        <v>64.0</v>
      </c>
      <c r="B65" s="119" t="s">
        <v>119</v>
      </c>
      <c r="C65" s="119" t="s">
        <v>364</v>
      </c>
      <c r="D65" s="120">
        <v>617.0</v>
      </c>
      <c r="E65" s="120">
        <v>47.0</v>
      </c>
      <c r="F65" s="120" t="s">
        <v>54</v>
      </c>
      <c r="G65" s="120" t="s">
        <v>365</v>
      </c>
      <c r="H65" s="124">
        <v>1.3598418981481482</v>
      </c>
      <c r="I65" s="120" t="s">
        <v>366</v>
      </c>
      <c r="J65" s="122">
        <v>32.63621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13">
        <v>65.0</v>
      </c>
      <c r="B66" s="114" t="s">
        <v>120</v>
      </c>
      <c r="C66" s="114" t="s">
        <v>367</v>
      </c>
      <c r="D66" s="115">
        <v>638.0</v>
      </c>
      <c r="E66" s="115">
        <v>48.0</v>
      </c>
      <c r="F66" s="115" t="s">
        <v>54</v>
      </c>
      <c r="G66" s="115" t="s">
        <v>368</v>
      </c>
      <c r="H66" s="123">
        <v>1.3603099537037038</v>
      </c>
      <c r="I66" s="115" t="s">
        <v>366</v>
      </c>
      <c r="J66" s="117">
        <v>32.64744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18">
        <v>66.0</v>
      </c>
      <c r="B67" s="119" t="s">
        <v>121</v>
      </c>
      <c r="C67" s="119" t="s">
        <v>369</v>
      </c>
      <c r="D67" s="120">
        <v>687.0</v>
      </c>
      <c r="E67" s="120">
        <v>31.0</v>
      </c>
      <c r="F67" s="120" t="s">
        <v>54</v>
      </c>
      <c r="G67" s="120" t="s">
        <v>370</v>
      </c>
      <c r="H67" s="124">
        <v>1.3627269675925926</v>
      </c>
      <c r="I67" s="120" t="s">
        <v>371</v>
      </c>
      <c r="J67" s="122">
        <v>32.70545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13">
        <v>67.0</v>
      </c>
      <c r="B68" s="114" t="s">
        <v>123</v>
      </c>
      <c r="C68" s="114" t="s">
        <v>372</v>
      </c>
      <c r="D68" s="115">
        <v>653.0</v>
      </c>
      <c r="E68" s="115">
        <v>35.0</v>
      </c>
      <c r="F68" s="115" t="s">
        <v>54</v>
      </c>
      <c r="G68" s="115" t="s">
        <v>373</v>
      </c>
      <c r="H68" s="123">
        <v>1.3657054398148147</v>
      </c>
      <c r="I68" s="115" t="s">
        <v>374</v>
      </c>
      <c r="J68" s="117">
        <v>32.77693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18">
        <v>68.0</v>
      </c>
      <c r="B69" s="119" t="s">
        <v>124</v>
      </c>
      <c r="C69" s="119" t="s">
        <v>375</v>
      </c>
      <c r="D69" s="120">
        <v>730.0</v>
      </c>
      <c r="E69" s="120">
        <v>54.0</v>
      </c>
      <c r="F69" s="120" t="s">
        <v>54</v>
      </c>
      <c r="G69" s="120" t="s">
        <v>376</v>
      </c>
      <c r="H69" s="124">
        <v>1.372096875</v>
      </c>
      <c r="I69" s="120" t="s">
        <v>377</v>
      </c>
      <c r="J69" s="122">
        <v>32.93033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13">
        <v>69.0</v>
      </c>
      <c r="B70" s="114" t="s">
        <v>125</v>
      </c>
      <c r="C70" s="114" t="s">
        <v>323</v>
      </c>
      <c r="D70" s="115">
        <v>626.0</v>
      </c>
      <c r="E70" s="115">
        <v>45.0</v>
      </c>
      <c r="F70" s="115" t="s">
        <v>54</v>
      </c>
      <c r="G70" s="115" t="s">
        <v>378</v>
      </c>
      <c r="H70" s="123">
        <v>1.372380787037037</v>
      </c>
      <c r="I70" s="115" t="s">
        <v>377</v>
      </c>
      <c r="J70" s="117">
        <v>32.93714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18">
        <v>70.0</v>
      </c>
      <c r="B71" s="119" t="s">
        <v>126</v>
      </c>
      <c r="C71" s="119" t="s">
        <v>379</v>
      </c>
      <c r="D71" s="120">
        <v>714.0</v>
      </c>
      <c r="E71" s="120">
        <v>59.0</v>
      </c>
      <c r="F71" s="120" t="s">
        <v>54</v>
      </c>
      <c r="G71" s="120" t="s">
        <v>380</v>
      </c>
      <c r="H71" s="124">
        <v>1.3746324074074074</v>
      </c>
      <c r="I71" s="120" t="s">
        <v>381</v>
      </c>
      <c r="J71" s="122">
        <v>32.99118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13">
        <v>71.0</v>
      </c>
      <c r="B72" s="114" t="s">
        <v>127</v>
      </c>
      <c r="C72" s="114" t="s">
        <v>382</v>
      </c>
      <c r="D72" s="115">
        <v>737.0</v>
      </c>
      <c r="E72" s="115">
        <v>41.0</v>
      </c>
      <c r="F72" s="115" t="s">
        <v>54</v>
      </c>
      <c r="G72" s="115" t="s">
        <v>383</v>
      </c>
      <c r="H72" s="123">
        <v>1.3768633101851853</v>
      </c>
      <c r="I72" s="115" t="s">
        <v>384</v>
      </c>
      <c r="J72" s="117">
        <v>33.04472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18">
        <v>72.0</v>
      </c>
      <c r="B73" s="119" t="s">
        <v>128</v>
      </c>
      <c r="C73" s="119" t="s">
        <v>385</v>
      </c>
      <c r="D73" s="120">
        <v>631.0</v>
      </c>
      <c r="E73" s="120">
        <v>41.0</v>
      </c>
      <c r="F73" s="120" t="s">
        <v>54</v>
      </c>
      <c r="G73" s="120" t="s">
        <v>386</v>
      </c>
      <c r="H73" s="124">
        <v>1.377379050925926</v>
      </c>
      <c r="I73" s="120" t="s">
        <v>384</v>
      </c>
      <c r="J73" s="122">
        <v>33.0571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13">
        <v>73.0</v>
      </c>
      <c r="B74" s="114" t="s">
        <v>129</v>
      </c>
      <c r="C74" s="114" t="s">
        <v>387</v>
      </c>
      <c r="D74" s="115">
        <v>564.0</v>
      </c>
      <c r="E74" s="115">
        <v>43.0</v>
      </c>
      <c r="F74" s="115" t="s">
        <v>66</v>
      </c>
      <c r="G74" s="115" t="s">
        <v>243</v>
      </c>
      <c r="H74" s="123">
        <v>1.3786773148148148</v>
      </c>
      <c r="I74" s="115" t="s">
        <v>388</v>
      </c>
      <c r="J74" s="117">
        <v>33.08826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18">
        <v>74.0</v>
      </c>
      <c r="B75" s="119" t="s">
        <v>130</v>
      </c>
      <c r="C75" s="119" t="s">
        <v>389</v>
      </c>
      <c r="D75" s="120">
        <v>538.0</v>
      </c>
      <c r="E75" s="120">
        <v>54.0</v>
      </c>
      <c r="F75" s="120" t="s">
        <v>54</v>
      </c>
      <c r="G75" s="120" t="s">
        <v>390</v>
      </c>
      <c r="H75" s="124">
        <v>1.3801907407407408</v>
      </c>
      <c r="I75" s="120" t="s">
        <v>391</v>
      </c>
      <c r="J75" s="122">
        <v>33.12458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13">
        <v>75.0</v>
      </c>
      <c r="B76" s="114" t="s">
        <v>131</v>
      </c>
      <c r="C76" s="114" t="s">
        <v>392</v>
      </c>
      <c r="D76" s="115">
        <v>604.0</v>
      </c>
      <c r="E76" s="115">
        <v>38.0</v>
      </c>
      <c r="F76" s="115" t="s">
        <v>66</v>
      </c>
      <c r="G76" s="115" t="s">
        <v>217</v>
      </c>
      <c r="H76" s="123">
        <v>1.383064699074074</v>
      </c>
      <c r="I76" s="115" t="s">
        <v>393</v>
      </c>
      <c r="J76" s="117">
        <v>33.19355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18">
        <v>76.0</v>
      </c>
      <c r="B77" s="119" t="s">
        <v>132</v>
      </c>
      <c r="C77" s="119" t="s">
        <v>316</v>
      </c>
      <c r="D77" s="120">
        <v>577.0</v>
      </c>
      <c r="E77" s="120">
        <v>46.0</v>
      </c>
      <c r="F77" s="120" t="s">
        <v>54</v>
      </c>
      <c r="G77" s="120" t="s">
        <v>394</v>
      </c>
      <c r="H77" s="124">
        <v>1.3873506944444445</v>
      </c>
      <c r="I77" s="120" t="s">
        <v>395</v>
      </c>
      <c r="J77" s="122">
        <v>33.29642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13">
        <v>77.0</v>
      </c>
      <c r="B78" s="114" t="s">
        <v>133</v>
      </c>
      <c r="C78" s="114" t="s">
        <v>396</v>
      </c>
      <c r="D78" s="115">
        <v>734.0</v>
      </c>
      <c r="E78" s="115">
        <v>44.0</v>
      </c>
      <c r="F78" s="115" t="s">
        <v>54</v>
      </c>
      <c r="G78" s="115" t="s">
        <v>397</v>
      </c>
      <c r="H78" s="123">
        <v>1.3876758101851852</v>
      </c>
      <c r="I78" s="115" t="s">
        <v>395</v>
      </c>
      <c r="J78" s="117">
        <v>33.30422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18">
        <v>78.0</v>
      </c>
      <c r="B79" s="119" t="s">
        <v>134</v>
      </c>
      <c r="C79" s="119" t="s">
        <v>398</v>
      </c>
      <c r="D79" s="120">
        <v>683.0</v>
      </c>
      <c r="E79" s="120">
        <v>27.0</v>
      </c>
      <c r="F79" s="120" t="s">
        <v>54</v>
      </c>
      <c r="G79" s="120" t="s">
        <v>399</v>
      </c>
      <c r="H79" s="124">
        <v>1.3889561342592591</v>
      </c>
      <c r="I79" s="120" t="s">
        <v>400</v>
      </c>
      <c r="J79" s="122">
        <v>33.33495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13">
        <v>79.0</v>
      </c>
      <c r="B80" s="114" t="s">
        <v>135</v>
      </c>
      <c r="C80" s="114" t="s">
        <v>401</v>
      </c>
      <c r="D80" s="115">
        <v>518.0</v>
      </c>
      <c r="E80" s="115">
        <v>49.0</v>
      </c>
      <c r="F80" s="115" t="s">
        <v>54</v>
      </c>
      <c r="G80" s="115" t="s">
        <v>402</v>
      </c>
      <c r="H80" s="123">
        <v>1.3907583333333333</v>
      </c>
      <c r="I80" s="115" t="s">
        <v>403</v>
      </c>
      <c r="J80" s="117">
        <v>33.3782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18">
        <v>80.0</v>
      </c>
      <c r="B81" s="119" t="s">
        <v>136</v>
      </c>
      <c r="C81" s="119" t="s">
        <v>404</v>
      </c>
      <c r="D81" s="120">
        <v>509.0</v>
      </c>
      <c r="E81" s="120">
        <v>50.0</v>
      </c>
      <c r="F81" s="120" t="s">
        <v>66</v>
      </c>
      <c r="G81" s="120" t="s">
        <v>238</v>
      </c>
      <c r="H81" s="124">
        <v>1.3972873842592592</v>
      </c>
      <c r="I81" s="120" t="s">
        <v>405</v>
      </c>
      <c r="J81" s="122">
        <v>33.5349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13">
        <v>81.0</v>
      </c>
      <c r="B82" s="114" t="s">
        <v>137</v>
      </c>
      <c r="C82" s="114" t="s">
        <v>406</v>
      </c>
      <c r="D82" s="115">
        <v>548.0</v>
      </c>
      <c r="E82" s="115">
        <v>47.0</v>
      </c>
      <c r="F82" s="115" t="s">
        <v>54</v>
      </c>
      <c r="G82" s="115" t="s">
        <v>407</v>
      </c>
      <c r="H82" s="123">
        <v>1.3981730324074073</v>
      </c>
      <c r="I82" s="115" t="s">
        <v>408</v>
      </c>
      <c r="J82" s="117">
        <v>33.55615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18">
        <v>82.0</v>
      </c>
      <c r="B83" s="119" t="s">
        <v>138</v>
      </c>
      <c r="C83" s="119" t="s">
        <v>409</v>
      </c>
      <c r="D83" s="120">
        <v>569.0</v>
      </c>
      <c r="E83" s="120">
        <v>55.0</v>
      </c>
      <c r="F83" s="120" t="s">
        <v>54</v>
      </c>
      <c r="G83" s="120" t="s">
        <v>410</v>
      </c>
      <c r="H83" s="124">
        <v>1.3991878472222223</v>
      </c>
      <c r="I83" s="120" t="s">
        <v>411</v>
      </c>
      <c r="J83" s="122">
        <v>33.58051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13">
        <v>83.0</v>
      </c>
      <c r="B84" s="114" t="s">
        <v>139</v>
      </c>
      <c r="C84" s="114" t="s">
        <v>256</v>
      </c>
      <c r="D84" s="115">
        <v>607.0</v>
      </c>
      <c r="E84" s="115">
        <v>38.0</v>
      </c>
      <c r="F84" s="115" t="s">
        <v>54</v>
      </c>
      <c r="G84" s="115" t="s">
        <v>412</v>
      </c>
      <c r="H84" s="123">
        <v>1.4002400462962963</v>
      </c>
      <c r="I84" s="115" t="s">
        <v>411</v>
      </c>
      <c r="J84" s="117">
        <v>33.60576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18">
        <v>84.0</v>
      </c>
      <c r="B85" s="119" t="s">
        <v>140</v>
      </c>
      <c r="C85" s="119" t="s">
        <v>413</v>
      </c>
      <c r="D85" s="120">
        <v>699.0</v>
      </c>
      <c r="E85" s="120">
        <v>39.0</v>
      </c>
      <c r="F85" s="120" t="s">
        <v>54</v>
      </c>
      <c r="G85" s="120" t="s">
        <v>414</v>
      </c>
      <c r="H85" s="124">
        <v>1.4060833333333334</v>
      </c>
      <c r="I85" s="120" t="s">
        <v>415</v>
      </c>
      <c r="J85" s="122">
        <v>33.746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13">
        <v>85.0</v>
      </c>
      <c r="B86" s="114" t="s">
        <v>141</v>
      </c>
      <c r="C86" s="114" t="s">
        <v>416</v>
      </c>
      <c r="D86" s="115">
        <v>739.0</v>
      </c>
      <c r="E86" s="115">
        <v>49.0</v>
      </c>
      <c r="F86" s="115" t="s">
        <v>54</v>
      </c>
      <c r="G86" s="115" t="s">
        <v>417</v>
      </c>
      <c r="H86" s="123">
        <v>1.4080894675925926</v>
      </c>
      <c r="I86" s="115" t="s">
        <v>418</v>
      </c>
      <c r="J86" s="117">
        <v>33.79415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18">
        <v>86.0</v>
      </c>
      <c r="B87" s="119" t="s">
        <v>142</v>
      </c>
      <c r="C87" s="119" t="s">
        <v>419</v>
      </c>
      <c r="D87" s="120">
        <v>716.0</v>
      </c>
      <c r="E87" s="120">
        <v>50.0</v>
      </c>
      <c r="F87" s="120" t="s">
        <v>54</v>
      </c>
      <c r="G87" s="120" t="s">
        <v>420</v>
      </c>
      <c r="H87" s="124">
        <v>1.408139351851852</v>
      </c>
      <c r="I87" s="120" t="s">
        <v>418</v>
      </c>
      <c r="J87" s="122">
        <v>33.79534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13">
        <v>87.0</v>
      </c>
      <c r="B88" s="114" t="s">
        <v>143</v>
      </c>
      <c r="C88" s="114" t="s">
        <v>421</v>
      </c>
      <c r="D88" s="115">
        <v>605.0</v>
      </c>
      <c r="E88" s="115">
        <v>56.0</v>
      </c>
      <c r="F88" s="115" t="s">
        <v>54</v>
      </c>
      <c r="G88" s="115" t="s">
        <v>422</v>
      </c>
      <c r="H88" s="123">
        <v>1.4087320601851852</v>
      </c>
      <c r="I88" s="115" t="s">
        <v>423</v>
      </c>
      <c r="J88" s="117">
        <v>33.80957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18">
        <v>88.0</v>
      </c>
      <c r="B89" s="119" t="s">
        <v>144</v>
      </c>
      <c r="C89" s="119" t="s">
        <v>424</v>
      </c>
      <c r="D89" s="120">
        <v>545.0</v>
      </c>
      <c r="E89" s="120">
        <v>48.0</v>
      </c>
      <c r="F89" s="120" t="s">
        <v>54</v>
      </c>
      <c r="G89" s="120" t="s">
        <v>425</v>
      </c>
      <c r="H89" s="124">
        <v>1.4108878472222224</v>
      </c>
      <c r="I89" s="120" t="s">
        <v>426</v>
      </c>
      <c r="J89" s="122">
        <v>33.86131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13">
        <v>89.0</v>
      </c>
      <c r="B90" s="114" t="s">
        <v>145</v>
      </c>
      <c r="C90" s="114" t="s">
        <v>427</v>
      </c>
      <c r="D90" s="115">
        <v>705.0</v>
      </c>
      <c r="E90" s="115">
        <v>36.0</v>
      </c>
      <c r="F90" s="115" t="s">
        <v>54</v>
      </c>
      <c r="G90" s="115" t="s">
        <v>428</v>
      </c>
      <c r="H90" s="123">
        <v>1.413393287037037</v>
      </c>
      <c r="I90" s="115" t="s">
        <v>429</v>
      </c>
      <c r="J90" s="117">
        <v>33.92144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18">
        <v>90.0</v>
      </c>
      <c r="B91" s="119" t="s">
        <v>146</v>
      </c>
      <c r="C91" s="119" t="s">
        <v>385</v>
      </c>
      <c r="D91" s="120">
        <v>670.0</v>
      </c>
      <c r="E91" s="120">
        <v>41.0</v>
      </c>
      <c r="F91" s="120" t="s">
        <v>54</v>
      </c>
      <c r="G91" s="120" t="s">
        <v>430</v>
      </c>
      <c r="H91" s="124">
        <v>1.4139766203703703</v>
      </c>
      <c r="I91" s="120" t="s">
        <v>431</v>
      </c>
      <c r="J91" s="122">
        <v>33.93544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13">
        <v>91.0</v>
      </c>
      <c r="B92" s="114" t="s">
        <v>147</v>
      </c>
      <c r="C92" s="114" t="s">
        <v>432</v>
      </c>
      <c r="D92" s="115">
        <v>553.0</v>
      </c>
      <c r="E92" s="115">
        <v>41.0</v>
      </c>
      <c r="F92" s="115" t="s">
        <v>54</v>
      </c>
      <c r="G92" s="115" t="s">
        <v>433</v>
      </c>
      <c r="H92" s="123">
        <v>1.4139953703703703</v>
      </c>
      <c r="I92" s="115" t="s">
        <v>431</v>
      </c>
      <c r="J92" s="117">
        <v>33.93589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18">
        <v>92.0</v>
      </c>
      <c r="B93" s="119" t="s">
        <v>148</v>
      </c>
      <c r="C93" s="119" t="s">
        <v>424</v>
      </c>
      <c r="D93" s="120">
        <v>534.0</v>
      </c>
      <c r="E93" s="120">
        <v>48.0</v>
      </c>
      <c r="F93" s="120" t="s">
        <v>54</v>
      </c>
      <c r="G93" s="120" t="s">
        <v>434</v>
      </c>
      <c r="H93" s="124">
        <v>1.416175462962963</v>
      </c>
      <c r="I93" s="120" t="s">
        <v>435</v>
      </c>
      <c r="J93" s="122">
        <v>33.98821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13">
        <v>93.0</v>
      </c>
      <c r="B94" s="114" t="s">
        <v>149</v>
      </c>
      <c r="C94" s="114" t="s">
        <v>436</v>
      </c>
      <c r="D94" s="115">
        <v>595.0</v>
      </c>
      <c r="E94" s="115">
        <v>49.0</v>
      </c>
      <c r="F94" s="115" t="s">
        <v>54</v>
      </c>
      <c r="G94" s="115" t="s">
        <v>437</v>
      </c>
      <c r="H94" s="123">
        <v>1.4163178240740741</v>
      </c>
      <c r="I94" s="115" t="s">
        <v>435</v>
      </c>
      <c r="J94" s="117">
        <v>33.99163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18">
        <v>94.0</v>
      </c>
      <c r="B95" s="119" t="s">
        <v>150</v>
      </c>
      <c r="C95" s="119" t="s">
        <v>438</v>
      </c>
      <c r="D95" s="120">
        <v>688.0</v>
      </c>
      <c r="E95" s="120">
        <v>52.0</v>
      </c>
      <c r="F95" s="120" t="s">
        <v>66</v>
      </c>
      <c r="G95" s="120" t="s">
        <v>295</v>
      </c>
      <c r="H95" s="124">
        <v>1.4190347222222224</v>
      </c>
      <c r="I95" s="120" t="s">
        <v>439</v>
      </c>
      <c r="J95" s="122">
        <v>34.05683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13">
        <v>95.0</v>
      </c>
      <c r="B96" s="114" t="s">
        <v>151</v>
      </c>
      <c r="C96" s="114" t="s">
        <v>440</v>
      </c>
      <c r="D96" s="115">
        <v>625.0</v>
      </c>
      <c r="E96" s="115">
        <v>31.0</v>
      </c>
      <c r="F96" s="115" t="s">
        <v>66</v>
      </c>
      <c r="G96" s="115" t="s">
        <v>220</v>
      </c>
      <c r="H96" s="123">
        <v>1.420714699074074</v>
      </c>
      <c r="I96" s="115" t="s">
        <v>441</v>
      </c>
      <c r="J96" s="117">
        <v>34.09715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18">
        <v>96.0</v>
      </c>
      <c r="B97" s="119" t="s">
        <v>152</v>
      </c>
      <c r="C97" s="119" t="s">
        <v>442</v>
      </c>
      <c r="D97" s="120">
        <v>706.0</v>
      </c>
      <c r="E97" s="120">
        <v>52.0</v>
      </c>
      <c r="F97" s="120" t="s">
        <v>54</v>
      </c>
      <c r="G97" s="120" t="s">
        <v>443</v>
      </c>
      <c r="H97" s="124">
        <v>1.4216494212962962</v>
      </c>
      <c r="I97" s="120" t="s">
        <v>441</v>
      </c>
      <c r="J97" s="122">
        <v>34.11959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13">
        <v>97.0</v>
      </c>
      <c r="B98" s="114" t="s">
        <v>153</v>
      </c>
      <c r="C98" s="114" t="s">
        <v>444</v>
      </c>
      <c r="D98" s="115">
        <v>695.0</v>
      </c>
      <c r="E98" s="115">
        <v>51.0</v>
      </c>
      <c r="F98" s="115" t="s">
        <v>54</v>
      </c>
      <c r="G98" s="115" t="s">
        <v>445</v>
      </c>
      <c r="H98" s="123">
        <v>1.426162037037037</v>
      </c>
      <c r="I98" s="115" t="s">
        <v>446</v>
      </c>
      <c r="J98" s="117">
        <v>34.22789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18">
        <v>98.0</v>
      </c>
      <c r="B99" s="119" t="s">
        <v>154</v>
      </c>
      <c r="C99" s="119" t="s">
        <v>447</v>
      </c>
      <c r="D99" s="120">
        <v>528.0</v>
      </c>
      <c r="E99" s="120">
        <v>57.0</v>
      </c>
      <c r="F99" s="120" t="s">
        <v>54</v>
      </c>
      <c r="G99" s="120" t="s">
        <v>448</v>
      </c>
      <c r="H99" s="124">
        <v>1.4284540509259258</v>
      </c>
      <c r="I99" s="120" t="s">
        <v>449</v>
      </c>
      <c r="J99" s="122">
        <v>34.2829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13">
        <v>99.0</v>
      </c>
      <c r="B100" s="114" t="s">
        <v>155</v>
      </c>
      <c r="C100" s="114" t="s">
        <v>450</v>
      </c>
      <c r="D100" s="115">
        <v>571.0</v>
      </c>
      <c r="E100" s="115">
        <v>35.0</v>
      </c>
      <c r="F100" s="115" t="s">
        <v>54</v>
      </c>
      <c r="G100" s="115" t="s">
        <v>451</v>
      </c>
      <c r="H100" s="123">
        <v>1.4425844907407408</v>
      </c>
      <c r="I100" s="115" t="s">
        <v>452</v>
      </c>
      <c r="J100" s="117">
        <v>34.62203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18">
        <v>100.0</v>
      </c>
      <c r="B101" s="119" t="s">
        <v>156</v>
      </c>
      <c r="C101" s="119" t="s">
        <v>453</v>
      </c>
      <c r="D101" s="120">
        <v>693.0</v>
      </c>
      <c r="E101" s="120">
        <v>32.0</v>
      </c>
      <c r="F101" s="120" t="s">
        <v>66</v>
      </c>
      <c r="G101" s="120" t="s">
        <v>234</v>
      </c>
      <c r="H101" s="124">
        <v>1.4428974537037036</v>
      </c>
      <c r="I101" s="120" t="s">
        <v>452</v>
      </c>
      <c r="J101" s="122">
        <v>34.62954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13">
        <v>101.0</v>
      </c>
      <c r="B102" s="114" t="s">
        <v>157</v>
      </c>
      <c r="C102" s="114" t="s">
        <v>454</v>
      </c>
      <c r="D102" s="115">
        <v>696.0</v>
      </c>
      <c r="E102" s="115">
        <v>39.0</v>
      </c>
      <c r="F102" s="115" t="s">
        <v>54</v>
      </c>
      <c r="G102" s="115" t="s">
        <v>455</v>
      </c>
      <c r="H102" s="123">
        <v>1.4441879629629628</v>
      </c>
      <c r="I102" s="115" t="s">
        <v>456</v>
      </c>
      <c r="J102" s="117">
        <v>34.66051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18">
        <v>102.0</v>
      </c>
      <c r="B103" s="119" t="s">
        <v>158</v>
      </c>
      <c r="C103" s="119" t="s">
        <v>457</v>
      </c>
      <c r="D103" s="120">
        <v>606.0</v>
      </c>
      <c r="E103" s="120">
        <v>42.0</v>
      </c>
      <c r="F103" s="120" t="s">
        <v>54</v>
      </c>
      <c r="G103" s="120" t="s">
        <v>458</v>
      </c>
      <c r="H103" s="124">
        <v>1.4454935185185185</v>
      </c>
      <c r="I103" s="120" t="s">
        <v>459</v>
      </c>
      <c r="J103" s="122">
        <v>34.69184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13">
        <v>103.0</v>
      </c>
      <c r="B104" s="114" t="s">
        <v>159</v>
      </c>
      <c r="C104" s="114" t="s">
        <v>460</v>
      </c>
      <c r="D104" s="115">
        <v>580.0</v>
      </c>
      <c r="E104" s="115">
        <v>31.0</v>
      </c>
      <c r="F104" s="115" t="s">
        <v>54</v>
      </c>
      <c r="G104" s="115" t="s">
        <v>461</v>
      </c>
      <c r="H104" s="123">
        <v>1.4454950231481483</v>
      </c>
      <c r="I104" s="115" t="s">
        <v>459</v>
      </c>
      <c r="J104" s="117">
        <v>34.69188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18">
        <v>104.0</v>
      </c>
      <c r="B105" s="119" t="s">
        <v>160</v>
      </c>
      <c r="C105" s="119" t="s">
        <v>462</v>
      </c>
      <c r="D105" s="120">
        <v>582.0</v>
      </c>
      <c r="E105" s="120">
        <v>57.0</v>
      </c>
      <c r="F105" s="120" t="s">
        <v>54</v>
      </c>
      <c r="G105" s="120" t="s">
        <v>463</v>
      </c>
      <c r="H105" s="124">
        <v>1.4454958333333332</v>
      </c>
      <c r="I105" s="120" t="s">
        <v>459</v>
      </c>
      <c r="J105" s="122">
        <v>34.6919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13">
        <v>105.0</v>
      </c>
      <c r="B106" s="114" t="s">
        <v>161</v>
      </c>
      <c r="C106" s="114" t="s">
        <v>464</v>
      </c>
      <c r="D106" s="115">
        <v>525.0</v>
      </c>
      <c r="E106" s="115">
        <v>42.0</v>
      </c>
      <c r="F106" s="115" t="s">
        <v>66</v>
      </c>
      <c r="G106" s="115" t="s">
        <v>260</v>
      </c>
      <c r="H106" s="123">
        <v>1.4455030092592593</v>
      </c>
      <c r="I106" s="115" t="s">
        <v>459</v>
      </c>
      <c r="J106" s="117">
        <v>34.69207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18">
        <v>106.0</v>
      </c>
      <c r="B107" s="119" t="s">
        <v>162</v>
      </c>
      <c r="C107" s="119" t="s">
        <v>465</v>
      </c>
      <c r="D107" s="120">
        <v>598.0</v>
      </c>
      <c r="E107" s="120">
        <v>38.0</v>
      </c>
      <c r="F107" s="120" t="s">
        <v>54</v>
      </c>
      <c r="G107" s="120" t="s">
        <v>466</v>
      </c>
      <c r="H107" s="124">
        <v>1.4466868055555555</v>
      </c>
      <c r="I107" s="120" t="s">
        <v>467</v>
      </c>
      <c r="J107" s="122">
        <v>34.72048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13">
        <v>107.0</v>
      </c>
      <c r="B108" s="114" t="s">
        <v>163</v>
      </c>
      <c r="C108" s="114" t="s">
        <v>468</v>
      </c>
      <c r="D108" s="115">
        <v>500.0</v>
      </c>
      <c r="E108" s="115">
        <v>40.0</v>
      </c>
      <c r="F108" s="115" t="s">
        <v>54</v>
      </c>
      <c r="G108" s="115" t="s">
        <v>469</v>
      </c>
      <c r="H108" s="123">
        <v>1.4508979166666667</v>
      </c>
      <c r="I108" s="115" t="s">
        <v>470</v>
      </c>
      <c r="J108" s="117">
        <v>34.82155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18">
        <v>108.0</v>
      </c>
      <c r="B109" s="119" t="s">
        <v>164</v>
      </c>
      <c r="C109" s="119" t="s">
        <v>471</v>
      </c>
      <c r="D109" s="120">
        <v>732.0</v>
      </c>
      <c r="E109" s="120">
        <v>38.0</v>
      </c>
      <c r="F109" s="120" t="s">
        <v>54</v>
      </c>
      <c r="G109" s="120" t="s">
        <v>472</v>
      </c>
      <c r="H109" s="124">
        <v>1.452544097222222</v>
      </c>
      <c r="I109" s="120" t="s">
        <v>473</v>
      </c>
      <c r="J109" s="122">
        <v>34.86106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13">
        <v>109.0</v>
      </c>
      <c r="B110" s="114" t="s">
        <v>165</v>
      </c>
      <c r="C110" s="114" t="s">
        <v>474</v>
      </c>
      <c r="D110" s="115">
        <v>559.0</v>
      </c>
      <c r="E110" s="115">
        <v>38.0</v>
      </c>
      <c r="F110" s="115" t="s">
        <v>54</v>
      </c>
      <c r="G110" s="115" t="s">
        <v>475</v>
      </c>
      <c r="H110" s="123">
        <v>1.4583865740740742</v>
      </c>
      <c r="I110" s="115" t="s">
        <v>476</v>
      </c>
      <c r="J110" s="117">
        <v>35.00128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18">
        <v>110.0</v>
      </c>
      <c r="B111" s="119" t="s">
        <v>166</v>
      </c>
      <c r="C111" s="119" t="s">
        <v>477</v>
      </c>
      <c r="D111" s="120">
        <v>632.0</v>
      </c>
      <c r="E111" s="120">
        <v>29.0</v>
      </c>
      <c r="F111" s="120" t="s">
        <v>54</v>
      </c>
      <c r="G111" s="120" t="s">
        <v>478</v>
      </c>
      <c r="H111" s="124">
        <v>1.4591245370370372</v>
      </c>
      <c r="I111" s="120" t="s">
        <v>479</v>
      </c>
      <c r="J111" s="122">
        <v>35.01899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13">
        <v>111.0</v>
      </c>
      <c r="B112" s="114" t="s">
        <v>167</v>
      </c>
      <c r="C112" s="114" t="s">
        <v>480</v>
      </c>
      <c r="D112" s="115">
        <v>516.0</v>
      </c>
      <c r="E112" s="115">
        <v>36.0</v>
      </c>
      <c r="F112" s="115" t="s">
        <v>54</v>
      </c>
      <c r="G112" s="115" t="s">
        <v>481</v>
      </c>
      <c r="H112" s="123">
        <v>1.4593266203703705</v>
      </c>
      <c r="I112" s="115" t="s">
        <v>479</v>
      </c>
      <c r="J112" s="117">
        <v>35.02384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18">
        <v>112.0</v>
      </c>
      <c r="B113" s="119" t="s">
        <v>168</v>
      </c>
      <c r="C113" s="119" t="s">
        <v>482</v>
      </c>
      <c r="D113" s="120">
        <v>649.0</v>
      </c>
      <c r="E113" s="120">
        <v>49.0</v>
      </c>
      <c r="F113" s="120" t="s">
        <v>54</v>
      </c>
      <c r="G113" s="120" t="s">
        <v>483</v>
      </c>
      <c r="H113" s="124">
        <v>1.4681569444444444</v>
      </c>
      <c r="I113" s="120" t="s">
        <v>484</v>
      </c>
      <c r="J113" s="122">
        <v>35.23577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13">
        <v>113.0</v>
      </c>
      <c r="B114" s="114" t="s">
        <v>169</v>
      </c>
      <c r="C114" s="114" t="s">
        <v>385</v>
      </c>
      <c r="D114" s="115">
        <v>648.0</v>
      </c>
      <c r="E114" s="115">
        <v>28.0</v>
      </c>
      <c r="F114" s="115" t="s">
        <v>54</v>
      </c>
      <c r="G114" s="115" t="s">
        <v>485</v>
      </c>
      <c r="H114" s="123">
        <v>1.4702873842592592</v>
      </c>
      <c r="I114" s="115" t="s">
        <v>486</v>
      </c>
      <c r="J114" s="117">
        <v>35.2869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18">
        <v>114.0</v>
      </c>
      <c r="B115" s="119" t="s">
        <v>170</v>
      </c>
      <c r="C115" s="119" t="s">
        <v>487</v>
      </c>
      <c r="D115" s="120">
        <v>657.0</v>
      </c>
      <c r="E115" s="120">
        <v>46.0</v>
      </c>
      <c r="F115" s="120" t="s">
        <v>54</v>
      </c>
      <c r="G115" s="120" t="s">
        <v>488</v>
      </c>
      <c r="H115" s="124">
        <v>1.474975462962963</v>
      </c>
      <c r="I115" s="120" t="s">
        <v>489</v>
      </c>
      <c r="J115" s="122">
        <v>35.39941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13">
        <v>115.0</v>
      </c>
      <c r="B116" s="114" t="s">
        <v>171</v>
      </c>
      <c r="C116" s="114" t="s">
        <v>490</v>
      </c>
      <c r="D116" s="115">
        <v>669.0</v>
      </c>
      <c r="E116" s="115">
        <v>38.0</v>
      </c>
      <c r="F116" s="115" t="s">
        <v>54</v>
      </c>
      <c r="G116" s="115" t="s">
        <v>491</v>
      </c>
      <c r="H116" s="123">
        <v>1.475044675925926</v>
      </c>
      <c r="I116" s="115" t="s">
        <v>489</v>
      </c>
      <c r="J116" s="117">
        <v>35.40107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18">
        <v>116.0</v>
      </c>
      <c r="B117" s="119" t="s">
        <v>172</v>
      </c>
      <c r="C117" s="119" t="s">
        <v>492</v>
      </c>
      <c r="D117" s="120">
        <v>554.0</v>
      </c>
      <c r="E117" s="120">
        <v>52.0</v>
      </c>
      <c r="F117" s="120" t="s">
        <v>54</v>
      </c>
      <c r="G117" s="120" t="s">
        <v>493</v>
      </c>
      <c r="H117" s="124">
        <v>1.477177199074074</v>
      </c>
      <c r="I117" s="120" t="s">
        <v>494</v>
      </c>
      <c r="J117" s="122">
        <v>35.45225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13">
        <v>117.0</v>
      </c>
      <c r="B118" s="114" t="s">
        <v>173</v>
      </c>
      <c r="C118" s="114" t="s">
        <v>495</v>
      </c>
      <c r="D118" s="115">
        <v>681.0</v>
      </c>
      <c r="E118" s="115">
        <v>45.0</v>
      </c>
      <c r="F118" s="115" t="s">
        <v>54</v>
      </c>
      <c r="G118" s="115" t="s">
        <v>496</v>
      </c>
      <c r="H118" s="123">
        <v>1.4792010416666668</v>
      </c>
      <c r="I118" s="115" t="s">
        <v>497</v>
      </c>
      <c r="J118" s="117">
        <v>35.50083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18">
        <v>118.0</v>
      </c>
      <c r="B119" s="119" t="s">
        <v>174</v>
      </c>
      <c r="C119" s="119" t="s">
        <v>498</v>
      </c>
      <c r="D119" s="120">
        <v>612.0</v>
      </c>
      <c r="E119" s="120">
        <v>32.0</v>
      </c>
      <c r="F119" s="120" t="s">
        <v>66</v>
      </c>
      <c r="G119" s="120" t="s">
        <v>236</v>
      </c>
      <c r="H119" s="124">
        <v>1.480291087962963</v>
      </c>
      <c r="I119" s="120" t="s">
        <v>499</v>
      </c>
      <c r="J119" s="122">
        <v>35.52699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13">
        <v>119.0</v>
      </c>
      <c r="B120" s="114" t="s">
        <v>175</v>
      </c>
      <c r="C120" s="114" t="s">
        <v>500</v>
      </c>
      <c r="D120" s="115">
        <v>676.0</v>
      </c>
      <c r="E120" s="115">
        <v>40.0</v>
      </c>
      <c r="F120" s="115" t="s">
        <v>54</v>
      </c>
      <c r="G120" s="115" t="s">
        <v>501</v>
      </c>
      <c r="H120" s="123">
        <v>1.481533564814815</v>
      </c>
      <c r="I120" s="115" t="s">
        <v>502</v>
      </c>
      <c r="J120" s="117">
        <v>35.55681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18">
        <v>120.0</v>
      </c>
      <c r="B121" s="119" t="s">
        <v>176</v>
      </c>
      <c r="C121" s="119" t="s">
        <v>503</v>
      </c>
      <c r="D121" s="120">
        <v>501.0</v>
      </c>
      <c r="E121" s="120">
        <v>46.0</v>
      </c>
      <c r="F121" s="120" t="s">
        <v>66</v>
      </c>
      <c r="G121" s="120" t="s">
        <v>268</v>
      </c>
      <c r="H121" s="124">
        <v>1.4836866898148149</v>
      </c>
      <c r="I121" s="120" t="s">
        <v>504</v>
      </c>
      <c r="J121" s="122">
        <v>35.60848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13">
        <v>121.0</v>
      </c>
      <c r="B122" s="114" t="s">
        <v>177</v>
      </c>
      <c r="C122" s="114" t="s">
        <v>505</v>
      </c>
      <c r="D122" s="115">
        <v>592.0</v>
      </c>
      <c r="E122" s="115">
        <v>32.0</v>
      </c>
      <c r="F122" s="115" t="s">
        <v>54</v>
      </c>
      <c r="G122" s="115" t="s">
        <v>506</v>
      </c>
      <c r="H122" s="123">
        <v>1.4837084490740742</v>
      </c>
      <c r="I122" s="115" t="s">
        <v>504</v>
      </c>
      <c r="J122" s="117">
        <v>35.609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08"/>
      <c r="C123" s="10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08"/>
      <c r="C124" s="10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08"/>
      <c r="C125" s="10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08"/>
      <c r="C126" s="10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08"/>
      <c r="C127" s="10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08"/>
      <c r="C128" s="108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08"/>
      <c r="C129" s="108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08"/>
      <c r="C130" s="108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08"/>
      <c r="C131" s="108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08"/>
      <c r="C132" s="108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08"/>
      <c r="C133" s="108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08"/>
      <c r="C134" s="108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08"/>
      <c r="C135" s="108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08"/>
      <c r="C136" s="108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08"/>
      <c r="C137" s="108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08"/>
      <c r="C138" s="10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08"/>
      <c r="C139" s="108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08"/>
      <c r="C140" s="108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08"/>
      <c r="C141" s="108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08"/>
      <c r="C142" s="108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08"/>
      <c r="C143" s="108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08"/>
      <c r="C144" s="108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08"/>
      <c r="C145" s="108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08"/>
      <c r="C146" s="108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08"/>
      <c r="C147" s="108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08"/>
      <c r="C148" s="108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08"/>
      <c r="C149" s="108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08"/>
      <c r="C150" s="108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08"/>
      <c r="C151" s="108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08"/>
      <c r="C152" s="108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08"/>
      <c r="C153" s="108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08"/>
      <c r="C154" s="108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08"/>
      <c r="C155" s="108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08"/>
      <c r="C156" s="108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08"/>
      <c r="C157" s="108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08"/>
      <c r="C158" s="108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08"/>
      <c r="C159" s="108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08"/>
      <c r="C160" s="108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08"/>
      <c r="C161" s="108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08"/>
      <c r="C162" s="108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08"/>
      <c r="C163" s="10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08"/>
      <c r="C164" s="108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08"/>
      <c r="C165" s="108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08"/>
      <c r="C166" s="108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08"/>
      <c r="C167" s="10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08"/>
      <c r="C168" s="108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08"/>
      <c r="C169" s="108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08"/>
      <c r="C170" s="108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08"/>
      <c r="C171" s="108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08"/>
      <c r="C172" s="108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08"/>
      <c r="C173" s="108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08"/>
      <c r="C174" s="108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08"/>
      <c r="C175" s="108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08"/>
      <c r="C176" s="108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08"/>
      <c r="C177" s="108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08"/>
      <c r="C178" s="108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08"/>
      <c r="C179" s="108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08"/>
      <c r="C180" s="108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08"/>
      <c r="C181" s="108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08"/>
      <c r="C182" s="108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08"/>
      <c r="C183" s="108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08"/>
      <c r="C184" s="108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08"/>
      <c r="C185" s="108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08"/>
      <c r="C186" s="108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08"/>
      <c r="C187" s="108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08"/>
      <c r="C188" s="108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08"/>
      <c r="C189" s="108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08"/>
      <c r="C190" s="10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08"/>
      <c r="C191" s="108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08"/>
      <c r="C192" s="108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08"/>
      <c r="C193" s="108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08"/>
      <c r="C194" s="108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08"/>
      <c r="C195" s="108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08"/>
      <c r="C196" s="108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08"/>
      <c r="C197" s="108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08"/>
      <c r="C198" s="108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08"/>
      <c r="C199" s="108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08"/>
      <c r="C200" s="108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08"/>
      <c r="C201" s="108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08"/>
      <c r="C202" s="108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08"/>
      <c r="C203" s="108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08"/>
      <c r="C204" s="108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08"/>
      <c r="C205" s="108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08"/>
      <c r="C206" s="108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08"/>
      <c r="C207" s="108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08"/>
      <c r="C208" s="108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08"/>
      <c r="C209" s="108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08"/>
      <c r="C210" s="108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08"/>
      <c r="C211" s="108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08"/>
      <c r="C212" s="108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08"/>
      <c r="C213" s="108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08"/>
      <c r="C214" s="108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08"/>
      <c r="C215" s="108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08"/>
      <c r="C216" s="108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08"/>
      <c r="C217" s="108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08"/>
      <c r="C218" s="108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08"/>
      <c r="C219" s="108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08"/>
      <c r="C220" s="108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08"/>
      <c r="C221" s="108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08"/>
      <c r="C222" s="108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08"/>
      <c r="C223" s="108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08"/>
      <c r="C224" s="108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08"/>
      <c r="C225" s="108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08"/>
      <c r="C226" s="108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08"/>
      <c r="C227" s="108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08"/>
      <c r="C228" s="108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08"/>
      <c r="C229" s="108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08"/>
      <c r="C230" s="108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08"/>
      <c r="C231" s="108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08"/>
      <c r="C232" s="108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08"/>
      <c r="C233" s="108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08"/>
      <c r="C234" s="108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08"/>
      <c r="C235" s="108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08"/>
      <c r="C236" s="108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08"/>
      <c r="C237" s="108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08"/>
      <c r="C238" s="108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08"/>
      <c r="C239" s="108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08"/>
      <c r="C240" s="108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08"/>
      <c r="C241" s="108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08"/>
      <c r="C242" s="108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08"/>
      <c r="C243" s="108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08"/>
      <c r="C244" s="108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08"/>
      <c r="C245" s="108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08"/>
      <c r="C246" s="108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08"/>
      <c r="C247" s="108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08"/>
      <c r="C248" s="108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08"/>
      <c r="C249" s="108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08"/>
      <c r="C250" s="108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08"/>
      <c r="C251" s="108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08"/>
      <c r="C252" s="108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08"/>
      <c r="C253" s="108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08"/>
      <c r="C254" s="108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08"/>
      <c r="C255" s="108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08"/>
      <c r="C256" s="108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08"/>
      <c r="C257" s="108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08"/>
      <c r="C258" s="108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08"/>
      <c r="C259" s="108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08"/>
      <c r="C260" s="108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08"/>
      <c r="C261" s="108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08"/>
      <c r="C262" s="108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08"/>
      <c r="C263" s="108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08"/>
      <c r="C264" s="108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08"/>
      <c r="C265" s="108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08"/>
      <c r="C266" s="108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08"/>
      <c r="C267" s="108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08"/>
      <c r="C268" s="108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08"/>
      <c r="C269" s="108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08"/>
      <c r="C270" s="108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08"/>
      <c r="C271" s="108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08"/>
      <c r="C272" s="108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08"/>
      <c r="C273" s="108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08"/>
      <c r="C274" s="108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08"/>
      <c r="C275" s="108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08"/>
      <c r="C276" s="108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08"/>
      <c r="C277" s="108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08"/>
      <c r="C278" s="108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08"/>
      <c r="C279" s="108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08"/>
      <c r="C280" s="108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08"/>
      <c r="C281" s="108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08"/>
      <c r="C282" s="108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08"/>
      <c r="C283" s="108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08"/>
      <c r="C284" s="108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08"/>
      <c r="C285" s="10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08"/>
      <c r="C286" s="108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08"/>
      <c r="C287" s="10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08"/>
      <c r="C288" s="108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08"/>
      <c r="C289" s="108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08"/>
      <c r="C290" s="108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08"/>
      <c r="C291" s="108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08"/>
      <c r="C292" s="108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08"/>
      <c r="C293" s="10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08"/>
      <c r="C294" s="108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08"/>
      <c r="C295" s="108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08"/>
      <c r="C296" s="108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08"/>
      <c r="C297" s="108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08"/>
      <c r="C298" s="10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08"/>
      <c r="C299" s="108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08"/>
      <c r="C300" s="108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08"/>
      <c r="C301" s="108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08"/>
      <c r="C302" s="108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08"/>
      <c r="C303" s="108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08"/>
      <c r="C304" s="108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08"/>
      <c r="C305" s="108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08"/>
      <c r="C306" s="108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08"/>
      <c r="C307" s="108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08"/>
      <c r="C308" s="108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08"/>
      <c r="C309" s="108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08"/>
      <c r="C310" s="108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08"/>
      <c r="C311" s="108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08"/>
      <c r="C312" s="108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08"/>
      <c r="C313" s="108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08"/>
      <c r="C314" s="108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08"/>
      <c r="C315" s="108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08"/>
      <c r="C316" s="108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08"/>
      <c r="C317" s="108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08"/>
      <c r="C318" s="108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08"/>
      <c r="C319" s="108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08"/>
      <c r="C320" s="108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08"/>
      <c r="C321" s="108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08"/>
      <c r="C322" s="108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7" t="s">
        <v>507</v>
      </c>
      <c r="B1" s="125"/>
      <c r="C1" s="47" t="s">
        <v>508</v>
      </c>
      <c r="D1" s="125"/>
      <c r="E1" s="47" t="s">
        <v>509</v>
      </c>
      <c r="F1" s="126"/>
      <c r="G1" s="47" t="s">
        <v>510</v>
      </c>
      <c r="H1" s="126"/>
      <c r="I1" s="47" t="s">
        <v>511</v>
      </c>
      <c r="J1" s="126"/>
      <c r="K1" s="47" t="s">
        <v>512</v>
      </c>
      <c r="L1" s="126"/>
      <c r="M1" s="47" t="s">
        <v>513</v>
      </c>
      <c r="N1" s="126"/>
      <c r="O1" s="47" t="s">
        <v>514</v>
      </c>
      <c r="P1" s="126"/>
      <c r="Q1" s="47" t="s">
        <v>515</v>
      </c>
      <c r="R1" s="126"/>
      <c r="S1" s="47" t="s">
        <v>516</v>
      </c>
      <c r="T1" s="126"/>
      <c r="U1" s="47" t="s">
        <v>517</v>
      </c>
      <c r="V1" s="126"/>
      <c r="W1" s="47" t="s">
        <v>518</v>
      </c>
      <c r="X1" s="126"/>
      <c r="Y1" s="47" t="s">
        <v>519</v>
      </c>
      <c r="Z1" s="126"/>
      <c r="AA1" s="47" t="s">
        <v>520</v>
      </c>
      <c r="AB1" s="126"/>
      <c r="AC1" s="47" t="s">
        <v>521</v>
      </c>
      <c r="AD1" s="126"/>
      <c r="AE1" s="47" t="s">
        <v>522</v>
      </c>
      <c r="AF1" s="126"/>
      <c r="AG1" s="126"/>
      <c r="AH1" s="126"/>
      <c r="AI1" s="126"/>
      <c r="AJ1" s="126"/>
      <c r="AK1" s="126"/>
      <c r="AL1" s="126"/>
      <c r="AM1" s="126"/>
    </row>
    <row r="2" ht="15.75" customHeight="1">
      <c r="A2" s="47">
        <v>500.0</v>
      </c>
      <c r="B2" s="127">
        <v>44786.28828703704</v>
      </c>
      <c r="C2" s="47">
        <v>500.0</v>
      </c>
      <c r="D2" s="127">
        <v>44786.3702662037</v>
      </c>
      <c r="E2" s="47">
        <v>500.0</v>
      </c>
      <c r="F2" s="127">
        <v>44786.43677083333</v>
      </c>
      <c r="G2" s="47">
        <v>537.0</v>
      </c>
      <c r="H2" s="47">
        <v>0.0</v>
      </c>
      <c r="I2" s="47">
        <v>500.0</v>
      </c>
      <c r="J2" s="127">
        <v>44786.60951388889</v>
      </c>
      <c r="K2" s="47">
        <v>500.0</v>
      </c>
      <c r="L2" s="127">
        <v>44786.68850694445</v>
      </c>
      <c r="M2" s="47">
        <v>500.0</v>
      </c>
      <c r="N2" s="127">
        <v>44786.76314814815</v>
      </c>
      <c r="O2" s="47">
        <v>500.0</v>
      </c>
      <c r="P2" s="127">
        <v>44786.8812962963</v>
      </c>
      <c r="Q2" s="47">
        <v>500.0</v>
      </c>
      <c r="R2" s="127">
        <v>44786.95989583333</v>
      </c>
      <c r="S2" s="47">
        <v>500.0</v>
      </c>
      <c r="T2" s="127">
        <v>44787.094247685185</v>
      </c>
      <c r="U2" s="47">
        <v>500.0</v>
      </c>
      <c r="V2" s="127">
        <v>44787.20269675926</v>
      </c>
      <c r="W2" s="47">
        <v>500.0</v>
      </c>
      <c r="X2" s="127">
        <v>44787.29599537037</v>
      </c>
      <c r="Y2" s="47">
        <v>500.0</v>
      </c>
      <c r="Z2" s="127">
        <v>44787.34826388889</v>
      </c>
      <c r="AA2" s="47">
        <v>500.0</v>
      </c>
      <c r="AB2" s="127">
        <v>44787.421319444446</v>
      </c>
      <c r="AC2" s="47">
        <v>500.0</v>
      </c>
      <c r="AD2" s="127">
        <v>44787.52381944445</v>
      </c>
      <c r="AE2" s="47">
        <v>500.0</v>
      </c>
      <c r="AF2" s="127">
        <v>44787.61230324074</v>
      </c>
      <c r="AG2" s="126"/>
      <c r="AH2" s="126"/>
      <c r="AI2" s="126"/>
      <c r="AJ2" s="126"/>
      <c r="AK2" s="126"/>
      <c r="AL2" s="126"/>
      <c r="AM2" s="126"/>
    </row>
    <row r="3" ht="15.75" customHeight="1">
      <c r="A3" s="47">
        <v>501.0</v>
      </c>
      <c r="B3" s="127">
        <v>44786.27930555555</v>
      </c>
      <c r="C3" s="47">
        <v>501.0</v>
      </c>
      <c r="D3" s="127">
        <v>44786.3702662037</v>
      </c>
      <c r="E3" s="47">
        <v>501.0</v>
      </c>
      <c r="F3" s="127">
        <v>44786.43677083333</v>
      </c>
      <c r="G3" s="47">
        <v>513.0</v>
      </c>
      <c r="H3" s="127">
        <v>44786.420069444444</v>
      </c>
      <c r="I3" s="47">
        <v>501.0</v>
      </c>
      <c r="J3" s="127">
        <v>44786.62391203704</v>
      </c>
      <c r="K3" s="47">
        <v>501.0</v>
      </c>
      <c r="L3" s="127">
        <v>44786.70042824074</v>
      </c>
      <c r="M3" s="47">
        <v>501.0</v>
      </c>
      <c r="N3" s="127">
        <v>44786.7671875</v>
      </c>
      <c r="O3" s="47">
        <v>501.0</v>
      </c>
      <c r="P3" s="127">
        <v>44786.897824074076</v>
      </c>
      <c r="Q3" s="47">
        <v>501.0</v>
      </c>
      <c r="R3" s="127">
        <v>44786.97476851852</v>
      </c>
      <c r="S3" s="47">
        <v>501.0</v>
      </c>
      <c r="T3" s="127">
        <v>44787.10931712963</v>
      </c>
      <c r="U3" s="47">
        <v>501.0</v>
      </c>
      <c r="V3" s="127">
        <v>44787.20247685185</v>
      </c>
      <c r="W3" s="47">
        <v>501.0</v>
      </c>
      <c r="X3" s="127">
        <v>44787.29945601852</v>
      </c>
      <c r="Y3" s="47">
        <v>501.0</v>
      </c>
      <c r="Z3" s="127">
        <v>44787.36238425926</v>
      </c>
      <c r="AA3" s="47">
        <v>501.0</v>
      </c>
      <c r="AB3" s="127">
        <v>44787.438113425924</v>
      </c>
      <c r="AC3" s="47">
        <v>501.0</v>
      </c>
      <c r="AD3" s="127">
        <v>44787.55037037037</v>
      </c>
      <c r="AE3" s="47">
        <v>501.0</v>
      </c>
      <c r="AF3" s="127">
        <v>44787.63322916667</v>
      </c>
      <c r="AG3" s="126"/>
      <c r="AH3" s="126"/>
      <c r="AI3" s="126"/>
      <c r="AJ3" s="126"/>
      <c r="AK3" s="126"/>
      <c r="AL3" s="126"/>
      <c r="AM3" s="126"/>
    </row>
    <row r="4" ht="15.75" customHeight="1">
      <c r="A4" s="47">
        <v>502.0</v>
      </c>
      <c r="B4" s="127">
        <v>44786.2709375</v>
      </c>
      <c r="C4" s="47">
        <v>502.0</v>
      </c>
      <c r="D4" s="127">
        <v>44786.347766203704</v>
      </c>
      <c r="E4" s="47">
        <v>502.0</v>
      </c>
      <c r="F4" s="127">
        <v>44786.43677083333</v>
      </c>
      <c r="G4" s="47">
        <v>563.0</v>
      </c>
      <c r="H4" s="127">
        <v>44786.420069444444</v>
      </c>
      <c r="I4" s="47">
        <v>502.0</v>
      </c>
      <c r="J4" s="127">
        <v>44786.633356481485</v>
      </c>
      <c r="K4" s="47">
        <v>502.0</v>
      </c>
      <c r="L4" s="127">
        <v>44786.71288194445</v>
      </c>
      <c r="M4" s="47">
        <v>502.0</v>
      </c>
      <c r="N4" s="127">
        <v>44786.794641203705</v>
      </c>
      <c r="O4" s="47">
        <v>502.0</v>
      </c>
      <c r="P4" s="127">
        <v>44786.92899305555</v>
      </c>
      <c r="Q4" s="47">
        <v>502.0</v>
      </c>
      <c r="R4" s="127">
        <v>44787.007152777776</v>
      </c>
      <c r="S4" s="47">
        <v>504.0</v>
      </c>
      <c r="T4" s="127">
        <v>44787.05422453704</v>
      </c>
      <c r="U4" s="47">
        <v>504.0</v>
      </c>
      <c r="V4" s="127">
        <v>44787.185069444444</v>
      </c>
      <c r="W4" s="47">
        <v>504.0</v>
      </c>
      <c r="X4" s="127">
        <v>44787.29943287037</v>
      </c>
      <c r="Y4" s="47">
        <v>507.0</v>
      </c>
      <c r="Z4" s="127">
        <v>44787.13668981481</v>
      </c>
      <c r="AA4" s="47">
        <v>507.0</v>
      </c>
      <c r="AB4" s="127">
        <v>44787.22263888889</v>
      </c>
      <c r="AC4" s="47">
        <v>507.0</v>
      </c>
      <c r="AD4" s="127">
        <v>44787.32849537037</v>
      </c>
      <c r="AE4" s="47">
        <v>507.0</v>
      </c>
      <c r="AF4" s="127">
        <v>44787.397731481484</v>
      </c>
      <c r="AG4" s="126"/>
      <c r="AH4" s="126"/>
      <c r="AI4" s="126"/>
      <c r="AJ4" s="126"/>
      <c r="AK4" s="126"/>
      <c r="AL4" s="126"/>
      <c r="AM4" s="126"/>
    </row>
    <row r="5" ht="15.75" customHeight="1">
      <c r="A5" s="47">
        <v>504.0</v>
      </c>
      <c r="B5" s="127">
        <v>44786.26143518519</v>
      </c>
      <c r="C5" s="47">
        <v>504.0</v>
      </c>
      <c r="D5" s="127">
        <v>44786.30719907407</v>
      </c>
      <c r="E5" s="47">
        <v>504.0</v>
      </c>
      <c r="F5" s="127">
        <v>44786.387395833335</v>
      </c>
      <c r="G5" s="47">
        <v>596.0</v>
      </c>
      <c r="H5" s="127">
        <v>44786.420069444444</v>
      </c>
      <c r="I5" s="47">
        <v>504.0</v>
      </c>
      <c r="J5" s="127">
        <v>44786.54601851852</v>
      </c>
      <c r="K5" s="47">
        <v>504.0</v>
      </c>
      <c r="L5" s="127">
        <v>44786.62391203704</v>
      </c>
      <c r="M5" s="47">
        <v>504.0</v>
      </c>
      <c r="N5" s="127">
        <v>44786.68310185185</v>
      </c>
      <c r="O5" s="47">
        <v>504.0</v>
      </c>
      <c r="P5" s="127">
        <v>44786.81222222222</v>
      </c>
      <c r="Q5" s="47">
        <v>504.0</v>
      </c>
      <c r="R5" s="127">
        <v>44786.88350694445</v>
      </c>
      <c r="S5" s="47">
        <v>507.0</v>
      </c>
      <c r="T5" s="127">
        <v>44786.891550925924</v>
      </c>
      <c r="U5" s="47">
        <v>507.0</v>
      </c>
      <c r="V5" s="127">
        <v>44787.05422453704</v>
      </c>
      <c r="W5" s="47">
        <v>507.0</v>
      </c>
      <c r="X5" s="127">
        <v>44787.0740625</v>
      </c>
      <c r="Y5" s="47">
        <v>509.0</v>
      </c>
      <c r="Z5" s="127">
        <v>44787.24025462963</v>
      </c>
      <c r="AA5" s="47">
        <v>509.0</v>
      </c>
      <c r="AB5" s="127">
        <v>44787.43482638889</v>
      </c>
      <c r="AC5" s="47">
        <v>509.0</v>
      </c>
      <c r="AD5" s="127">
        <v>44787.45579861111</v>
      </c>
      <c r="AE5" s="47">
        <v>509.0</v>
      </c>
      <c r="AF5" s="127">
        <v>44787.547581018516</v>
      </c>
      <c r="AG5" s="126"/>
      <c r="AH5" s="126"/>
      <c r="AI5" s="126"/>
      <c r="AJ5" s="126"/>
      <c r="AK5" s="126"/>
      <c r="AL5" s="126"/>
      <c r="AM5" s="126"/>
    </row>
    <row r="6" ht="15.75" customHeight="1">
      <c r="A6" s="47">
        <v>506.0</v>
      </c>
      <c r="B6" s="127">
        <v>44786.268854166665</v>
      </c>
      <c r="C6" s="47">
        <v>506.0</v>
      </c>
      <c r="D6" s="127">
        <v>44786.339594907404</v>
      </c>
      <c r="E6" s="47">
        <v>506.0</v>
      </c>
      <c r="F6" s="127">
        <v>44786.420069444444</v>
      </c>
      <c r="G6" s="47">
        <v>603.0</v>
      </c>
      <c r="H6" s="127">
        <v>44786.420069444444</v>
      </c>
      <c r="I6" s="47">
        <v>506.0</v>
      </c>
      <c r="J6" s="127">
        <v>44786.593206018515</v>
      </c>
      <c r="K6" s="47">
        <v>506.0</v>
      </c>
      <c r="L6" s="127">
        <v>44786.68840277778</v>
      </c>
      <c r="M6" s="47">
        <v>506.0</v>
      </c>
      <c r="N6" s="127">
        <v>44786.771006944444</v>
      </c>
      <c r="O6" s="47">
        <v>506.0</v>
      </c>
      <c r="P6" s="127">
        <v>44786.89784722222</v>
      </c>
      <c r="Q6" s="47">
        <v>507.0</v>
      </c>
      <c r="R6" s="127">
        <v>44786.799733796295</v>
      </c>
      <c r="S6" s="47">
        <v>509.0</v>
      </c>
      <c r="T6" s="127">
        <v>44786.97690972222</v>
      </c>
      <c r="U6" s="47">
        <v>509.0</v>
      </c>
      <c r="V6" s="127">
        <v>44787.07648148148</v>
      </c>
      <c r="W6" s="47">
        <v>509.0</v>
      </c>
      <c r="X6" s="127">
        <v>44787.178136574075</v>
      </c>
      <c r="Y6" s="47">
        <v>511.0</v>
      </c>
      <c r="Z6" s="127">
        <v>44787.136724537035</v>
      </c>
      <c r="AA6" s="47">
        <v>511.0</v>
      </c>
      <c r="AB6" s="127">
        <v>44787.22268518519</v>
      </c>
      <c r="AC6" s="47">
        <v>511.0</v>
      </c>
      <c r="AD6" s="127">
        <v>44787.32861111111</v>
      </c>
      <c r="AE6" s="47">
        <v>511.0</v>
      </c>
      <c r="AF6" s="127">
        <v>44787.415972222225</v>
      </c>
      <c r="AG6" s="126"/>
      <c r="AH6" s="126"/>
      <c r="AI6" s="126"/>
      <c r="AJ6" s="126"/>
      <c r="AK6" s="126"/>
      <c r="AL6" s="126"/>
      <c r="AM6" s="126"/>
    </row>
    <row r="7" ht="15.75" customHeight="1">
      <c r="A7" s="47">
        <v>507.0</v>
      </c>
      <c r="B7" s="127">
        <v>44786.26458333333</v>
      </c>
      <c r="C7" s="47">
        <v>507.0</v>
      </c>
      <c r="D7" s="127">
        <v>44786.319872685184</v>
      </c>
      <c r="E7" s="47">
        <v>507.0</v>
      </c>
      <c r="F7" s="127">
        <v>44786.387395833335</v>
      </c>
      <c r="G7" s="47">
        <v>609.0</v>
      </c>
      <c r="H7" s="127">
        <v>44786.420069444444</v>
      </c>
      <c r="I7" s="47">
        <v>507.0</v>
      </c>
      <c r="J7" s="127">
        <v>44786.52361111111</v>
      </c>
      <c r="K7" s="47">
        <v>507.0</v>
      </c>
      <c r="L7" s="127">
        <v>44786.58696759259</v>
      </c>
      <c r="M7" s="47">
        <v>508.0</v>
      </c>
      <c r="N7" s="127">
        <v>44786.825370370374</v>
      </c>
      <c r="O7" s="47">
        <v>507.0</v>
      </c>
      <c r="P7" s="127">
        <v>44786.735138888886</v>
      </c>
      <c r="Q7" s="47">
        <v>509.0</v>
      </c>
      <c r="R7" s="127">
        <v>44786.859606481485</v>
      </c>
      <c r="S7" s="47">
        <v>511.0</v>
      </c>
      <c r="T7" s="127">
        <v>44786.89430555556</v>
      </c>
      <c r="U7" s="47">
        <v>511.0</v>
      </c>
      <c r="V7" s="127">
        <v>44787.05422453704</v>
      </c>
      <c r="W7" s="47">
        <v>511.0</v>
      </c>
      <c r="X7" s="127">
        <v>44787.09125</v>
      </c>
      <c r="Y7" s="47">
        <v>513.0</v>
      </c>
      <c r="Z7" s="127">
        <v>44786.96679398148</v>
      </c>
      <c r="AA7" s="47">
        <v>513.0</v>
      </c>
      <c r="AB7" s="127">
        <v>44787.05422453704</v>
      </c>
      <c r="AC7" s="47">
        <v>513.0</v>
      </c>
      <c r="AD7" s="127">
        <v>44787.107615740744</v>
      </c>
      <c r="AE7" s="47">
        <v>513.0</v>
      </c>
      <c r="AF7" s="127">
        <v>44787.16459490741</v>
      </c>
      <c r="AG7" s="126"/>
      <c r="AH7" s="126"/>
      <c r="AI7" s="126"/>
      <c r="AJ7" s="126"/>
      <c r="AK7" s="126"/>
      <c r="AL7" s="126"/>
      <c r="AM7" s="126"/>
    </row>
    <row r="8" ht="15.75" customHeight="1">
      <c r="A8" s="47">
        <v>508.0</v>
      </c>
      <c r="B8" s="127">
        <v>44786.288310185184</v>
      </c>
      <c r="C8" s="47">
        <v>508.0</v>
      </c>
      <c r="D8" s="127">
        <v>44786.3702662037</v>
      </c>
      <c r="E8" s="47">
        <v>508.0</v>
      </c>
      <c r="F8" s="127">
        <v>44786.47744212963</v>
      </c>
      <c r="G8" s="47">
        <v>618.0</v>
      </c>
      <c r="H8" s="127">
        <v>44786.420069444444</v>
      </c>
      <c r="I8" s="47">
        <v>508.0</v>
      </c>
      <c r="J8" s="127">
        <v>44786.65703703704</v>
      </c>
      <c r="K8" s="47">
        <v>508.0</v>
      </c>
      <c r="L8" s="127">
        <v>44786.76068287037</v>
      </c>
      <c r="M8" s="47">
        <v>509.0</v>
      </c>
      <c r="N8" s="127">
        <v>44786.658055555556</v>
      </c>
      <c r="O8" s="47">
        <v>509.0</v>
      </c>
      <c r="P8" s="127">
        <v>44786.78324074074</v>
      </c>
      <c r="Q8" s="47">
        <v>510.0</v>
      </c>
      <c r="R8" s="127">
        <v>44786.96733796296</v>
      </c>
      <c r="S8" s="47">
        <v>513.0</v>
      </c>
      <c r="T8" s="127">
        <v>44786.784791666665</v>
      </c>
      <c r="U8" s="47">
        <v>513.0</v>
      </c>
      <c r="V8" s="127">
        <v>44786.84890046297</v>
      </c>
      <c r="W8" s="47">
        <v>513.0</v>
      </c>
      <c r="X8" s="127">
        <v>44786.912824074076</v>
      </c>
      <c r="Y8" s="47">
        <v>515.0</v>
      </c>
      <c r="Z8" s="127">
        <v>44786.99481481482</v>
      </c>
      <c r="AA8" s="47">
        <v>515.0</v>
      </c>
      <c r="AB8" s="127">
        <v>44787.06355324074</v>
      </c>
      <c r="AC8" s="47">
        <v>515.0</v>
      </c>
      <c r="AD8" s="127">
        <v>44787.156435185185</v>
      </c>
      <c r="AE8" s="47">
        <v>515.0</v>
      </c>
      <c r="AF8" s="127">
        <v>44787.238078703704</v>
      </c>
      <c r="AG8" s="126"/>
      <c r="AH8" s="126"/>
      <c r="AI8" s="126"/>
      <c r="AJ8" s="126"/>
      <c r="AK8" s="126"/>
      <c r="AL8" s="126"/>
      <c r="AM8" s="126"/>
    </row>
    <row r="9" ht="15.75" customHeight="1">
      <c r="A9" s="47">
        <v>509.0</v>
      </c>
      <c r="B9" s="127">
        <v>44786.26813657407</v>
      </c>
      <c r="C9" s="47">
        <v>509.0</v>
      </c>
      <c r="D9" s="127">
        <v>44786.32078703704</v>
      </c>
      <c r="E9" s="47">
        <v>509.0</v>
      </c>
      <c r="F9" s="127">
        <v>44786.387395833335</v>
      </c>
      <c r="G9" s="47">
        <v>620.0</v>
      </c>
      <c r="H9" s="127">
        <v>44786.420069444444</v>
      </c>
      <c r="I9" s="47">
        <v>509.0</v>
      </c>
      <c r="J9" s="127">
        <v>44786.52920138889</v>
      </c>
      <c r="K9" s="47">
        <v>509.0</v>
      </c>
      <c r="L9" s="127">
        <v>44786.60040509259</v>
      </c>
      <c r="M9" s="47">
        <v>510.0</v>
      </c>
      <c r="N9" s="127">
        <v>44786.73998842593</v>
      </c>
      <c r="O9" s="47">
        <v>510.0</v>
      </c>
      <c r="P9" s="127">
        <v>44786.86482638889</v>
      </c>
      <c r="Q9" s="47">
        <v>511.0</v>
      </c>
      <c r="R9" s="127">
        <v>44786.804976851854</v>
      </c>
      <c r="S9" s="47">
        <v>515.0</v>
      </c>
      <c r="T9" s="127">
        <v>44786.79393518518</v>
      </c>
      <c r="U9" s="47">
        <v>515.0</v>
      </c>
      <c r="V9" s="127">
        <v>44786.88291666667</v>
      </c>
      <c r="W9" s="47">
        <v>515.0</v>
      </c>
      <c r="X9" s="127">
        <v>44786.93949074074</v>
      </c>
      <c r="Y9" s="47">
        <v>516.0</v>
      </c>
      <c r="Z9" s="127">
        <v>44787.30831018519</v>
      </c>
      <c r="AA9" s="47">
        <v>516.0</v>
      </c>
      <c r="AB9" s="127">
        <v>44787.39623842593</v>
      </c>
      <c r="AC9" s="47">
        <v>516.0</v>
      </c>
      <c r="AD9" s="127">
        <v>44787.510833333334</v>
      </c>
      <c r="AE9" s="47">
        <v>516.0</v>
      </c>
      <c r="AF9" s="127">
        <v>44787.61219907407</v>
      </c>
      <c r="AG9" s="126"/>
      <c r="AH9" s="126"/>
      <c r="AI9" s="126"/>
      <c r="AJ9" s="126"/>
      <c r="AK9" s="126"/>
      <c r="AL9" s="126"/>
      <c r="AM9" s="126"/>
    </row>
    <row r="10" ht="15.75" customHeight="1">
      <c r="A10" s="47">
        <v>510.0</v>
      </c>
      <c r="B10" s="127">
        <v>44786.27930555555</v>
      </c>
      <c r="C10" s="47">
        <v>510.0</v>
      </c>
      <c r="D10" s="127">
        <v>44786.35488425926</v>
      </c>
      <c r="E10" s="47">
        <v>510.0</v>
      </c>
      <c r="F10" s="127">
        <v>44786.43677083333</v>
      </c>
      <c r="G10" s="47">
        <v>736.0</v>
      </c>
      <c r="H10" s="127">
        <v>44786.420069444444</v>
      </c>
      <c r="I10" s="47">
        <v>510.0</v>
      </c>
      <c r="J10" s="127">
        <v>44786.59297453704</v>
      </c>
      <c r="K10" s="47">
        <v>510.0</v>
      </c>
      <c r="L10" s="127">
        <v>44786.67177083333</v>
      </c>
      <c r="M10" s="47">
        <v>511.0</v>
      </c>
      <c r="N10" s="127">
        <v>44786.63964120371</v>
      </c>
      <c r="O10" s="47">
        <v>511.0</v>
      </c>
      <c r="P10" s="127">
        <v>44786.74251157408</v>
      </c>
      <c r="Q10" s="47">
        <v>513.0</v>
      </c>
      <c r="R10" s="127">
        <v>44786.71600694444</v>
      </c>
      <c r="S10" s="47">
        <v>518.0</v>
      </c>
      <c r="T10" s="127">
        <v>44787.05422453704</v>
      </c>
      <c r="U10" s="47">
        <v>516.0</v>
      </c>
      <c r="V10" s="127">
        <v>44787.12835648148</v>
      </c>
      <c r="W10" s="47">
        <v>516.0</v>
      </c>
      <c r="X10" s="127">
        <v>44787.22381944444</v>
      </c>
      <c r="Y10" s="47">
        <v>518.0</v>
      </c>
      <c r="Z10" s="127">
        <v>44787.273310185185</v>
      </c>
      <c r="AA10" s="47">
        <v>518.0</v>
      </c>
      <c r="AB10" s="127">
        <v>44787.36513888889</v>
      </c>
      <c r="AC10" s="47">
        <v>518.0</v>
      </c>
      <c r="AD10" s="127">
        <v>44787.47790509259</v>
      </c>
      <c r="AE10" s="47">
        <v>518.0</v>
      </c>
      <c r="AF10" s="127">
        <v>44787.547685185185</v>
      </c>
      <c r="AG10" s="126"/>
      <c r="AH10" s="126"/>
      <c r="AI10" s="126"/>
      <c r="AJ10" s="126"/>
      <c r="AK10" s="126"/>
      <c r="AL10" s="126"/>
      <c r="AM10" s="126"/>
    </row>
    <row r="11" ht="15.75" customHeight="1">
      <c r="A11" s="47">
        <v>511.0</v>
      </c>
      <c r="B11" s="127">
        <v>44786.26431712963</v>
      </c>
      <c r="C11" s="47">
        <v>511.0</v>
      </c>
      <c r="D11" s="127">
        <v>44786.31085648148</v>
      </c>
      <c r="E11" s="47">
        <v>511.0</v>
      </c>
      <c r="F11" s="127">
        <v>44786.3702662037</v>
      </c>
      <c r="G11" s="47">
        <v>515.0</v>
      </c>
      <c r="H11" s="127">
        <v>44786.43675925926</v>
      </c>
      <c r="I11" s="47">
        <v>511.0</v>
      </c>
      <c r="J11" s="127">
        <v>44786.514710648145</v>
      </c>
      <c r="K11" s="47">
        <v>511.0</v>
      </c>
      <c r="L11" s="127">
        <v>44786.586875</v>
      </c>
      <c r="M11" s="47">
        <v>513.0</v>
      </c>
      <c r="N11" s="127">
        <v>44786.582974537036</v>
      </c>
      <c r="O11" s="47">
        <v>513.0</v>
      </c>
      <c r="P11" s="127">
        <v>44786.66436342592</v>
      </c>
      <c r="Q11" s="47">
        <v>515.0</v>
      </c>
      <c r="R11" s="127">
        <v>44786.71601851852</v>
      </c>
      <c r="S11" s="47">
        <v>519.0</v>
      </c>
      <c r="T11" s="127">
        <v>44786.964733796296</v>
      </c>
      <c r="U11" s="47">
        <v>518.0</v>
      </c>
      <c r="V11" s="127">
        <v>44787.09986111111</v>
      </c>
      <c r="W11" s="47">
        <v>518.0</v>
      </c>
      <c r="X11" s="127">
        <v>44787.217939814815</v>
      </c>
      <c r="Y11" s="47">
        <v>519.0</v>
      </c>
      <c r="Z11" s="127">
        <v>44787.24023148148</v>
      </c>
      <c r="AA11" s="47">
        <v>519.0</v>
      </c>
      <c r="AB11" s="127">
        <v>44787.343125</v>
      </c>
      <c r="AC11" s="47">
        <v>519.0</v>
      </c>
      <c r="AD11" s="127">
        <v>44787.441400462965</v>
      </c>
      <c r="AE11" s="47">
        <v>519.0</v>
      </c>
      <c r="AF11" s="127">
        <v>44787.52232638889</v>
      </c>
      <c r="AG11" s="126"/>
      <c r="AH11" s="126"/>
      <c r="AI11" s="126"/>
      <c r="AJ11" s="126"/>
      <c r="AK11" s="126"/>
      <c r="AL11" s="126"/>
      <c r="AM11" s="126"/>
    </row>
    <row r="12" ht="15.75" customHeight="1">
      <c r="A12" s="47">
        <v>513.0</v>
      </c>
      <c r="B12" s="127">
        <v>44786.25293981482</v>
      </c>
      <c r="C12" s="47">
        <v>513.0</v>
      </c>
      <c r="D12" s="127">
        <v>44786.3002662037</v>
      </c>
      <c r="E12" s="47">
        <v>513.0</v>
      </c>
      <c r="F12" s="127">
        <v>44786.35230324074</v>
      </c>
      <c r="G12" s="47">
        <v>565.0</v>
      </c>
      <c r="H12" s="127">
        <v>44786.43675925926</v>
      </c>
      <c r="I12" s="47">
        <v>513.0</v>
      </c>
      <c r="J12" s="127">
        <v>44786.47699074074</v>
      </c>
      <c r="K12" s="47">
        <v>513.0</v>
      </c>
      <c r="L12" s="127">
        <v>44786.53221064815</v>
      </c>
      <c r="M12" s="47">
        <v>515.0</v>
      </c>
      <c r="N12" s="127">
        <v>44786.57304398148</v>
      </c>
      <c r="O12" s="47">
        <v>515.0</v>
      </c>
      <c r="P12" s="127">
        <v>44786.66443287037</v>
      </c>
      <c r="Q12" s="47">
        <v>516.0</v>
      </c>
      <c r="R12" s="127">
        <v>44786.91893518518</v>
      </c>
      <c r="S12" s="47">
        <v>520.0</v>
      </c>
      <c r="T12" s="127">
        <v>44787.08934027778</v>
      </c>
      <c r="U12" s="47">
        <v>519.0</v>
      </c>
      <c r="V12" s="127">
        <v>44787.076145833336</v>
      </c>
      <c r="W12" s="47">
        <v>519.0</v>
      </c>
      <c r="X12" s="127">
        <v>44787.15666666667</v>
      </c>
      <c r="Y12" s="47">
        <v>520.0</v>
      </c>
      <c r="Z12" s="127">
        <v>44787.368425925924</v>
      </c>
      <c r="AA12" s="47">
        <v>522.0</v>
      </c>
      <c r="AB12" s="127">
        <v>44787.24833333334</v>
      </c>
      <c r="AC12" s="47">
        <v>522.0</v>
      </c>
      <c r="AD12" s="127">
        <v>44787.342986111114</v>
      </c>
      <c r="AE12" s="47">
        <v>522.0</v>
      </c>
      <c r="AF12" s="127">
        <v>44787.415972222225</v>
      </c>
      <c r="AG12" s="126"/>
      <c r="AH12" s="126"/>
      <c r="AI12" s="126"/>
      <c r="AJ12" s="126"/>
      <c r="AK12" s="126"/>
      <c r="AL12" s="126"/>
      <c r="AM12" s="126"/>
    </row>
    <row r="13" ht="15.75" customHeight="1">
      <c r="A13" s="47">
        <v>515.0</v>
      </c>
      <c r="B13" s="127">
        <v>44786.261458333334</v>
      </c>
      <c r="C13" s="47">
        <v>515.0</v>
      </c>
      <c r="D13" s="127">
        <v>44786.3071412037</v>
      </c>
      <c r="E13" s="47">
        <v>515.0</v>
      </c>
      <c r="F13" s="127">
        <v>44786.3702662037</v>
      </c>
      <c r="G13" s="47">
        <v>567.0</v>
      </c>
      <c r="H13" s="127">
        <v>44786.43675925926</v>
      </c>
      <c r="I13" s="47">
        <v>515.0</v>
      </c>
      <c r="J13" s="127">
        <v>44786.483715277776</v>
      </c>
      <c r="K13" s="47">
        <v>515.0</v>
      </c>
      <c r="L13" s="127">
        <v>44786.538460648146</v>
      </c>
      <c r="M13" s="47">
        <v>516.0</v>
      </c>
      <c r="N13" s="127">
        <v>44786.73006944444</v>
      </c>
      <c r="O13" s="47">
        <v>516.0</v>
      </c>
      <c r="P13" s="127">
        <v>44786.84082175926</v>
      </c>
      <c r="Q13" s="47">
        <v>518.0</v>
      </c>
      <c r="R13" s="127">
        <v>44786.88988425926</v>
      </c>
      <c r="S13" s="47">
        <v>521.0</v>
      </c>
      <c r="T13" s="127">
        <v>44787.08929398148</v>
      </c>
      <c r="U13" s="47">
        <v>520.0</v>
      </c>
      <c r="V13" s="127">
        <v>44787.20266203704</v>
      </c>
      <c r="W13" s="47">
        <v>520.0</v>
      </c>
      <c r="X13" s="127">
        <v>44787.30873842593</v>
      </c>
      <c r="Y13" s="47">
        <v>522.0</v>
      </c>
      <c r="Z13" s="127">
        <v>44787.18056712963</v>
      </c>
      <c r="AA13" s="47">
        <v>523.0</v>
      </c>
      <c r="AB13" s="127">
        <v>44787.20974537037</v>
      </c>
      <c r="AC13" s="47">
        <v>523.0</v>
      </c>
      <c r="AD13" s="127">
        <v>44787.32894675926</v>
      </c>
      <c r="AE13" s="47">
        <v>523.0</v>
      </c>
      <c r="AF13" s="127">
        <v>44787.415972222225</v>
      </c>
      <c r="AG13" s="126"/>
      <c r="AH13" s="126"/>
      <c r="AI13" s="126"/>
      <c r="AJ13" s="126"/>
      <c r="AK13" s="126"/>
      <c r="AL13" s="126"/>
      <c r="AM13" s="126"/>
    </row>
    <row r="14" ht="15.75" customHeight="1">
      <c r="A14" s="47">
        <v>516.0</v>
      </c>
      <c r="B14" s="127">
        <v>44786.27099537037</v>
      </c>
      <c r="C14" s="47">
        <v>516.0</v>
      </c>
      <c r="D14" s="127">
        <v>44786.339479166665</v>
      </c>
      <c r="E14" s="47">
        <v>516.0</v>
      </c>
      <c r="F14" s="127">
        <v>44786.420069444444</v>
      </c>
      <c r="G14" s="47">
        <v>599.0</v>
      </c>
      <c r="H14" s="127">
        <v>44786.43675925926</v>
      </c>
      <c r="I14" s="47">
        <v>516.0</v>
      </c>
      <c r="J14" s="127">
        <v>44786.58453703704</v>
      </c>
      <c r="K14" s="47">
        <v>516.0</v>
      </c>
      <c r="L14" s="127">
        <v>44786.656539351854</v>
      </c>
      <c r="M14" s="47">
        <v>517.0</v>
      </c>
      <c r="N14" s="127">
        <v>44786.78435185185</v>
      </c>
      <c r="O14" s="47">
        <v>517.0</v>
      </c>
      <c r="P14" s="127">
        <v>44786.93423611111</v>
      </c>
      <c r="Q14" s="47">
        <v>519.0</v>
      </c>
      <c r="R14" s="127">
        <v>44786.85967592592</v>
      </c>
      <c r="S14" s="47">
        <v>522.0</v>
      </c>
      <c r="T14" s="127">
        <v>44786.96481481481</v>
      </c>
      <c r="U14" s="47">
        <v>521.0</v>
      </c>
      <c r="V14" s="127">
        <v>44787.20259259259</v>
      </c>
      <c r="W14" s="47">
        <v>521.0</v>
      </c>
      <c r="X14" s="127">
        <v>44787.32667824074</v>
      </c>
      <c r="Y14" s="47">
        <v>523.0</v>
      </c>
      <c r="Z14" s="127">
        <v>44787.15827546296</v>
      </c>
      <c r="AA14" s="47">
        <v>525.0</v>
      </c>
      <c r="AB14" s="127">
        <v>44787.38659722222</v>
      </c>
      <c r="AC14" s="47">
        <v>525.0</v>
      </c>
      <c r="AD14" s="127">
        <v>44787.488125</v>
      </c>
      <c r="AE14" s="47">
        <v>525.0</v>
      </c>
      <c r="AF14" s="127">
        <v>44787.579733796294</v>
      </c>
      <c r="AG14" s="126"/>
      <c r="AH14" s="126"/>
      <c r="AI14" s="126"/>
      <c r="AJ14" s="126"/>
      <c r="AK14" s="126"/>
      <c r="AL14" s="126"/>
      <c r="AM14" s="126"/>
    </row>
    <row r="15" ht="15.75" customHeight="1">
      <c r="A15" s="47">
        <v>517.0</v>
      </c>
      <c r="B15" s="127">
        <v>44786.268425925926</v>
      </c>
      <c r="C15" s="47">
        <v>517.0</v>
      </c>
      <c r="D15" s="127">
        <v>44786.32517361111</v>
      </c>
      <c r="E15" s="47">
        <v>517.0</v>
      </c>
      <c r="F15" s="127">
        <v>44786.40739583333</v>
      </c>
      <c r="G15" s="47">
        <v>689.0</v>
      </c>
      <c r="H15" s="127">
        <v>44786.43675925926</v>
      </c>
      <c r="I15" s="47">
        <v>517.0</v>
      </c>
      <c r="J15" s="127">
        <v>44786.59744212963</v>
      </c>
      <c r="K15" s="47">
        <v>517.0</v>
      </c>
      <c r="L15" s="127">
        <v>44786.700219907405</v>
      </c>
      <c r="M15" s="47">
        <v>519.0</v>
      </c>
      <c r="N15" s="127">
        <v>44786.70216435185</v>
      </c>
      <c r="O15" s="47">
        <v>518.0</v>
      </c>
      <c r="P15" s="127">
        <v>44786.8272337963</v>
      </c>
      <c r="Q15" s="47">
        <v>520.0</v>
      </c>
      <c r="R15" s="127">
        <v>44786.96737268518</v>
      </c>
      <c r="S15" s="47">
        <v>523.0</v>
      </c>
      <c r="T15" s="127">
        <v>44786.90996527778</v>
      </c>
      <c r="U15" s="47">
        <v>522.0</v>
      </c>
      <c r="V15" s="127">
        <v>44787.05422453704</v>
      </c>
      <c r="W15" s="47">
        <v>522.0</v>
      </c>
      <c r="X15" s="127">
        <v>44787.116747685184</v>
      </c>
      <c r="Y15" s="47">
        <v>525.0</v>
      </c>
      <c r="Z15" s="127">
        <v>44787.29871527778</v>
      </c>
      <c r="AA15" s="47">
        <v>528.0</v>
      </c>
      <c r="AB15" s="127">
        <v>44787.37766203703</v>
      </c>
      <c r="AC15" s="47">
        <v>527.0</v>
      </c>
      <c r="AD15" s="127">
        <v>44787.328194444446</v>
      </c>
      <c r="AE15" s="47">
        <v>527.0</v>
      </c>
      <c r="AF15" s="127">
        <v>44787.38423611111</v>
      </c>
      <c r="AG15" s="126"/>
      <c r="AH15" s="126"/>
      <c r="AI15" s="126"/>
      <c r="AJ15" s="126"/>
      <c r="AK15" s="126"/>
      <c r="AL15" s="126"/>
      <c r="AM15" s="126"/>
    </row>
    <row r="16" ht="15.75" customHeight="1">
      <c r="A16" s="47">
        <v>518.0</v>
      </c>
      <c r="B16" s="127">
        <v>44786.278402777774</v>
      </c>
      <c r="C16" s="47">
        <v>518.0</v>
      </c>
      <c r="D16" s="127">
        <v>44786.34788194444</v>
      </c>
      <c r="E16" s="47">
        <v>518.0</v>
      </c>
      <c r="F16" s="127">
        <v>44786.420069444444</v>
      </c>
      <c r="G16" s="47">
        <v>697.0</v>
      </c>
      <c r="H16" s="127">
        <v>44786.43707175926</v>
      </c>
      <c r="I16" s="47">
        <v>518.0</v>
      </c>
      <c r="J16" s="127">
        <v>44786.583657407406</v>
      </c>
      <c r="K16" s="47">
        <v>518.0</v>
      </c>
      <c r="L16" s="127">
        <v>44786.65142361111</v>
      </c>
      <c r="M16" s="47">
        <v>520.0</v>
      </c>
      <c r="N16" s="127">
        <v>44786.77560185185</v>
      </c>
      <c r="O16" s="47">
        <v>519.0</v>
      </c>
      <c r="P16" s="127">
        <v>44786.79591435185</v>
      </c>
      <c r="Q16" s="47">
        <v>521.0</v>
      </c>
      <c r="R16" s="127">
        <v>44786.9671875</v>
      </c>
      <c r="S16" s="47">
        <v>525.0</v>
      </c>
      <c r="T16" s="127">
        <v>44787.05422453704</v>
      </c>
      <c r="U16" s="47">
        <v>523.0</v>
      </c>
      <c r="V16" s="127">
        <v>44787.05422453704</v>
      </c>
      <c r="W16" s="47">
        <v>523.0</v>
      </c>
      <c r="X16" s="127">
        <v>44787.10028935185</v>
      </c>
      <c r="Y16" s="47">
        <v>527.0</v>
      </c>
      <c r="Z16" s="127">
        <v>44787.112175925926</v>
      </c>
      <c r="AA16" s="47">
        <v>529.0</v>
      </c>
      <c r="AB16" s="127">
        <v>44787.10493055556</v>
      </c>
      <c r="AC16" s="47">
        <v>528.0</v>
      </c>
      <c r="AD16" s="127">
        <v>44787.487708333334</v>
      </c>
      <c r="AE16" s="47">
        <v>528.0</v>
      </c>
      <c r="AF16" s="127">
        <v>44787.63175925926</v>
      </c>
      <c r="AG16" s="126"/>
      <c r="AH16" s="126"/>
      <c r="AI16" s="126"/>
      <c r="AJ16" s="126"/>
      <c r="AK16" s="126"/>
      <c r="AL16" s="126"/>
      <c r="AM16" s="126"/>
    </row>
    <row r="17" ht="15.75" customHeight="1">
      <c r="A17" s="47">
        <v>519.0</v>
      </c>
      <c r="B17" s="127">
        <v>44786.27442129629</v>
      </c>
      <c r="C17" s="47">
        <v>519.0</v>
      </c>
      <c r="D17" s="127">
        <v>44786.347291666665</v>
      </c>
      <c r="E17" s="47">
        <v>519.0</v>
      </c>
      <c r="F17" s="127">
        <v>44786.420069444444</v>
      </c>
      <c r="G17" s="47">
        <v>713.0</v>
      </c>
      <c r="H17" s="127">
        <v>44786.437106481484</v>
      </c>
      <c r="I17" s="47">
        <v>519.0</v>
      </c>
      <c r="J17" s="127">
        <v>44786.56428240741</v>
      </c>
      <c r="K17" s="47">
        <v>519.0</v>
      </c>
      <c r="L17" s="127">
        <v>44786.63964120371</v>
      </c>
      <c r="M17" s="47">
        <v>521.0</v>
      </c>
      <c r="N17" s="127">
        <v>44786.76068287037</v>
      </c>
      <c r="O17" s="47">
        <v>520.0</v>
      </c>
      <c r="P17" s="127">
        <v>44786.897893518515</v>
      </c>
      <c r="Q17" s="47">
        <v>522.0</v>
      </c>
      <c r="R17" s="127">
        <v>44786.8596412037</v>
      </c>
      <c r="S17" s="47">
        <v>527.0</v>
      </c>
      <c r="T17" s="127">
        <v>44786.8605787037</v>
      </c>
      <c r="U17" s="47">
        <v>525.0</v>
      </c>
      <c r="V17" s="127">
        <v>44787.12841435185</v>
      </c>
      <c r="W17" s="47">
        <v>525.0</v>
      </c>
      <c r="X17" s="127">
        <v>44787.23857638889</v>
      </c>
      <c r="Y17" s="47">
        <v>528.0</v>
      </c>
      <c r="Z17" s="127">
        <v>44787.28496527778</v>
      </c>
      <c r="AA17" s="47">
        <v>530.0</v>
      </c>
      <c r="AB17" s="127">
        <v>44787.22267361111</v>
      </c>
      <c r="AC17" s="47">
        <v>529.0</v>
      </c>
      <c r="AD17" s="127">
        <v>44787.20265046296</v>
      </c>
      <c r="AE17" s="47">
        <v>529.0</v>
      </c>
      <c r="AF17" s="127">
        <v>44787.30739583333</v>
      </c>
      <c r="AG17" s="126"/>
      <c r="AH17" s="126"/>
      <c r="AI17" s="126"/>
      <c r="AJ17" s="126"/>
      <c r="AK17" s="126"/>
      <c r="AL17" s="126"/>
      <c r="AM17" s="126"/>
    </row>
    <row r="18" ht="15.75" customHeight="1">
      <c r="A18" s="47">
        <v>520.0</v>
      </c>
      <c r="B18" s="127">
        <v>44786.27447916667</v>
      </c>
      <c r="C18" s="47">
        <v>520.0</v>
      </c>
      <c r="D18" s="127">
        <v>44786.34758101852</v>
      </c>
      <c r="E18" s="47">
        <v>520.0</v>
      </c>
      <c r="F18" s="127">
        <v>44786.420069444444</v>
      </c>
      <c r="G18" s="47">
        <v>511.0</v>
      </c>
      <c r="H18" s="127">
        <v>44786.44809027778</v>
      </c>
      <c r="I18" s="47">
        <v>520.0</v>
      </c>
      <c r="J18" s="127">
        <v>44786.62391203704</v>
      </c>
      <c r="K18" s="47">
        <v>520.0</v>
      </c>
      <c r="L18" s="127">
        <v>44786.70045138889</v>
      </c>
      <c r="M18" s="47">
        <v>522.0</v>
      </c>
      <c r="N18" s="127">
        <v>44786.69020833333</v>
      </c>
      <c r="O18" s="47">
        <v>521.0</v>
      </c>
      <c r="P18" s="127">
        <v>44786.88145833334</v>
      </c>
      <c r="Q18" s="47">
        <v>523.0</v>
      </c>
      <c r="R18" s="127">
        <v>44786.81737268518</v>
      </c>
      <c r="S18" s="47">
        <v>528.0</v>
      </c>
      <c r="T18" s="127">
        <v>44786.99039351852</v>
      </c>
      <c r="U18" s="47">
        <v>527.0</v>
      </c>
      <c r="V18" s="127">
        <v>44786.97253472222</v>
      </c>
      <c r="W18" s="47">
        <v>527.0</v>
      </c>
      <c r="X18" s="127">
        <v>44787.05422453704</v>
      </c>
      <c r="Y18" s="47">
        <v>529.0</v>
      </c>
      <c r="Z18" s="127">
        <v>44787.05422453704</v>
      </c>
      <c r="AA18" s="47">
        <v>534.0</v>
      </c>
      <c r="AB18" s="127">
        <v>44787.39619212963</v>
      </c>
      <c r="AC18" s="47">
        <v>530.0</v>
      </c>
      <c r="AD18" s="127">
        <v>44787.327997685185</v>
      </c>
      <c r="AE18" s="47">
        <v>530.0</v>
      </c>
      <c r="AF18" s="127">
        <v>44787.38429398148</v>
      </c>
      <c r="AG18" s="126"/>
      <c r="AH18" s="126"/>
      <c r="AI18" s="126"/>
      <c r="AJ18" s="126"/>
      <c r="AK18" s="126"/>
      <c r="AL18" s="126"/>
      <c r="AM18" s="126"/>
    </row>
    <row r="19" ht="15.75" customHeight="1">
      <c r="A19" s="47">
        <v>521.0</v>
      </c>
      <c r="B19" s="127">
        <v>44786.27439814815</v>
      </c>
      <c r="C19" s="47">
        <v>521.0</v>
      </c>
      <c r="D19" s="127">
        <v>44786.33162037037</v>
      </c>
      <c r="E19" s="47">
        <v>521.0</v>
      </c>
      <c r="F19" s="127">
        <v>44786.40739583333</v>
      </c>
      <c r="G19" s="47">
        <v>527.0</v>
      </c>
      <c r="H19" s="127">
        <v>44786.44809027778</v>
      </c>
      <c r="I19" s="47">
        <v>521.0</v>
      </c>
      <c r="J19" s="127">
        <v>44786.5841087963</v>
      </c>
      <c r="K19" s="47">
        <v>521.0</v>
      </c>
      <c r="L19" s="127">
        <v>44786.6665625</v>
      </c>
      <c r="M19" s="47">
        <v>523.0</v>
      </c>
      <c r="N19" s="127">
        <v>44786.65913194444</v>
      </c>
      <c r="O19" s="47">
        <v>522.0</v>
      </c>
      <c r="P19" s="127">
        <v>44786.79534722222</v>
      </c>
      <c r="Q19" s="47">
        <v>525.0</v>
      </c>
      <c r="R19" s="127">
        <v>44786.91142361111</v>
      </c>
      <c r="S19" s="47">
        <v>529.0</v>
      </c>
      <c r="T19" s="127">
        <v>44786.828310185185</v>
      </c>
      <c r="U19" s="47">
        <v>528.0</v>
      </c>
      <c r="V19" s="127">
        <v>44787.09936342593</v>
      </c>
      <c r="W19" s="47">
        <v>528.0</v>
      </c>
      <c r="X19" s="127">
        <v>44787.20847222222</v>
      </c>
      <c r="Y19" s="47">
        <v>530.0</v>
      </c>
      <c r="Z19" s="127">
        <v>44787.13674768519</v>
      </c>
      <c r="AA19" s="47">
        <v>536.0</v>
      </c>
      <c r="AB19" s="127">
        <v>44787.283425925925</v>
      </c>
      <c r="AC19" s="47">
        <v>534.0</v>
      </c>
      <c r="AD19" s="127">
        <v>44787.487962962965</v>
      </c>
      <c r="AE19" s="47">
        <v>534.0</v>
      </c>
      <c r="AF19" s="127">
        <v>44787.57958333333</v>
      </c>
      <c r="AG19" s="126"/>
      <c r="AH19" s="126"/>
      <c r="AI19" s="126"/>
      <c r="AJ19" s="126"/>
      <c r="AK19" s="126"/>
      <c r="AL19" s="126"/>
      <c r="AM19" s="126"/>
    </row>
    <row r="20" ht="15.75" customHeight="1">
      <c r="A20" s="47">
        <v>522.0</v>
      </c>
      <c r="B20" s="127">
        <v>44786.26883101852</v>
      </c>
      <c r="C20" s="47">
        <v>522.0</v>
      </c>
      <c r="D20" s="127">
        <v>44786.33094907407</v>
      </c>
      <c r="E20" s="47">
        <v>522.0</v>
      </c>
      <c r="F20" s="127">
        <v>44786.40739583333</v>
      </c>
      <c r="G20" s="47">
        <v>536.0</v>
      </c>
      <c r="H20" s="127">
        <v>44786.44809027778</v>
      </c>
      <c r="I20" s="47">
        <v>522.0</v>
      </c>
      <c r="J20" s="127">
        <v>44786.55679398148</v>
      </c>
      <c r="K20" s="47">
        <v>522.0</v>
      </c>
      <c r="L20" s="127">
        <v>44786.63964120371</v>
      </c>
      <c r="M20" s="47">
        <v>525.0</v>
      </c>
      <c r="N20" s="127">
        <v>44786.73570601852</v>
      </c>
      <c r="O20" s="47">
        <v>523.0</v>
      </c>
      <c r="P20" s="127">
        <v>44786.760671296295</v>
      </c>
      <c r="Q20" s="47">
        <v>527.0</v>
      </c>
      <c r="R20" s="127">
        <v>44786.772314814814</v>
      </c>
      <c r="S20" s="47">
        <v>530.0</v>
      </c>
      <c r="T20" s="127">
        <v>44786.90993055556</v>
      </c>
      <c r="U20" s="47">
        <v>529.0</v>
      </c>
      <c r="V20" s="127">
        <v>44786.915810185186</v>
      </c>
      <c r="W20" s="47">
        <v>529.0</v>
      </c>
      <c r="X20" s="127">
        <v>44786.97126157407</v>
      </c>
      <c r="Y20" s="47">
        <v>534.0</v>
      </c>
      <c r="Z20" s="127">
        <v>44787.30537037037</v>
      </c>
      <c r="AA20" s="47">
        <v>537.0</v>
      </c>
      <c r="AB20" s="127">
        <v>44786.87633101852</v>
      </c>
      <c r="AC20" s="47">
        <v>536.0</v>
      </c>
      <c r="AD20" s="127">
        <v>44787.40109953703</v>
      </c>
      <c r="AE20" s="47">
        <v>536.0</v>
      </c>
      <c r="AF20" s="127">
        <v>44787.49623842593</v>
      </c>
      <c r="AG20" s="126"/>
      <c r="AH20" s="126"/>
      <c r="AI20" s="126"/>
      <c r="AJ20" s="126"/>
      <c r="AK20" s="126"/>
      <c r="AL20" s="126"/>
      <c r="AM20" s="126"/>
    </row>
    <row r="21" ht="15.75" customHeight="1">
      <c r="A21" s="47">
        <v>523.0</v>
      </c>
      <c r="B21" s="127">
        <v>44786.27133101852</v>
      </c>
      <c r="C21" s="47">
        <v>523.0</v>
      </c>
      <c r="D21" s="127">
        <v>44786.33130787037</v>
      </c>
      <c r="E21" s="47">
        <v>523.0</v>
      </c>
      <c r="F21" s="127">
        <v>44786.40739583333</v>
      </c>
      <c r="G21" s="47">
        <v>543.0</v>
      </c>
      <c r="H21" s="127">
        <v>44786.44809027778</v>
      </c>
      <c r="I21" s="47">
        <v>523.0</v>
      </c>
      <c r="J21" s="127">
        <v>44786.53417824074</v>
      </c>
      <c r="K21" s="47">
        <v>523.0</v>
      </c>
      <c r="L21" s="127">
        <v>44786.60034722222</v>
      </c>
      <c r="M21" s="47">
        <v>527.0</v>
      </c>
      <c r="N21" s="127">
        <v>44786.62391203704</v>
      </c>
      <c r="O21" s="47">
        <v>525.0</v>
      </c>
      <c r="P21" s="127">
        <v>44786.840787037036</v>
      </c>
      <c r="Q21" s="47">
        <v>528.0</v>
      </c>
      <c r="R21" s="127">
        <v>44786.875659722224</v>
      </c>
      <c r="S21" s="47">
        <v>534.0</v>
      </c>
      <c r="T21" s="127">
        <v>44787.05422453704</v>
      </c>
      <c r="U21" s="47">
        <v>530.0</v>
      </c>
      <c r="V21" s="127">
        <v>44787.05422453704</v>
      </c>
      <c r="W21" s="47">
        <v>530.0</v>
      </c>
      <c r="X21" s="127">
        <v>44787.091215277775</v>
      </c>
      <c r="Y21" s="47">
        <v>536.0</v>
      </c>
      <c r="Z21" s="127">
        <v>44787.15834490741</v>
      </c>
      <c r="AA21" s="47">
        <v>538.0</v>
      </c>
      <c r="AB21" s="127">
        <v>44787.355219907404</v>
      </c>
      <c r="AC21" s="47">
        <v>537.0</v>
      </c>
      <c r="AD21" s="127">
        <v>44786.95033564815</v>
      </c>
      <c r="AE21" s="47">
        <v>537.0</v>
      </c>
      <c r="AF21" s="127">
        <v>44787.00523148148</v>
      </c>
      <c r="AG21" s="126"/>
      <c r="AH21" s="126"/>
      <c r="AI21" s="126"/>
      <c r="AJ21" s="126"/>
      <c r="AK21" s="126"/>
      <c r="AL21" s="126"/>
      <c r="AM21" s="126"/>
    </row>
    <row r="22" ht="15.75" customHeight="1">
      <c r="A22" s="47">
        <v>525.0</v>
      </c>
      <c r="B22" s="127">
        <v>44786.271365740744</v>
      </c>
      <c r="C22" s="47">
        <v>525.0</v>
      </c>
      <c r="D22" s="127">
        <v>44786.34716435185</v>
      </c>
      <c r="E22" s="47">
        <v>525.0</v>
      </c>
      <c r="F22" s="127">
        <v>44786.420069444444</v>
      </c>
      <c r="G22" s="47">
        <v>561.0</v>
      </c>
      <c r="H22" s="127">
        <v>44786.44809027778</v>
      </c>
      <c r="I22" s="47">
        <v>525.0</v>
      </c>
      <c r="J22" s="127">
        <v>44786.59292824074</v>
      </c>
      <c r="K22" s="47">
        <v>525.0</v>
      </c>
      <c r="L22" s="127">
        <v>44786.660046296296</v>
      </c>
      <c r="M22" s="47">
        <v>529.0</v>
      </c>
      <c r="N22" s="127">
        <v>44786.60996527778</v>
      </c>
      <c r="O22" s="47">
        <v>527.0</v>
      </c>
      <c r="P22" s="127">
        <v>44786.70379629629</v>
      </c>
      <c r="Q22" s="47">
        <v>529.0</v>
      </c>
      <c r="R22" s="127">
        <v>44786.747719907406</v>
      </c>
      <c r="S22" s="47">
        <v>535.0</v>
      </c>
      <c r="T22" s="127">
        <v>44787.14196759259</v>
      </c>
      <c r="U22" s="47">
        <v>534.0</v>
      </c>
      <c r="V22" s="127">
        <v>44787.12862268519</v>
      </c>
      <c r="W22" s="47">
        <v>534.0</v>
      </c>
      <c r="X22" s="127">
        <v>44787.23886574074</v>
      </c>
      <c r="Y22" s="47">
        <v>537.0</v>
      </c>
      <c r="Z22" s="127">
        <v>44786.8246875</v>
      </c>
      <c r="AA22" s="47">
        <v>543.0</v>
      </c>
      <c r="AB22" s="127">
        <v>44787.05422453704</v>
      </c>
      <c r="AC22" s="47">
        <v>538.0</v>
      </c>
      <c r="AD22" s="127">
        <v>44787.45421296296</v>
      </c>
      <c r="AE22" s="47">
        <v>538.0</v>
      </c>
      <c r="AF22" s="127">
        <v>44787.53542824074</v>
      </c>
      <c r="AG22" s="126"/>
      <c r="AH22" s="126"/>
      <c r="AI22" s="126"/>
      <c r="AJ22" s="126"/>
      <c r="AK22" s="126"/>
      <c r="AL22" s="126"/>
      <c r="AM22" s="126"/>
    </row>
    <row r="23" ht="15.75" customHeight="1">
      <c r="A23" s="47">
        <v>527.0</v>
      </c>
      <c r="B23" s="127">
        <v>44786.26162037037</v>
      </c>
      <c r="C23" s="47">
        <v>527.0</v>
      </c>
      <c r="D23" s="127">
        <v>44786.31081018518</v>
      </c>
      <c r="E23" s="47">
        <v>527.0</v>
      </c>
      <c r="F23" s="127">
        <v>44786.3702662037</v>
      </c>
      <c r="G23" s="47">
        <v>589.0</v>
      </c>
      <c r="H23" s="127">
        <v>44786.44809027778</v>
      </c>
      <c r="I23" s="47">
        <v>527.0</v>
      </c>
      <c r="J23" s="127">
        <v>44786.49655092593</v>
      </c>
      <c r="K23" s="47">
        <v>527.0</v>
      </c>
      <c r="L23" s="127">
        <v>44786.56290509259</v>
      </c>
      <c r="M23" s="47">
        <v>530.0</v>
      </c>
      <c r="N23" s="127">
        <v>44786.63964120371</v>
      </c>
      <c r="O23" s="47">
        <v>528.0</v>
      </c>
      <c r="P23" s="127">
        <v>44786.81224537037</v>
      </c>
      <c r="Q23" s="47">
        <v>530.0</v>
      </c>
      <c r="R23" s="127">
        <v>44786.80496527778</v>
      </c>
      <c r="S23" s="47">
        <v>536.0</v>
      </c>
      <c r="T23" s="127">
        <v>44786.89162037037</v>
      </c>
      <c r="U23" s="47">
        <v>535.0</v>
      </c>
      <c r="V23" s="127">
        <v>44787.2040625</v>
      </c>
      <c r="W23" s="47">
        <v>536.0</v>
      </c>
      <c r="X23" s="127">
        <v>44787.1003125</v>
      </c>
      <c r="Y23" s="47">
        <v>538.0</v>
      </c>
      <c r="Z23" s="127">
        <v>44787.27038194444</v>
      </c>
      <c r="AA23" s="47">
        <v>545.0</v>
      </c>
      <c r="AB23" s="127">
        <v>44787.3865625</v>
      </c>
      <c r="AC23" s="47">
        <v>543.0</v>
      </c>
      <c r="AD23" s="127">
        <v>44787.14266203704</v>
      </c>
      <c r="AE23" s="47">
        <v>543.0</v>
      </c>
      <c r="AF23" s="127">
        <v>44787.22230324074</v>
      </c>
      <c r="AG23" s="126"/>
      <c r="AH23" s="126"/>
      <c r="AI23" s="126"/>
      <c r="AJ23" s="126"/>
      <c r="AK23" s="126"/>
      <c r="AL23" s="126"/>
      <c r="AM23" s="126"/>
    </row>
    <row r="24" ht="15.75" customHeight="1">
      <c r="A24" s="47">
        <v>528.0</v>
      </c>
      <c r="B24" s="127">
        <v>44786.26875</v>
      </c>
      <c r="C24" s="47">
        <v>528.0</v>
      </c>
      <c r="D24" s="127">
        <v>44786.32538194444</v>
      </c>
      <c r="E24" s="47">
        <v>528.0</v>
      </c>
      <c r="F24" s="127">
        <v>44786.40739583333</v>
      </c>
      <c r="G24" s="47">
        <v>601.0</v>
      </c>
      <c r="H24" s="127">
        <v>44786.44809027778</v>
      </c>
      <c r="I24" s="47">
        <v>528.0</v>
      </c>
      <c r="J24" s="127">
        <v>44786.5597337963</v>
      </c>
      <c r="K24" s="47">
        <v>528.0</v>
      </c>
      <c r="L24" s="127">
        <v>44786.63964120371</v>
      </c>
      <c r="M24" s="47">
        <v>531.0</v>
      </c>
      <c r="N24" s="127">
        <v>44786.775555555556</v>
      </c>
      <c r="O24" s="47">
        <v>529.0</v>
      </c>
      <c r="P24" s="127">
        <v>44786.69798611111</v>
      </c>
      <c r="Q24" s="47">
        <v>531.0</v>
      </c>
      <c r="R24" s="127">
        <v>44787.00711805555</v>
      </c>
      <c r="S24" s="47">
        <v>537.0</v>
      </c>
      <c r="T24" s="127">
        <v>44786.68534722222</v>
      </c>
      <c r="U24" s="47">
        <v>536.0</v>
      </c>
      <c r="V24" s="127">
        <v>44787.05422453704</v>
      </c>
      <c r="W24" s="47">
        <v>537.0</v>
      </c>
      <c r="X24" s="127">
        <v>44786.788125</v>
      </c>
      <c r="Y24" s="47">
        <v>543.0</v>
      </c>
      <c r="Z24" s="127">
        <v>44786.994791666664</v>
      </c>
      <c r="AA24" s="47">
        <v>546.0</v>
      </c>
      <c r="AB24" s="127">
        <v>44787.264502314814</v>
      </c>
      <c r="AC24" s="47">
        <v>545.0</v>
      </c>
      <c r="AD24" s="127">
        <v>44787.48234953704</v>
      </c>
      <c r="AE24" s="47">
        <v>545.0</v>
      </c>
      <c r="AF24" s="127">
        <v>44787.56466435185</v>
      </c>
      <c r="AG24" s="126"/>
      <c r="AH24" s="126"/>
      <c r="AI24" s="126"/>
      <c r="AJ24" s="126"/>
      <c r="AK24" s="126"/>
      <c r="AL24" s="126"/>
      <c r="AM24" s="126"/>
    </row>
    <row r="25" ht="15.75" customHeight="1">
      <c r="A25" s="47">
        <v>529.0</v>
      </c>
      <c r="B25" s="127">
        <v>44786.26828703703</v>
      </c>
      <c r="C25" s="47">
        <v>529.0</v>
      </c>
      <c r="D25" s="127">
        <v>44786.32487268518</v>
      </c>
      <c r="E25" s="47">
        <v>529.0</v>
      </c>
      <c r="F25" s="127">
        <v>44786.387395833335</v>
      </c>
      <c r="G25" s="47">
        <v>623.0</v>
      </c>
      <c r="H25" s="127">
        <v>44786.44809027778</v>
      </c>
      <c r="I25" s="47">
        <v>529.0</v>
      </c>
      <c r="J25" s="127">
        <v>44786.514444444445</v>
      </c>
      <c r="K25" s="47">
        <v>529.0</v>
      </c>
      <c r="L25" s="127">
        <v>44786.57003472222</v>
      </c>
      <c r="M25" s="47">
        <v>532.0</v>
      </c>
      <c r="N25" s="127">
        <v>44786.77553240741</v>
      </c>
      <c r="O25" s="47">
        <v>530.0</v>
      </c>
      <c r="P25" s="127">
        <v>44786.73523148148</v>
      </c>
      <c r="Q25" s="47">
        <v>534.0</v>
      </c>
      <c r="R25" s="127">
        <v>44786.91143518518</v>
      </c>
      <c r="S25" s="47">
        <v>538.0</v>
      </c>
      <c r="T25" s="127">
        <v>44787.05422453704</v>
      </c>
      <c r="U25" s="47">
        <v>537.0</v>
      </c>
      <c r="V25" s="127">
        <v>44786.728842592594</v>
      </c>
      <c r="W25" s="47">
        <v>538.0</v>
      </c>
      <c r="X25" s="127">
        <v>44787.208402777775</v>
      </c>
      <c r="Y25" s="47">
        <v>546.0</v>
      </c>
      <c r="Z25" s="127">
        <v>44787.174375</v>
      </c>
      <c r="AA25" s="47">
        <v>547.0</v>
      </c>
      <c r="AB25" s="127">
        <v>44787.283483796295</v>
      </c>
      <c r="AC25" s="47">
        <v>546.0</v>
      </c>
      <c r="AD25" s="127">
        <v>44787.35375</v>
      </c>
      <c r="AE25" s="47">
        <v>546.0</v>
      </c>
      <c r="AF25" s="127">
        <v>44787.44493055555</v>
      </c>
      <c r="AG25" s="126"/>
      <c r="AH25" s="126"/>
      <c r="AI25" s="126"/>
      <c r="AJ25" s="126"/>
      <c r="AK25" s="126"/>
      <c r="AL25" s="126"/>
      <c r="AM25" s="126"/>
    </row>
    <row r="26" ht="15.75" customHeight="1">
      <c r="A26" s="47">
        <v>530.0</v>
      </c>
      <c r="B26" s="127">
        <v>44786.264652777776</v>
      </c>
      <c r="C26" s="47">
        <v>530.0</v>
      </c>
      <c r="D26" s="127">
        <v>44786.32020833333</v>
      </c>
      <c r="E26" s="47">
        <v>530.0</v>
      </c>
      <c r="F26" s="127">
        <v>44786.387395833335</v>
      </c>
      <c r="G26" s="47">
        <v>629.0</v>
      </c>
      <c r="H26" s="127">
        <v>44786.44809027778</v>
      </c>
      <c r="I26" s="47">
        <v>530.0</v>
      </c>
      <c r="J26" s="127">
        <v>44786.52270833333</v>
      </c>
      <c r="K26" s="47">
        <v>530.0</v>
      </c>
      <c r="L26" s="127">
        <v>44786.59447916667</v>
      </c>
      <c r="M26" s="47">
        <v>534.0</v>
      </c>
      <c r="N26" s="127">
        <v>44786.7334375</v>
      </c>
      <c r="O26" s="47">
        <v>531.0</v>
      </c>
      <c r="P26" s="127">
        <v>44786.898043981484</v>
      </c>
      <c r="Q26" s="47">
        <v>535.0</v>
      </c>
      <c r="R26" s="127">
        <v>44786.93722222222</v>
      </c>
      <c r="S26" s="47">
        <v>543.0</v>
      </c>
      <c r="T26" s="127">
        <v>44786.82832175926</v>
      </c>
      <c r="U26" s="47">
        <v>538.0</v>
      </c>
      <c r="V26" s="127">
        <v>44787.12810185185</v>
      </c>
      <c r="W26" s="47">
        <v>543.0</v>
      </c>
      <c r="X26" s="127">
        <v>44786.96575231481</v>
      </c>
      <c r="Y26" s="47">
        <v>547.0</v>
      </c>
      <c r="Z26" s="127">
        <v>44787.20329861111</v>
      </c>
      <c r="AA26" s="47">
        <v>548.0</v>
      </c>
      <c r="AB26" s="127">
        <v>44787.35476851852</v>
      </c>
      <c r="AC26" s="47">
        <v>547.0</v>
      </c>
      <c r="AD26" s="127">
        <v>44787.39724537037</v>
      </c>
      <c r="AE26" s="47">
        <v>547.0</v>
      </c>
      <c r="AF26" s="127">
        <v>44787.496099537035</v>
      </c>
      <c r="AG26" s="126"/>
      <c r="AH26" s="126"/>
      <c r="AI26" s="126"/>
      <c r="AJ26" s="126"/>
      <c r="AK26" s="126"/>
      <c r="AL26" s="126"/>
      <c r="AM26" s="126"/>
    </row>
    <row r="27" ht="15.75" customHeight="1">
      <c r="A27" s="47">
        <v>531.0</v>
      </c>
      <c r="B27" s="127">
        <v>44786.27921296296</v>
      </c>
      <c r="C27" s="47">
        <v>531.0</v>
      </c>
      <c r="D27" s="127">
        <v>44786.35459490741</v>
      </c>
      <c r="E27" s="47">
        <v>531.0</v>
      </c>
      <c r="F27" s="127">
        <v>44786.420069444444</v>
      </c>
      <c r="G27" s="47">
        <v>640.0</v>
      </c>
      <c r="H27" s="127">
        <v>44786.44809027778</v>
      </c>
      <c r="I27" s="47">
        <v>531.0</v>
      </c>
      <c r="J27" s="127">
        <v>44786.60077546296</v>
      </c>
      <c r="K27" s="47">
        <v>531.0</v>
      </c>
      <c r="L27" s="127">
        <v>44786.68853009259</v>
      </c>
      <c r="M27" s="47">
        <v>535.0</v>
      </c>
      <c r="N27" s="127">
        <v>44786.73351851852</v>
      </c>
      <c r="O27" s="47">
        <v>532.0</v>
      </c>
      <c r="P27" s="127">
        <v>44786.812314814815</v>
      </c>
      <c r="Q27" s="47">
        <v>536.0</v>
      </c>
      <c r="R27" s="127">
        <v>44786.77233796296</v>
      </c>
      <c r="S27" s="47">
        <v>545.0</v>
      </c>
      <c r="T27" s="127">
        <v>44787.05422453704</v>
      </c>
      <c r="U27" s="47">
        <v>543.0</v>
      </c>
      <c r="V27" s="127">
        <v>44786.88298611111</v>
      </c>
      <c r="W27" s="47">
        <v>545.0</v>
      </c>
      <c r="X27" s="127">
        <v>44787.23878472222</v>
      </c>
      <c r="Y27" s="47">
        <v>548.0</v>
      </c>
      <c r="Z27" s="127">
        <v>44787.27027777778</v>
      </c>
      <c r="AA27" s="47">
        <v>549.0</v>
      </c>
      <c r="AB27" s="127">
        <v>44787.28346064815</v>
      </c>
      <c r="AC27" s="47">
        <v>548.0</v>
      </c>
      <c r="AD27" s="127">
        <v>44787.47782407407</v>
      </c>
      <c r="AE27" s="47">
        <v>548.0</v>
      </c>
      <c r="AF27" s="127">
        <v>44787.54771990741</v>
      </c>
      <c r="AG27" s="126"/>
      <c r="AH27" s="126"/>
      <c r="AI27" s="126"/>
      <c r="AJ27" s="126"/>
      <c r="AK27" s="126"/>
      <c r="AL27" s="126"/>
      <c r="AM27" s="126"/>
    </row>
    <row r="28" ht="15.75" customHeight="1">
      <c r="A28" s="47">
        <v>532.0</v>
      </c>
      <c r="B28" s="127">
        <v>44786.27885416667</v>
      </c>
      <c r="C28" s="47">
        <v>532.0</v>
      </c>
      <c r="D28" s="127">
        <v>44786.35480324074</v>
      </c>
      <c r="E28" s="47">
        <v>532.0</v>
      </c>
      <c r="F28" s="127">
        <v>44786.420069444444</v>
      </c>
      <c r="G28" s="47">
        <v>644.0</v>
      </c>
      <c r="H28" s="127">
        <v>44786.44809027778</v>
      </c>
      <c r="I28" s="47">
        <v>532.0</v>
      </c>
      <c r="J28" s="127">
        <v>44786.60082175926</v>
      </c>
      <c r="K28" s="47">
        <v>532.0</v>
      </c>
      <c r="L28" s="127">
        <v>44786.68848379629</v>
      </c>
      <c r="M28" s="47">
        <v>536.0</v>
      </c>
      <c r="N28" s="127">
        <v>44786.62391203704</v>
      </c>
      <c r="O28" s="47">
        <v>534.0</v>
      </c>
      <c r="P28" s="127">
        <v>44786.840532407405</v>
      </c>
      <c r="Q28" s="47">
        <v>537.0</v>
      </c>
      <c r="R28" s="127">
        <v>44786.62391203704</v>
      </c>
      <c r="S28" s="47">
        <v>546.0</v>
      </c>
      <c r="T28" s="127">
        <v>44786.935069444444</v>
      </c>
      <c r="U28" s="47">
        <v>545.0</v>
      </c>
      <c r="V28" s="127">
        <v>44787.12851851852</v>
      </c>
      <c r="W28" s="47">
        <v>546.0</v>
      </c>
      <c r="X28" s="127">
        <v>44787.11284722222</v>
      </c>
      <c r="Y28" s="47">
        <v>549.0</v>
      </c>
      <c r="Z28" s="127">
        <v>44787.19689814815</v>
      </c>
      <c r="AA28" s="47">
        <v>550.0</v>
      </c>
      <c r="AB28" s="127">
        <v>44787.24831018518</v>
      </c>
      <c r="AC28" s="47">
        <v>549.0</v>
      </c>
      <c r="AD28" s="127">
        <v>44787.395949074074</v>
      </c>
      <c r="AE28" s="47">
        <v>549.0</v>
      </c>
      <c r="AF28" s="127">
        <v>44787.484606481485</v>
      </c>
      <c r="AG28" s="126"/>
      <c r="AH28" s="126"/>
      <c r="AI28" s="126"/>
      <c r="AJ28" s="126"/>
      <c r="AK28" s="126"/>
      <c r="AL28" s="126"/>
      <c r="AM28" s="126"/>
    </row>
    <row r="29" ht="15.75" customHeight="1">
      <c r="A29" s="47">
        <v>534.0</v>
      </c>
      <c r="B29" s="127">
        <v>44786.278958333336</v>
      </c>
      <c r="C29" s="47">
        <v>534.0</v>
      </c>
      <c r="D29" s="127">
        <v>44786.354733796295</v>
      </c>
      <c r="E29" s="47">
        <v>534.0</v>
      </c>
      <c r="F29" s="127">
        <v>44786.420069444444</v>
      </c>
      <c r="G29" s="47">
        <v>650.0</v>
      </c>
      <c r="H29" s="127">
        <v>44786.44809027778</v>
      </c>
      <c r="I29" s="47">
        <v>534.0</v>
      </c>
      <c r="J29" s="127">
        <v>44786.593298611115</v>
      </c>
      <c r="K29" s="47">
        <v>534.0</v>
      </c>
      <c r="L29" s="127">
        <v>44786.67170138889</v>
      </c>
      <c r="M29" s="47">
        <v>537.0</v>
      </c>
      <c r="N29" s="127">
        <v>44786.51758101852</v>
      </c>
      <c r="O29" s="47">
        <v>535.0</v>
      </c>
      <c r="P29" s="127">
        <v>44786.84943287037</v>
      </c>
      <c r="Q29" s="47">
        <v>538.0</v>
      </c>
      <c r="R29" s="127">
        <v>44786.89450231481</v>
      </c>
      <c r="S29" s="47">
        <v>547.0</v>
      </c>
      <c r="T29" s="127">
        <v>44786.964375</v>
      </c>
      <c r="U29" s="47">
        <v>546.0</v>
      </c>
      <c r="V29" s="127">
        <v>44787.05422453704</v>
      </c>
      <c r="W29" s="47">
        <v>547.0</v>
      </c>
      <c r="X29" s="127">
        <v>44787.13597222222</v>
      </c>
      <c r="Y29" s="47">
        <v>550.0</v>
      </c>
      <c r="Z29" s="127">
        <v>44787.15826388889</v>
      </c>
      <c r="AA29" s="47">
        <v>553.0</v>
      </c>
      <c r="AB29" s="127">
        <v>44787.34322916667</v>
      </c>
      <c r="AC29" s="47">
        <v>550.0</v>
      </c>
      <c r="AD29" s="127">
        <v>44787.329050925924</v>
      </c>
      <c r="AE29" s="47">
        <v>550.0</v>
      </c>
      <c r="AF29" s="127">
        <v>44787.38418981482</v>
      </c>
      <c r="AG29" s="126"/>
      <c r="AH29" s="126"/>
      <c r="AI29" s="126"/>
      <c r="AJ29" s="126"/>
      <c r="AK29" s="126"/>
      <c r="AL29" s="126"/>
      <c r="AM29" s="126"/>
    </row>
    <row r="30" ht="15.75" customHeight="1">
      <c r="A30" s="47">
        <v>535.0</v>
      </c>
      <c r="B30" s="127">
        <v>44786.26490740741</v>
      </c>
      <c r="C30" s="47">
        <v>535.0</v>
      </c>
      <c r="D30" s="127">
        <v>44786.32105324074</v>
      </c>
      <c r="E30" s="47">
        <v>535.0</v>
      </c>
      <c r="F30" s="127">
        <v>44786.40739583333</v>
      </c>
      <c r="G30" s="47">
        <v>655.0</v>
      </c>
      <c r="H30" s="127">
        <v>44786.44809027778</v>
      </c>
      <c r="I30" s="47">
        <v>535.0</v>
      </c>
      <c r="J30" s="127">
        <v>44786.57508101852</v>
      </c>
      <c r="K30" s="47">
        <v>535.0</v>
      </c>
      <c r="L30" s="127">
        <v>44786.66002314815</v>
      </c>
      <c r="M30" s="47">
        <v>538.0</v>
      </c>
      <c r="N30" s="127">
        <v>44786.72283564815</v>
      </c>
      <c r="O30" s="47">
        <v>536.0</v>
      </c>
      <c r="P30" s="127">
        <v>44786.7137037037</v>
      </c>
      <c r="Q30" s="47">
        <v>543.0</v>
      </c>
      <c r="R30" s="127">
        <v>44786.74306712963</v>
      </c>
      <c r="S30" s="47">
        <v>548.0</v>
      </c>
      <c r="T30" s="127">
        <v>44787.05422453704</v>
      </c>
      <c r="U30" s="47">
        <v>547.0</v>
      </c>
      <c r="V30" s="127">
        <v>44787.05422453704</v>
      </c>
      <c r="W30" s="47">
        <v>548.0</v>
      </c>
      <c r="X30" s="127">
        <v>44787.20875</v>
      </c>
      <c r="Y30" s="47">
        <v>553.0</v>
      </c>
      <c r="Z30" s="127">
        <v>44787.240324074075</v>
      </c>
      <c r="AA30" s="47">
        <v>554.0</v>
      </c>
      <c r="AB30" s="127">
        <v>44787.42599537037</v>
      </c>
      <c r="AC30" s="47">
        <v>553.0</v>
      </c>
      <c r="AD30" s="127">
        <v>44787.477997685186</v>
      </c>
      <c r="AE30" s="47">
        <v>553.0</v>
      </c>
      <c r="AF30" s="127">
        <v>44787.564305555556</v>
      </c>
      <c r="AG30" s="126"/>
      <c r="AH30" s="126"/>
      <c r="AI30" s="126"/>
      <c r="AJ30" s="126"/>
      <c r="AK30" s="126"/>
      <c r="AL30" s="126"/>
      <c r="AM30" s="126"/>
    </row>
    <row r="31" ht="15.75" customHeight="1">
      <c r="A31" s="47">
        <v>536.0</v>
      </c>
      <c r="B31" s="127">
        <v>44786.26802083333</v>
      </c>
      <c r="C31" s="47">
        <v>536.0</v>
      </c>
      <c r="D31" s="127">
        <v>44786.32065972222</v>
      </c>
      <c r="E31" s="47">
        <v>536.0</v>
      </c>
      <c r="F31" s="127">
        <v>44786.387395833335</v>
      </c>
      <c r="G31" s="47">
        <v>683.0</v>
      </c>
      <c r="H31" s="127">
        <v>44786.44809027778</v>
      </c>
      <c r="I31" s="47">
        <v>536.0</v>
      </c>
      <c r="J31" s="127">
        <v>44786.504282407404</v>
      </c>
      <c r="K31" s="47">
        <v>536.0</v>
      </c>
      <c r="L31" s="127">
        <v>44786.56303240741</v>
      </c>
      <c r="M31" s="47">
        <v>539.0</v>
      </c>
      <c r="N31" s="127">
        <v>44786.829247685186</v>
      </c>
      <c r="O31" s="47">
        <v>537.0</v>
      </c>
      <c r="P31" s="127">
        <v>44786.57417824074</v>
      </c>
      <c r="Q31" s="47">
        <v>545.0</v>
      </c>
      <c r="R31" s="127">
        <v>44786.911469907405</v>
      </c>
      <c r="S31" s="47">
        <v>549.0</v>
      </c>
      <c r="T31" s="127">
        <v>44786.94291666667</v>
      </c>
      <c r="U31" s="47">
        <v>548.0</v>
      </c>
      <c r="V31" s="127">
        <v>44787.12814814815</v>
      </c>
      <c r="W31" s="47">
        <v>549.0</v>
      </c>
      <c r="X31" s="127">
        <v>44787.1358912037</v>
      </c>
      <c r="Y31" s="47">
        <v>554.0</v>
      </c>
      <c r="Z31" s="127">
        <v>44787.31690972222</v>
      </c>
      <c r="AA31" s="47">
        <v>559.0</v>
      </c>
      <c r="AB31" s="127">
        <v>44787.3777662037</v>
      </c>
      <c r="AC31" s="47">
        <v>554.0</v>
      </c>
      <c r="AD31" s="127">
        <v>44787.54300925926</v>
      </c>
      <c r="AE31" s="47">
        <v>554.0</v>
      </c>
      <c r="AF31" s="127">
        <v>44787.6271412037</v>
      </c>
      <c r="AG31" s="126"/>
      <c r="AH31" s="126"/>
      <c r="AI31" s="126"/>
      <c r="AJ31" s="126"/>
      <c r="AK31" s="126"/>
      <c r="AL31" s="126"/>
      <c r="AM31" s="126"/>
    </row>
    <row r="32" ht="15.75" customHeight="1">
      <c r="A32" s="47">
        <v>537.0</v>
      </c>
      <c r="B32" s="127">
        <v>44786.2527662037</v>
      </c>
      <c r="C32" s="47">
        <v>537.0</v>
      </c>
      <c r="D32" s="127">
        <v>44786.30033564815</v>
      </c>
      <c r="E32" s="47">
        <v>537.0</v>
      </c>
      <c r="F32" s="127">
        <v>44786.34201388889</v>
      </c>
      <c r="G32" s="47">
        <v>685.0</v>
      </c>
      <c r="H32" s="127">
        <v>44786.44809027778</v>
      </c>
      <c r="I32" s="47">
        <v>537.0</v>
      </c>
      <c r="J32" s="127">
        <v>44786.44809027778</v>
      </c>
      <c r="K32" s="47">
        <v>537.0</v>
      </c>
      <c r="L32" s="127">
        <v>44786.47975694444</v>
      </c>
      <c r="M32" s="47">
        <v>540.0</v>
      </c>
      <c r="N32" s="127">
        <v>44786.81322916667</v>
      </c>
      <c r="O32" s="47">
        <v>538.0</v>
      </c>
      <c r="P32" s="127">
        <v>44786.827465277776</v>
      </c>
      <c r="Q32" s="47">
        <v>546.0</v>
      </c>
      <c r="R32" s="127">
        <v>44786.84545138889</v>
      </c>
      <c r="S32" s="47">
        <v>550.0</v>
      </c>
      <c r="T32" s="127">
        <v>44786.91543981482</v>
      </c>
      <c r="U32" s="47">
        <v>549.0</v>
      </c>
      <c r="V32" s="127">
        <v>44787.05422453704</v>
      </c>
      <c r="W32" s="47">
        <v>550.0</v>
      </c>
      <c r="X32" s="127">
        <v>44787.106782407405</v>
      </c>
      <c r="Y32" s="47">
        <v>556.0</v>
      </c>
      <c r="Z32" s="127">
        <v>44787.382881944446</v>
      </c>
      <c r="AA32" s="47">
        <v>561.0</v>
      </c>
      <c r="AB32" s="127">
        <v>44787.11585648148</v>
      </c>
      <c r="AC32" s="47">
        <v>559.0</v>
      </c>
      <c r="AD32" s="127">
        <v>44787.49582175926</v>
      </c>
      <c r="AE32" s="47">
        <v>559.0</v>
      </c>
      <c r="AF32" s="127">
        <v>44787.5975</v>
      </c>
      <c r="AG32" s="126"/>
      <c r="AH32" s="126"/>
      <c r="AI32" s="126"/>
      <c r="AJ32" s="126"/>
      <c r="AK32" s="126"/>
      <c r="AL32" s="126"/>
      <c r="AM32" s="126"/>
    </row>
    <row r="33" ht="15.75" customHeight="1">
      <c r="A33" s="47">
        <v>538.0</v>
      </c>
      <c r="B33" s="127">
        <v>44786.273981481485</v>
      </c>
      <c r="C33" s="47">
        <v>538.0</v>
      </c>
      <c r="D33" s="127">
        <v>44786.347349537034</v>
      </c>
      <c r="E33" s="47">
        <v>538.0</v>
      </c>
      <c r="F33" s="127">
        <v>44786.420069444444</v>
      </c>
      <c r="G33" s="47">
        <v>702.0</v>
      </c>
      <c r="H33" s="127">
        <v>44786.44809027778</v>
      </c>
      <c r="I33" s="47">
        <v>538.0</v>
      </c>
      <c r="J33" s="127">
        <v>44786.58383101852</v>
      </c>
      <c r="K33" s="47">
        <v>538.0</v>
      </c>
      <c r="L33" s="127">
        <v>44786.656643518516</v>
      </c>
      <c r="M33" s="47">
        <v>542.0</v>
      </c>
      <c r="N33" s="127">
        <v>44786.76712962963</v>
      </c>
      <c r="O33" s="47">
        <v>539.0</v>
      </c>
      <c r="P33" s="127">
        <v>44786.97891203704</v>
      </c>
      <c r="Q33" s="47">
        <v>547.0</v>
      </c>
      <c r="R33" s="127">
        <v>44786.84570601852</v>
      </c>
      <c r="S33" s="47">
        <v>553.0</v>
      </c>
      <c r="T33" s="127">
        <v>44786.96471064815</v>
      </c>
      <c r="U33" s="47">
        <v>550.0</v>
      </c>
      <c r="V33" s="127">
        <v>44787.05422453704</v>
      </c>
      <c r="W33" s="47">
        <v>553.0</v>
      </c>
      <c r="X33" s="127">
        <v>44787.15671296296</v>
      </c>
      <c r="Y33" s="47">
        <v>559.0</v>
      </c>
      <c r="Z33" s="127">
        <v>44787.27337962963</v>
      </c>
      <c r="AA33" s="47">
        <v>562.0</v>
      </c>
      <c r="AB33" s="127">
        <v>44787.201157407406</v>
      </c>
      <c r="AC33" s="47">
        <v>561.0</v>
      </c>
      <c r="AD33" s="127">
        <v>44787.19577546296</v>
      </c>
      <c r="AE33" s="47">
        <v>561.0</v>
      </c>
      <c r="AF33" s="127">
        <v>44787.276087962964</v>
      </c>
      <c r="AG33" s="126"/>
      <c r="AH33" s="126"/>
      <c r="AI33" s="126"/>
      <c r="AJ33" s="126"/>
      <c r="AK33" s="126"/>
      <c r="AL33" s="126"/>
      <c r="AM33" s="126"/>
    </row>
    <row r="34" ht="15.75" customHeight="1">
      <c r="A34" s="47">
        <v>539.0</v>
      </c>
      <c r="B34" s="127">
        <v>44786.28858796296</v>
      </c>
      <c r="C34" s="47">
        <v>539.0</v>
      </c>
      <c r="D34" s="127">
        <v>44786.3702662037</v>
      </c>
      <c r="E34" s="47">
        <v>539.0</v>
      </c>
      <c r="F34" s="127">
        <v>44786.43677083333</v>
      </c>
      <c r="G34" s="47">
        <v>703.0</v>
      </c>
      <c r="H34" s="127">
        <v>44786.44809027778</v>
      </c>
      <c r="I34" s="47">
        <v>539.0</v>
      </c>
      <c r="J34" s="127">
        <v>44786.62391203704</v>
      </c>
      <c r="K34" s="47">
        <v>539.0</v>
      </c>
      <c r="L34" s="127">
        <v>44786.732395833336</v>
      </c>
      <c r="M34" s="47">
        <v>543.0</v>
      </c>
      <c r="N34" s="127">
        <v>44786.60465277778</v>
      </c>
      <c r="O34" s="47">
        <v>540.0</v>
      </c>
      <c r="P34" s="127">
        <v>44786.963217592594</v>
      </c>
      <c r="Q34" s="47">
        <v>548.0</v>
      </c>
      <c r="R34" s="127">
        <v>44786.91116898148</v>
      </c>
      <c r="S34" s="47">
        <v>554.0</v>
      </c>
      <c r="T34" s="127">
        <v>44787.05422453704</v>
      </c>
      <c r="U34" s="47">
        <v>553.0</v>
      </c>
      <c r="V34" s="127">
        <v>44787.05422453704</v>
      </c>
      <c r="W34" s="47">
        <v>554.0</v>
      </c>
      <c r="X34" s="127">
        <v>44787.254837962966</v>
      </c>
      <c r="Y34" s="47">
        <v>561.0</v>
      </c>
      <c r="Z34" s="127">
        <v>44787.05422453704</v>
      </c>
      <c r="AA34" s="47">
        <v>563.0</v>
      </c>
      <c r="AB34" s="127">
        <v>44787.05422453704</v>
      </c>
      <c r="AC34" s="47">
        <v>562.0</v>
      </c>
      <c r="AD34" s="127">
        <v>44787.328726851854</v>
      </c>
      <c r="AE34" s="47">
        <v>562.0</v>
      </c>
      <c r="AF34" s="127">
        <v>44787.415972222225</v>
      </c>
      <c r="AG34" s="126"/>
      <c r="AH34" s="126"/>
      <c r="AI34" s="126"/>
      <c r="AJ34" s="126"/>
      <c r="AK34" s="126"/>
      <c r="AL34" s="126"/>
      <c r="AM34" s="126"/>
    </row>
    <row r="35" ht="15.75" customHeight="1">
      <c r="A35" s="47">
        <v>540.0</v>
      </c>
      <c r="B35" s="127">
        <v>44786.2887962963</v>
      </c>
      <c r="C35" s="47">
        <v>540.0</v>
      </c>
      <c r="D35" s="127">
        <v>44786.3702662037</v>
      </c>
      <c r="E35" s="47">
        <v>540.0</v>
      </c>
      <c r="F35" s="127">
        <v>44786.45164351852</v>
      </c>
      <c r="G35" s="47">
        <v>708.0</v>
      </c>
      <c r="H35" s="127">
        <v>44786.44809027778</v>
      </c>
      <c r="I35" s="47">
        <v>540.0</v>
      </c>
      <c r="J35" s="127">
        <v>44786.64952546296</v>
      </c>
      <c r="K35" s="47">
        <v>540.0</v>
      </c>
      <c r="L35" s="127">
        <v>44786.732511574075</v>
      </c>
      <c r="M35" s="47">
        <v>545.0</v>
      </c>
      <c r="N35" s="127">
        <v>44786.73336805555</v>
      </c>
      <c r="O35" s="47">
        <v>542.0</v>
      </c>
      <c r="P35" s="127">
        <v>44786.88149305555</v>
      </c>
      <c r="Q35" s="47">
        <v>549.0</v>
      </c>
      <c r="R35" s="127">
        <v>44786.845729166664</v>
      </c>
      <c r="S35" s="47">
        <v>556.0</v>
      </c>
      <c r="T35" s="127">
        <v>44787.06229166667</v>
      </c>
      <c r="U35" s="47">
        <v>554.0</v>
      </c>
      <c r="V35" s="127">
        <v>44787.18534722222</v>
      </c>
      <c r="W35" s="47">
        <v>556.0</v>
      </c>
      <c r="X35" s="127">
        <v>44787.32665509259</v>
      </c>
      <c r="Y35" s="47">
        <v>562.0</v>
      </c>
      <c r="Z35" s="127">
        <v>44787.11208333333</v>
      </c>
      <c r="AA35" s="47">
        <v>564.0</v>
      </c>
      <c r="AB35" s="127">
        <v>44787.303391203706</v>
      </c>
      <c r="AC35" s="47">
        <v>563.0</v>
      </c>
      <c r="AD35" s="127">
        <v>44787.15640046296</v>
      </c>
      <c r="AE35" s="47">
        <v>563.0</v>
      </c>
      <c r="AF35" s="127">
        <v>44787.238125</v>
      </c>
      <c r="AG35" s="126"/>
      <c r="AH35" s="126"/>
      <c r="AI35" s="126"/>
      <c r="AJ35" s="126"/>
      <c r="AK35" s="126"/>
      <c r="AL35" s="126"/>
      <c r="AM35" s="126"/>
    </row>
    <row r="36" ht="15.75" customHeight="1">
      <c r="A36" s="47">
        <v>541.0</v>
      </c>
      <c r="B36" s="127">
        <v>44786.27856481481</v>
      </c>
      <c r="C36" s="47">
        <v>541.0</v>
      </c>
      <c r="D36" s="127">
        <v>44786.35443287037</v>
      </c>
      <c r="E36" s="47">
        <v>541.0</v>
      </c>
      <c r="F36" s="127">
        <v>44786.43677083333</v>
      </c>
      <c r="G36" s="47">
        <v>721.0</v>
      </c>
      <c r="H36" s="127">
        <v>44786.44809027778</v>
      </c>
      <c r="I36" s="47">
        <v>541.0</v>
      </c>
      <c r="J36" s="127">
        <v>44786.64003472222</v>
      </c>
      <c r="K36" s="47">
        <v>541.0</v>
      </c>
      <c r="L36" s="127">
        <v>44786.73248842593</v>
      </c>
      <c r="M36" s="47">
        <v>546.0</v>
      </c>
      <c r="N36" s="127">
        <v>44786.67306712963</v>
      </c>
      <c r="O36" s="47">
        <v>543.0</v>
      </c>
      <c r="P36" s="127">
        <v>44786.688125</v>
      </c>
      <c r="Q36" s="47">
        <v>550.0</v>
      </c>
      <c r="R36" s="127">
        <v>44786.823530092595</v>
      </c>
      <c r="S36" s="47">
        <v>559.0</v>
      </c>
      <c r="T36" s="127">
        <v>44786.990335648145</v>
      </c>
      <c r="U36" s="47">
        <v>556.0</v>
      </c>
      <c r="V36" s="127">
        <v>44787.18577546296</v>
      </c>
      <c r="W36" s="47">
        <v>559.0</v>
      </c>
      <c r="X36" s="127">
        <v>44787.199375</v>
      </c>
      <c r="Y36" s="47">
        <v>563.0</v>
      </c>
      <c r="Z36" s="127">
        <v>44786.98935185185</v>
      </c>
      <c r="AA36" s="47">
        <v>565.0</v>
      </c>
      <c r="AB36" s="127">
        <v>44787.26447916667</v>
      </c>
      <c r="AC36" s="47">
        <v>564.0</v>
      </c>
      <c r="AD36" s="127">
        <v>44787.428715277776</v>
      </c>
      <c r="AE36" s="47">
        <v>564.0</v>
      </c>
      <c r="AF36" s="127">
        <v>44787.52228009259</v>
      </c>
      <c r="AG36" s="126"/>
      <c r="AH36" s="126"/>
      <c r="AI36" s="126"/>
      <c r="AJ36" s="126"/>
      <c r="AK36" s="126"/>
      <c r="AL36" s="126"/>
      <c r="AM36" s="126"/>
    </row>
    <row r="37" ht="15.75" customHeight="1">
      <c r="A37" s="47">
        <v>542.0</v>
      </c>
      <c r="B37" s="127">
        <v>44786.27483796296</v>
      </c>
      <c r="C37" s="47">
        <v>542.0</v>
      </c>
      <c r="D37" s="127">
        <v>44786.34710648148</v>
      </c>
      <c r="E37" s="47">
        <v>542.0</v>
      </c>
      <c r="F37" s="127">
        <v>44786.40752314815</v>
      </c>
      <c r="G37" s="47">
        <v>731.0</v>
      </c>
      <c r="H37" s="127">
        <v>44786.44809027778</v>
      </c>
      <c r="I37" s="47">
        <v>542.0</v>
      </c>
      <c r="J37" s="127">
        <v>44786.59752314815</v>
      </c>
      <c r="K37" s="47">
        <v>542.0</v>
      </c>
      <c r="L37" s="127">
        <v>44786.68347222222</v>
      </c>
      <c r="M37" s="47">
        <v>547.0</v>
      </c>
      <c r="N37" s="127">
        <v>44786.690300925926</v>
      </c>
      <c r="O37" s="47">
        <v>545.0</v>
      </c>
      <c r="P37" s="127">
        <v>44786.84055555556</v>
      </c>
      <c r="Q37" s="47">
        <v>553.0</v>
      </c>
      <c r="R37" s="127">
        <v>44786.84552083333</v>
      </c>
      <c r="S37" s="47">
        <v>561.0</v>
      </c>
      <c r="T37" s="127">
        <v>44786.8296875</v>
      </c>
      <c r="U37" s="47">
        <v>559.0</v>
      </c>
      <c r="V37" s="127">
        <v>44787.09974537037</v>
      </c>
      <c r="W37" s="47">
        <v>561.0</v>
      </c>
      <c r="X37" s="127">
        <v>44786.97782407407</v>
      </c>
      <c r="Y37" s="47">
        <v>564.0</v>
      </c>
      <c r="Z37" s="127">
        <v>44787.20334490741</v>
      </c>
      <c r="AA37" s="47">
        <v>567.0</v>
      </c>
      <c r="AB37" s="127">
        <v>44787.1578125</v>
      </c>
      <c r="AC37" s="47">
        <v>565.0</v>
      </c>
      <c r="AD37" s="127">
        <v>44787.39221064815</v>
      </c>
      <c r="AE37" s="47">
        <v>565.0</v>
      </c>
      <c r="AF37" s="127">
        <v>44787.465416666666</v>
      </c>
      <c r="AG37" s="126"/>
      <c r="AH37" s="126"/>
      <c r="AI37" s="126"/>
      <c r="AJ37" s="126"/>
      <c r="AK37" s="126"/>
      <c r="AL37" s="126"/>
      <c r="AM37" s="126"/>
    </row>
    <row r="38" ht="15.75" customHeight="1">
      <c r="A38" s="47">
        <v>543.0</v>
      </c>
      <c r="B38" s="127">
        <v>44786.261712962965</v>
      </c>
      <c r="C38" s="47">
        <v>543.0</v>
      </c>
      <c r="D38" s="127">
        <v>44786.31099537037</v>
      </c>
      <c r="E38" s="47">
        <v>543.0</v>
      </c>
      <c r="F38" s="127">
        <v>44786.3702662037</v>
      </c>
      <c r="G38" s="47">
        <v>588.0</v>
      </c>
      <c r="H38" s="127">
        <v>44786.45291666667</v>
      </c>
      <c r="I38" s="47">
        <v>543.0</v>
      </c>
      <c r="J38" s="127">
        <v>44786.49358796296</v>
      </c>
      <c r="K38" s="47">
        <v>543.0</v>
      </c>
      <c r="L38" s="127">
        <v>44786.55403935185</v>
      </c>
      <c r="M38" s="47">
        <v>548.0</v>
      </c>
      <c r="N38" s="127">
        <v>44786.72273148148</v>
      </c>
      <c r="O38" s="47">
        <v>546.0</v>
      </c>
      <c r="P38" s="127">
        <v>44786.77486111111</v>
      </c>
      <c r="Q38" s="47">
        <v>554.0</v>
      </c>
      <c r="R38" s="127">
        <v>44786.928090277775</v>
      </c>
      <c r="S38" s="47">
        <v>562.0</v>
      </c>
      <c r="T38" s="127">
        <v>44786.870405092595</v>
      </c>
      <c r="U38" s="47">
        <v>561.0</v>
      </c>
      <c r="V38" s="127">
        <v>44786.916041666664</v>
      </c>
      <c r="W38" s="47">
        <v>562.0</v>
      </c>
      <c r="X38" s="127">
        <v>44787.05422453704</v>
      </c>
      <c r="Y38" s="47">
        <v>565.0</v>
      </c>
      <c r="Z38" s="127">
        <v>44787.16707175926</v>
      </c>
      <c r="AA38" s="47">
        <v>569.0</v>
      </c>
      <c r="AB38" s="127">
        <v>44787.331458333334</v>
      </c>
      <c r="AC38" s="47">
        <v>567.0</v>
      </c>
      <c r="AD38" s="127">
        <v>44787.25287037037</v>
      </c>
      <c r="AE38" s="47">
        <v>567.0</v>
      </c>
      <c r="AF38" s="127">
        <v>44787.323541666665</v>
      </c>
      <c r="AG38" s="126"/>
      <c r="AH38" s="126"/>
      <c r="AI38" s="126"/>
      <c r="AJ38" s="126"/>
      <c r="AK38" s="126"/>
      <c r="AL38" s="126"/>
      <c r="AM38" s="126"/>
    </row>
    <row r="39" ht="15.75" customHeight="1">
      <c r="A39" s="47">
        <v>545.0</v>
      </c>
      <c r="B39" s="127">
        <v>44786.27476851852</v>
      </c>
      <c r="C39" s="47">
        <v>545.0</v>
      </c>
      <c r="D39" s="127">
        <v>44786.354525462964</v>
      </c>
      <c r="E39" s="47">
        <v>545.0</v>
      </c>
      <c r="F39" s="127">
        <v>44786.420069444444</v>
      </c>
      <c r="G39" s="47">
        <v>728.0</v>
      </c>
      <c r="H39" s="127">
        <v>44786.452939814815</v>
      </c>
      <c r="I39" s="47">
        <v>545.0</v>
      </c>
      <c r="J39" s="127">
        <v>44786.593252314815</v>
      </c>
      <c r="K39" s="47">
        <v>545.0</v>
      </c>
      <c r="L39" s="127">
        <v>44786.67172453704</v>
      </c>
      <c r="M39" s="47">
        <v>549.0</v>
      </c>
      <c r="N39" s="127">
        <v>44786.69027777778</v>
      </c>
      <c r="O39" s="47">
        <v>547.0</v>
      </c>
      <c r="P39" s="127">
        <v>44786.783530092594</v>
      </c>
      <c r="Q39" s="47">
        <v>556.0</v>
      </c>
      <c r="R39" s="127">
        <v>44786.918900462966</v>
      </c>
      <c r="S39" s="47">
        <v>563.0</v>
      </c>
      <c r="T39" s="127">
        <v>44786.78475694444</v>
      </c>
      <c r="U39" s="47">
        <v>562.0</v>
      </c>
      <c r="V39" s="127">
        <v>44786.941782407404</v>
      </c>
      <c r="W39" s="47">
        <v>563.0</v>
      </c>
      <c r="X39" s="127">
        <v>44786.931342592594</v>
      </c>
      <c r="Y39" s="47">
        <v>567.0</v>
      </c>
      <c r="Z39" s="127">
        <v>44787.091886574075</v>
      </c>
      <c r="AA39" s="47">
        <v>571.0</v>
      </c>
      <c r="AB39" s="127">
        <v>44787.38658564815</v>
      </c>
      <c r="AC39" s="47">
        <v>569.0</v>
      </c>
      <c r="AD39" s="127">
        <v>44787.44148148148</v>
      </c>
      <c r="AE39" s="47">
        <v>569.0</v>
      </c>
      <c r="AF39" s="127">
        <v>44787.53533564815</v>
      </c>
      <c r="AG39" s="126"/>
      <c r="AH39" s="126"/>
      <c r="AI39" s="126"/>
      <c r="AJ39" s="126"/>
      <c r="AK39" s="126"/>
      <c r="AL39" s="126"/>
      <c r="AM39" s="126"/>
    </row>
    <row r="40" ht="15.75" customHeight="1">
      <c r="A40" s="47">
        <v>546.0</v>
      </c>
      <c r="B40" s="127">
        <v>44786.270844907405</v>
      </c>
      <c r="C40" s="47">
        <v>546.0</v>
      </c>
      <c r="D40" s="127">
        <v>44786.33079861111</v>
      </c>
      <c r="E40" s="47">
        <v>546.0</v>
      </c>
      <c r="F40" s="127">
        <v>44786.40739583333</v>
      </c>
      <c r="G40" s="47">
        <v>529.0</v>
      </c>
      <c r="H40" s="127">
        <v>44786.45297453704</v>
      </c>
      <c r="I40" s="47">
        <v>546.0</v>
      </c>
      <c r="J40" s="127">
        <v>44786.54199074074</v>
      </c>
      <c r="K40" s="47">
        <v>546.0</v>
      </c>
      <c r="L40" s="127">
        <v>44786.60863425926</v>
      </c>
      <c r="M40" s="47">
        <v>550.0</v>
      </c>
      <c r="N40" s="127">
        <v>44786.67303240741</v>
      </c>
      <c r="O40" s="47">
        <v>548.0</v>
      </c>
      <c r="P40" s="127">
        <v>44786.830717592595</v>
      </c>
      <c r="Q40" s="47">
        <v>559.0</v>
      </c>
      <c r="R40" s="127">
        <v>44786.875706018516</v>
      </c>
      <c r="S40" s="47">
        <v>564.0</v>
      </c>
      <c r="T40" s="127">
        <v>44786.935</v>
      </c>
      <c r="U40" s="47">
        <v>563.0</v>
      </c>
      <c r="V40" s="127">
        <v>44786.84887731481</v>
      </c>
      <c r="W40" s="47">
        <v>564.0</v>
      </c>
      <c r="X40" s="127">
        <v>44787.13601851852</v>
      </c>
      <c r="Y40" s="47">
        <v>569.0</v>
      </c>
      <c r="Z40" s="127">
        <v>44787.23625</v>
      </c>
      <c r="AA40" s="47">
        <v>575.0</v>
      </c>
      <c r="AB40" s="127">
        <v>44787.30369212963</v>
      </c>
      <c r="AC40" s="47">
        <v>571.0</v>
      </c>
      <c r="AD40" s="127">
        <v>44787.495775462965</v>
      </c>
      <c r="AE40" s="47">
        <v>571.0</v>
      </c>
      <c r="AF40" s="127">
        <v>44787.59724537037</v>
      </c>
      <c r="AG40" s="126"/>
      <c r="AH40" s="126"/>
      <c r="AI40" s="126"/>
      <c r="AJ40" s="126"/>
      <c r="AK40" s="126"/>
      <c r="AL40" s="126"/>
      <c r="AM40" s="126"/>
    </row>
    <row r="41" ht="15.75" customHeight="1">
      <c r="A41" s="47">
        <v>547.0</v>
      </c>
      <c r="B41" s="127">
        <v>44786.271053240744</v>
      </c>
      <c r="C41" s="47">
        <v>547.0</v>
      </c>
      <c r="D41" s="127">
        <v>44786.3315162037</v>
      </c>
      <c r="E41" s="47">
        <v>547.0</v>
      </c>
      <c r="F41" s="127">
        <v>44786.40739583333</v>
      </c>
      <c r="G41" s="47">
        <v>611.0</v>
      </c>
      <c r="H41" s="127">
        <v>44786.45300925926</v>
      </c>
      <c r="I41" s="47">
        <v>547.0</v>
      </c>
      <c r="J41" s="127">
        <v>44786.55670138889</v>
      </c>
      <c r="K41" s="47">
        <v>547.0</v>
      </c>
      <c r="L41" s="127">
        <v>44786.6333912037</v>
      </c>
      <c r="M41" s="47">
        <v>553.0</v>
      </c>
      <c r="N41" s="127">
        <v>44786.68744212963</v>
      </c>
      <c r="O41" s="47">
        <v>549.0</v>
      </c>
      <c r="P41" s="127">
        <v>44786.78356481482</v>
      </c>
      <c r="Q41" s="47">
        <v>561.0</v>
      </c>
      <c r="R41" s="127">
        <v>44786.760671296295</v>
      </c>
      <c r="S41" s="47">
        <v>565.0</v>
      </c>
      <c r="T41" s="127">
        <v>44786.910046296296</v>
      </c>
      <c r="U41" s="47">
        <v>564.0</v>
      </c>
      <c r="V41" s="127">
        <v>44787.05422453704</v>
      </c>
      <c r="W41" s="47">
        <v>565.0</v>
      </c>
      <c r="X41" s="127">
        <v>44787.16579861111</v>
      </c>
      <c r="Y41" s="47">
        <v>571.0</v>
      </c>
      <c r="Z41" s="127">
        <v>44787.27328703704</v>
      </c>
      <c r="AA41" s="47">
        <v>577.0</v>
      </c>
      <c r="AB41" s="127">
        <v>44787.343252314815</v>
      </c>
      <c r="AC41" s="47">
        <v>575.0</v>
      </c>
      <c r="AD41" s="127">
        <v>44787.42847222222</v>
      </c>
      <c r="AE41" s="47">
        <v>575.0</v>
      </c>
      <c r="AF41" s="127">
        <v>44787.503275462965</v>
      </c>
      <c r="AG41" s="126"/>
      <c r="AH41" s="126"/>
      <c r="AI41" s="126"/>
      <c r="AJ41" s="126"/>
      <c r="AK41" s="126"/>
      <c r="AL41" s="126"/>
      <c r="AM41" s="126"/>
    </row>
    <row r="42" ht="15.75" customHeight="1">
      <c r="A42" s="47">
        <v>549.0</v>
      </c>
      <c r="B42" s="127">
        <v>44786.27103009259</v>
      </c>
      <c r="C42" s="47">
        <v>548.0</v>
      </c>
      <c r="D42" s="127">
        <v>44786.34769675926</v>
      </c>
      <c r="E42" s="47">
        <v>548.0</v>
      </c>
      <c r="F42" s="127">
        <v>44786.420069444444</v>
      </c>
      <c r="G42" s="47">
        <v>711.0</v>
      </c>
      <c r="H42" s="127">
        <v>44786.45303240741</v>
      </c>
      <c r="I42" s="47">
        <v>548.0</v>
      </c>
      <c r="J42" s="127">
        <v>44786.5790162037</v>
      </c>
      <c r="K42" s="47">
        <v>548.0</v>
      </c>
      <c r="L42" s="127">
        <v>44786.65759259259</v>
      </c>
      <c r="M42" s="47">
        <v>554.0</v>
      </c>
      <c r="N42" s="127">
        <v>44786.73349537037</v>
      </c>
      <c r="O42" s="47">
        <v>550.0</v>
      </c>
      <c r="P42" s="127">
        <v>44786.774722222224</v>
      </c>
      <c r="Q42" s="47">
        <v>562.0</v>
      </c>
      <c r="R42" s="127">
        <v>44786.78545138889</v>
      </c>
      <c r="S42" s="47">
        <v>567.0</v>
      </c>
      <c r="T42" s="127">
        <v>44786.880625</v>
      </c>
      <c r="U42" s="47">
        <v>565.0</v>
      </c>
      <c r="V42" s="127">
        <v>44787.05422453704</v>
      </c>
      <c r="W42" s="47">
        <v>567.0</v>
      </c>
      <c r="X42" s="127">
        <v>44787.05422453704</v>
      </c>
      <c r="Y42" s="47">
        <v>575.0</v>
      </c>
      <c r="Z42" s="127">
        <v>44787.203252314815</v>
      </c>
      <c r="AA42" s="47">
        <v>580.0</v>
      </c>
      <c r="AB42" s="127">
        <v>44787.396215277775</v>
      </c>
      <c r="AC42" s="47">
        <v>577.0</v>
      </c>
      <c r="AD42" s="127">
        <v>44787.45427083333</v>
      </c>
      <c r="AE42" s="47">
        <v>577.0</v>
      </c>
      <c r="AF42" s="127">
        <v>44787.53537037037</v>
      </c>
      <c r="AG42" s="126"/>
      <c r="AH42" s="126"/>
      <c r="AI42" s="126"/>
      <c r="AJ42" s="126"/>
      <c r="AK42" s="126"/>
      <c r="AL42" s="126"/>
      <c r="AM42" s="126"/>
    </row>
    <row r="43" ht="15.75" customHeight="1">
      <c r="A43" s="47">
        <v>550.0</v>
      </c>
      <c r="B43" s="127">
        <v>44786.26844907407</v>
      </c>
      <c r="C43" s="47">
        <v>549.0</v>
      </c>
      <c r="D43" s="127">
        <v>44786.30037037037</v>
      </c>
      <c r="E43" s="47">
        <v>549.0</v>
      </c>
      <c r="F43" s="127">
        <v>44786.40739583333</v>
      </c>
      <c r="G43" s="47">
        <v>687.0</v>
      </c>
      <c r="H43" s="127">
        <v>44786.45306712963</v>
      </c>
      <c r="I43" s="47">
        <v>549.0</v>
      </c>
      <c r="J43" s="127">
        <v>44786.55674768519</v>
      </c>
      <c r="K43" s="47">
        <v>549.0</v>
      </c>
      <c r="L43" s="127">
        <v>44786.63337962963</v>
      </c>
      <c r="M43" s="47">
        <v>556.0</v>
      </c>
      <c r="N43" s="127">
        <v>44786.71063657408</v>
      </c>
      <c r="O43" s="47">
        <v>553.0</v>
      </c>
      <c r="P43" s="127">
        <v>44786.78320601852</v>
      </c>
      <c r="Q43" s="47">
        <v>563.0</v>
      </c>
      <c r="R43" s="127">
        <v>44786.69744212963</v>
      </c>
      <c r="S43" s="47">
        <v>568.0</v>
      </c>
      <c r="T43" s="127">
        <v>44786.93498842593</v>
      </c>
      <c r="U43" s="47">
        <v>567.0</v>
      </c>
      <c r="V43" s="127">
        <v>44786.972453703704</v>
      </c>
      <c r="W43" s="47">
        <v>568.0</v>
      </c>
      <c r="X43" s="127">
        <v>44787.136296296296</v>
      </c>
      <c r="Y43" s="47">
        <v>577.0</v>
      </c>
      <c r="Z43" s="127">
        <v>44787.259618055556</v>
      </c>
      <c r="AA43" s="47">
        <v>582.0</v>
      </c>
      <c r="AB43" s="127">
        <v>44787.36525462963</v>
      </c>
      <c r="AC43" s="47">
        <v>580.0</v>
      </c>
      <c r="AD43" s="127">
        <v>44787.48804398148</v>
      </c>
      <c r="AE43" s="47">
        <v>580.0</v>
      </c>
      <c r="AF43" s="127">
        <v>44787.597291666665</v>
      </c>
      <c r="AG43" s="126"/>
      <c r="AH43" s="126"/>
      <c r="AI43" s="126"/>
      <c r="AJ43" s="126"/>
      <c r="AK43" s="126"/>
      <c r="AL43" s="126"/>
      <c r="AM43" s="126"/>
    </row>
    <row r="44" ht="15.75" customHeight="1">
      <c r="A44" s="47">
        <v>552.0</v>
      </c>
      <c r="B44" s="127">
        <v>44786.26865740741</v>
      </c>
      <c r="C44" s="47">
        <v>550.0</v>
      </c>
      <c r="D44" s="127">
        <v>44786.325208333335</v>
      </c>
      <c r="E44" s="47">
        <v>550.0</v>
      </c>
      <c r="F44" s="127">
        <v>44786.40739583333</v>
      </c>
      <c r="G44" s="47">
        <v>662.0</v>
      </c>
      <c r="H44" s="127">
        <v>44786.458020833335</v>
      </c>
      <c r="I44" s="47">
        <v>550.0</v>
      </c>
      <c r="J44" s="127">
        <v>44786.5480787037</v>
      </c>
      <c r="K44" s="47">
        <v>550.0</v>
      </c>
      <c r="L44" s="127">
        <v>44786.62391203704</v>
      </c>
      <c r="M44" s="47">
        <v>558.0</v>
      </c>
      <c r="N44" s="127">
        <v>44786.77972222222</v>
      </c>
      <c r="O44" s="47">
        <v>554.0</v>
      </c>
      <c r="P44" s="127">
        <v>44786.84071759259</v>
      </c>
      <c r="Q44" s="47">
        <v>564.0</v>
      </c>
      <c r="R44" s="127">
        <v>44786.82346064815</v>
      </c>
      <c r="S44" s="47">
        <v>569.0</v>
      </c>
      <c r="T44" s="127">
        <v>44786.964780092596</v>
      </c>
      <c r="U44" s="47">
        <v>568.0</v>
      </c>
      <c r="V44" s="127">
        <v>44787.05422453704</v>
      </c>
      <c r="W44" s="47">
        <v>569.0</v>
      </c>
      <c r="X44" s="127">
        <v>44787.15658564815</v>
      </c>
      <c r="Y44" s="47">
        <v>580.0</v>
      </c>
      <c r="Z44" s="127">
        <v>44787.30538194445</v>
      </c>
      <c r="AA44" s="47">
        <v>583.0</v>
      </c>
      <c r="AB44" s="127">
        <v>44787.23778935185</v>
      </c>
      <c r="AC44" s="47">
        <v>582.0</v>
      </c>
      <c r="AD44" s="127">
        <v>44787.48762731482</v>
      </c>
      <c r="AE44" s="47">
        <v>582.0</v>
      </c>
      <c r="AF44" s="127">
        <v>44787.57981481482</v>
      </c>
      <c r="AG44" s="126"/>
      <c r="AH44" s="126"/>
      <c r="AI44" s="126"/>
      <c r="AJ44" s="126"/>
      <c r="AK44" s="126"/>
      <c r="AL44" s="126"/>
      <c r="AM44" s="126"/>
    </row>
    <row r="45" ht="15.75" customHeight="1">
      <c r="A45" s="47">
        <v>553.0</v>
      </c>
      <c r="B45" s="127">
        <v>44786.270590277774</v>
      </c>
      <c r="C45" s="47">
        <v>552.0</v>
      </c>
      <c r="D45" s="127">
        <v>44786.33085648148</v>
      </c>
      <c r="E45" s="47">
        <v>552.0</v>
      </c>
      <c r="F45" s="127">
        <v>44786.420069444444</v>
      </c>
      <c r="G45" s="47">
        <v>715.0</v>
      </c>
      <c r="H45" s="127">
        <v>44786.45806712963</v>
      </c>
      <c r="I45" s="47">
        <v>553.0</v>
      </c>
      <c r="J45" s="127">
        <v>44786.55685185185</v>
      </c>
      <c r="K45" s="47">
        <v>553.0</v>
      </c>
      <c r="L45" s="127">
        <v>44786.63344907408</v>
      </c>
      <c r="M45" s="47">
        <v>559.0</v>
      </c>
      <c r="N45" s="127">
        <v>44786.70245370371</v>
      </c>
      <c r="O45" s="47">
        <v>556.0</v>
      </c>
      <c r="P45" s="127">
        <v>44786.830729166664</v>
      </c>
      <c r="Q45" s="47">
        <v>565.0</v>
      </c>
      <c r="R45" s="127">
        <v>44786.760671296295</v>
      </c>
      <c r="S45" s="47">
        <v>570.0</v>
      </c>
      <c r="T45" s="127">
        <v>44787.07202546296</v>
      </c>
      <c r="U45" s="47">
        <v>569.0</v>
      </c>
      <c r="V45" s="127">
        <v>44787.05422453704</v>
      </c>
      <c r="W45" s="47">
        <v>571.0</v>
      </c>
      <c r="X45" s="127">
        <v>44787.20866898148</v>
      </c>
      <c r="Y45" s="47">
        <v>582.0</v>
      </c>
      <c r="Z45" s="127">
        <v>44787.27653935185</v>
      </c>
      <c r="AA45" s="47">
        <v>585.0</v>
      </c>
      <c r="AB45" s="127">
        <v>44787.2833912037</v>
      </c>
      <c r="AC45" s="47">
        <v>583.0</v>
      </c>
      <c r="AD45" s="127">
        <v>44787.35023148148</v>
      </c>
      <c r="AE45" s="47">
        <v>583.0</v>
      </c>
      <c r="AF45" s="127">
        <v>44787.44498842592</v>
      </c>
      <c r="AG45" s="126"/>
      <c r="AH45" s="126"/>
      <c r="AI45" s="126"/>
      <c r="AJ45" s="126"/>
      <c r="AK45" s="126"/>
      <c r="AL45" s="126"/>
      <c r="AM45" s="126"/>
    </row>
    <row r="46" ht="15.75" customHeight="1">
      <c r="A46" s="47">
        <v>554.0</v>
      </c>
      <c r="B46" s="127">
        <v>44786.27885416667</v>
      </c>
      <c r="C46" s="47">
        <v>554.0</v>
      </c>
      <c r="D46" s="127">
        <v>44786.3702662037</v>
      </c>
      <c r="E46" s="47">
        <v>553.0</v>
      </c>
      <c r="F46" s="127">
        <v>44786.40739583333</v>
      </c>
      <c r="G46" s="47">
        <v>631.0</v>
      </c>
      <c r="H46" s="127">
        <v>44786.458090277774</v>
      </c>
      <c r="I46" s="47">
        <v>554.0</v>
      </c>
      <c r="J46" s="127">
        <v>44786.59747685185</v>
      </c>
      <c r="K46" s="47">
        <v>554.0</v>
      </c>
      <c r="L46" s="127">
        <v>44786.671689814815</v>
      </c>
      <c r="M46" s="47">
        <v>561.0</v>
      </c>
      <c r="N46" s="127">
        <v>44786.613344907404</v>
      </c>
      <c r="O46" s="47">
        <v>559.0</v>
      </c>
      <c r="P46" s="127">
        <v>44786.8121875</v>
      </c>
      <c r="Q46" s="47">
        <v>566.0</v>
      </c>
      <c r="R46" s="127">
        <v>44786.96025462963</v>
      </c>
      <c r="S46" s="47">
        <v>571.0</v>
      </c>
      <c r="T46" s="127">
        <v>44786.99065972222</v>
      </c>
      <c r="U46" s="47">
        <v>570.0</v>
      </c>
      <c r="V46" s="127">
        <v>44787.18581018518</v>
      </c>
      <c r="W46" s="47">
        <v>575.0</v>
      </c>
      <c r="X46" s="127">
        <v>44787.13616898148</v>
      </c>
      <c r="Y46" s="47">
        <v>583.0</v>
      </c>
      <c r="Z46" s="127">
        <v>44787.16701388889</v>
      </c>
      <c r="AA46" s="47">
        <v>590.0</v>
      </c>
      <c r="AB46" s="127">
        <v>44787.46605324074</v>
      </c>
      <c r="AC46" s="47">
        <v>585.0</v>
      </c>
      <c r="AD46" s="127">
        <v>44787.35023148148</v>
      </c>
      <c r="AE46" s="47">
        <v>585.0</v>
      </c>
      <c r="AF46" s="127">
        <v>44787.42820601852</v>
      </c>
      <c r="AG46" s="126"/>
      <c r="AH46" s="126"/>
      <c r="AI46" s="126"/>
      <c r="AJ46" s="126"/>
      <c r="AK46" s="126"/>
      <c r="AL46" s="126"/>
      <c r="AM46" s="126"/>
    </row>
    <row r="47" ht="15.75" customHeight="1">
      <c r="A47" s="47">
        <v>556.0</v>
      </c>
      <c r="B47" s="127">
        <v>44786.264398148145</v>
      </c>
      <c r="C47" s="47">
        <v>556.0</v>
      </c>
      <c r="D47" s="127">
        <v>44786.31993055555</v>
      </c>
      <c r="E47" s="47">
        <v>554.0</v>
      </c>
      <c r="F47" s="127">
        <v>44786.43677083333</v>
      </c>
      <c r="G47" s="47">
        <v>562.0</v>
      </c>
      <c r="H47" s="127">
        <v>44786.45810185185</v>
      </c>
      <c r="I47" s="47">
        <v>556.0</v>
      </c>
      <c r="J47" s="127">
        <v>44786.553298611114</v>
      </c>
      <c r="K47" s="47">
        <v>556.0</v>
      </c>
      <c r="L47" s="127">
        <v>44786.63964120371</v>
      </c>
      <c r="M47" s="47">
        <v>562.0</v>
      </c>
      <c r="N47" s="127">
        <v>44786.633356481485</v>
      </c>
      <c r="O47" s="47">
        <v>561.0</v>
      </c>
      <c r="P47" s="127">
        <v>44786.69802083333</v>
      </c>
      <c r="Q47" s="47">
        <v>567.0</v>
      </c>
      <c r="R47" s="127">
        <v>44786.78532407407</v>
      </c>
      <c r="S47" s="47">
        <v>575.0</v>
      </c>
      <c r="T47" s="127">
        <v>44786.965092592596</v>
      </c>
      <c r="U47" s="47">
        <v>571.0</v>
      </c>
      <c r="V47" s="127">
        <v>44787.099803240744</v>
      </c>
      <c r="W47" s="47">
        <v>577.0</v>
      </c>
      <c r="X47" s="127">
        <v>44787.19310185185</v>
      </c>
      <c r="Y47" s="47">
        <v>585.0</v>
      </c>
      <c r="Z47" s="127">
        <v>44787.196921296294</v>
      </c>
      <c r="AA47" s="47">
        <v>591.0</v>
      </c>
      <c r="AB47" s="127">
        <v>44787.16829861111</v>
      </c>
      <c r="AC47" s="47">
        <v>590.0</v>
      </c>
      <c r="AD47" s="127">
        <v>44787.59203703704</v>
      </c>
      <c r="AE47" s="47">
        <v>590.0</v>
      </c>
      <c r="AF47" s="127">
        <v>44787.63974537037</v>
      </c>
      <c r="AG47" s="126"/>
      <c r="AH47" s="126"/>
      <c r="AI47" s="126"/>
      <c r="AJ47" s="126"/>
      <c r="AK47" s="126"/>
      <c r="AL47" s="126"/>
      <c r="AM47" s="126"/>
    </row>
    <row r="48" ht="15.75" customHeight="1">
      <c r="A48" s="47">
        <v>557.0</v>
      </c>
      <c r="B48" s="127">
        <v>44786.27474537037</v>
      </c>
      <c r="C48" s="47">
        <v>557.0</v>
      </c>
      <c r="D48" s="127">
        <v>44786.3312037037</v>
      </c>
      <c r="E48" s="47">
        <v>556.0</v>
      </c>
      <c r="F48" s="127">
        <v>44786.387395833335</v>
      </c>
      <c r="G48" s="47">
        <v>602.0</v>
      </c>
      <c r="H48" s="127">
        <v>44786.458136574074</v>
      </c>
      <c r="I48" s="47">
        <v>558.0</v>
      </c>
      <c r="J48" s="127">
        <v>44786.633356481485</v>
      </c>
      <c r="K48" s="47">
        <v>558.0</v>
      </c>
      <c r="L48" s="127">
        <v>44786.71303240741</v>
      </c>
      <c r="M48" s="47">
        <v>563.0</v>
      </c>
      <c r="N48" s="127">
        <v>44786.55912037037</v>
      </c>
      <c r="O48" s="47">
        <v>562.0</v>
      </c>
      <c r="P48" s="127">
        <v>44786.721712962964</v>
      </c>
      <c r="Q48" s="47">
        <v>568.0</v>
      </c>
      <c r="R48" s="127">
        <v>44786.8234375</v>
      </c>
      <c r="S48" s="47">
        <v>577.0</v>
      </c>
      <c r="T48" s="127">
        <v>44787.05422453704</v>
      </c>
      <c r="U48" s="47">
        <v>575.0</v>
      </c>
      <c r="V48" s="127">
        <v>44787.05422453704</v>
      </c>
      <c r="W48" s="47">
        <v>578.0</v>
      </c>
      <c r="X48" s="127">
        <v>44787.13631944444</v>
      </c>
      <c r="Y48" s="47">
        <v>590.0</v>
      </c>
      <c r="Z48" s="127">
        <v>44787.370046296295</v>
      </c>
      <c r="AA48" s="47">
        <v>592.0</v>
      </c>
      <c r="AB48" s="127">
        <v>44787.396261574075</v>
      </c>
      <c r="AC48" s="47">
        <v>591.0</v>
      </c>
      <c r="AD48" s="127">
        <v>44787.26127314815</v>
      </c>
      <c r="AE48" s="47">
        <v>591.0</v>
      </c>
      <c r="AF48" s="127">
        <v>44787.32366898148</v>
      </c>
      <c r="AG48" s="126"/>
      <c r="AH48" s="126"/>
      <c r="AI48" s="126"/>
      <c r="AJ48" s="126"/>
      <c r="AK48" s="126"/>
      <c r="AL48" s="126"/>
      <c r="AM48" s="126"/>
    </row>
    <row r="49" ht="15.75" customHeight="1">
      <c r="A49" s="47">
        <v>558.0</v>
      </c>
      <c r="B49" s="127">
        <v>44786.27857638889</v>
      </c>
      <c r="C49" s="47">
        <v>558.0</v>
      </c>
      <c r="D49" s="127">
        <v>44786.35502314815</v>
      </c>
      <c r="E49" s="47">
        <v>557.0</v>
      </c>
      <c r="F49" s="127">
        <v>44786.43677083333</v>
      </c>
      <c r="G49" s="47">
        <v>564.0</v>
      </c>
      <c r="H49" s="127">
        <v>44786.4581712963</v>
      </c>
      <c r="I49" s="47">
        <v>559.0</v>
      </c>
      <c r="J49" s="127">
        <v>44786.57493055556</v>
      </c>
      <c r="K49" s="47">
        <v>559.0</v>
      </c>
      <c r="L49" s="127">
        <v>44786.6397337963</v>
      </c>
      <c r="M49" s="47">
        <v>564.0</v>
      </c>
      <c r="N49" s="127">
        <v>44786.65804398148</v>
      </c>
      <c r="O49" s="47">
        <v>563.0</v>
      </c>
      <c r="P49" s="127">
        <v>44786.64431712963</v>
      </c>
      <c r="Q49" s="47">
        <v>569.0</v>
      </c>
      <c r="R49" s="127">
        <v>44786.845671296294</v>
      </c>
      <c r="S49" s="47">
        <v>578.0</v>
      </c>
      <c r="T49" s="127">
        <v>44786.91002314815</v>
      </c>
      <c r="U49" s="47">
        <v>577.0</v>
      </c>
      <c r="V49" s="127">
        <v>44787.09943287037</v>
      </c>
      <c r="W49" s="47">
        <v>580.0</v>
      </c>
      <c r="X49" s="127">
        <v>44787.23881944444</v>
      </c>
      <c r="Y49" s="47">
        <v>591.0</v>
      </c>
      <c r="Z49" s="127">
        <v>44787.09190972222</v>
      </c>
      <c r="AA49" s="47">
        <v>595.0</v>
      </c>
      <c r="AB49" s="127">
        <v>44787.42087962963</v>
      </c>
      <c r="AC49" s="47">
        <v>592.0</v>
      </c>
      <c r="AD49" s="127">
        <v>44787.511967592596</v>
      </c>
      <c r="AE49" s="47">
        <v>592.0</v>
      </c>
      <c r="AF49" s="127">
        <v>44787.62706018519</v>
      </c>
      <c r="AG49" s="126"/>
      <c r="AH49" s="126"/>
      <c r="AI49" s="126"/>
      <c r="AJ49" s="126"/>
      <c r="AK49" s="126"/>
      <c r="AL49" s="126"/>
      <c r="AM49" s="126"/>
    </row>
    <row r="50" ht="15.75" customHeight="1">
      <c r="A50" s="47">
        <v>559.0</v>
      </c>
      <c r="B50" s="127">
        <v>44786.279270833336</v>
      </c>
      <c r="C50" s="47">
        <v>559.0</v>
      </c>
      <c r="D50" s="127">
        <v>44786.34784722222</v>
      </c>
      <c r="E50" s="47">
        <v>558.0</v>
      </c>
      <c r="F50" s="127">
        <v>44786.43677083333</v>
      </c>
      <c r="G50" s="47">
        <v>530.0</v>
      </c>
      <c r="H50" s="127">
        <v>44786.46387731482</v>
      </c>
      <c r="I50" s="47">
        <v>561.0</v>
      </c>
      <c r="J50" s="127">
        <v>44786.50431712963</v>
      </c>
      <c r="K50" s="47">
        <v>561.0</v>
      </c>
      <c r="L50" s="127">
        <v>44786.56998842592</v>
      </c>
      <c r="M50" s="47">
        <v>565.0</v>
      </c>
      <c r="N50" s="127">
        <v>44786.596041666664</v>
      </c>
      <c r="O50" s="47">
        <v>564.0</v>
      </c>
      <c r="P50" s="127">
        <v>44786.76269675926</v>
      </c>
      <c r="Q50" s="47">
        <v>570.0</v>
      </c>
      <c r="R50" s="127">
        <v>44786.92841435185</v>
      </c>
      <c r="S50" s="47">
        <v>580.0</v>
      </c>
      <c r="T50" s="127">
        <v>44787.05422453704</v>
      </c>
      <c r="U50" s="47">
        <v>578.0</v>
      </c>
      <c r="V50" s="127">
        <v>44787.05422453704</v>
      </c>
      <c r="W50" s="47">
        <v>582.0</v>
      </c>
      <c r="X50" s="127">
        <v>44787.208703703705</v>
      </c>
      <c r="Y50" s="47">
        <v>592.0</v>
      </c>
      <c r="Z50" s="127">
        <v>44787.30987268518</v>
      </c>
      <c r="AA50" s="47">
        <v>596.0</v>
      </c>
      <c r="AB50" s="127">
        <v>44786.98202546296</v>
      </c>
      <c r="AC50" s="47">
        <v>595.0</v>
      </c>
      <c r="AD50" s="127">
        <v>44787.510775462964</v>
      </c>
      <c r="AE50" s="47">
        <v>595.0</v>
      </c>
      <c r="AF50" s="127">
        <v>44787.63261574074</v>
      </c>
      <c r="AG50" s="126"/>
      <c r="AH50" s="126"/>
      <c r="AI50" s="126"/>
      <c r="AJ50" s="126"/>
      <c r="AK50" s="126"/>
      <c r="AL50" s="126"/>
      <c r="AM50" s="126"/>
    </row>
    <row r="51" ht="15.75" customHeight="1">
      <c r="A51" s="47">
        <v>561.0</v>
      </c>
      <c r="B51" s="127">
        <v>44786.26430555555</v>
      </c>
      <c r="C51" s="47">
        <v>561.0</v>
      </c>
      <c r="D51" s="127">
        <v>44786.32009259259</v>
      </c>
      <c r="E51" s="47">
        <v>559.0</v>
      </c>
      <c r="F51" s="127">
        <v>44786.40740740741</v>
      </c>
      <c r="G51" s="47">
        <v>642.0</v>
      </c>
      <c r="H51" s="127">
        <v>44786.46388888889</v>
      </c>
      <c r="I51" s="47">
        <v>562.0</v>
      </c>
      <c r="J51" s="127">
        <v>44786.51899305556</v>
      </c>
      <c r="K51" s="47">
        <v>562.0</v>
      </c>
      <c r="L51" s="127">
        <v>44786.58684027778</v>
      </c>
      <c r="M51" s="47">
        <v>566.0</v>
      </c>
      <c r="N51" s="127">
        <v>44786.71696759259</v>
      </c>
      <c r="O51" s="47">
        <v>565.0</v>
      </c>
      <c r="P51" s="127">
        <v>44786.6769212963</v>
      </c>
      <c r="Q51" s="47">
        <v>571.0</v>
      </c>
      <c r="R51" s="127">
        <v>44786.88344907408</v>
      </c>
      <c r="S51" s="47">
        <v>582.0</v>
      </c>
      <c r="T51" s="127">
        <v>44787.05422453704</v>
      </c>
      <c r="U51" s="47">
        <v>580.0</v>
      </c>
      <c r="V51" s="127">
        <v>44787.128587962965</v>
      </c>
      <c r="W51" s="47">
        <v>583.0</v>
      </c>
      <c r="X51" s="127">
        <v>44787.10023148148</v>
      </c>
      <c r="Y51" s="47">
        <v>595.0</v>
      </c>
      <c r="Z51" s="127">
        <v>44787.31932870371</v>
      </c>
      <c r="AA51" s="47">
        <v>598.0</v>
      </c>
      <c r="AB51" s="127">
        <v>44787.38662037037</v>
      </c>
      <c r="AC51" s="47">
        <v>596.0</v>
      </c>
      <c r="AD51" s="127">
        <v>44787.05662037037</v>
      </c>
      <c r="AE51" s="47">
        <v>596.0</v>
      </c>
      <c r="AF51" s="127">
        <v>44787.11959490741</v>
      </c>
      <c r="AG51" s="126"/>
      <c r="AH51" s="126"/>
      <c r="AI51" s="126"/>
      <c r="AJ51" s="126"/>
      <c r="AK51" s="126"/>
      <c r="AL51" s="126"/>
      <c r="AM51" s="126"/>
    </row>
    <row r="52" ht="15.75" customHeight="1">
      <c r="A52" s="47">
        <v>562.0</v>
      </c>
      <c r="B52" s="127">
        <v>44786.26452546296</v>
      </c>
      <c r="C52" s="47">
        <v>562.0</v>
      </c>
      <c r="D52" s="127">
        <v>44786.32015046296</v>
      </c>
      <c r="E52" s="47">
        <v>561.0</v>
      </c>
      <c r="F52" s="127">
        <v>44786.387395833335</v>
      </c>
      <c r="G52" s="47">
        <v>686.0</v>
      </c>
      <c r="H52" s="127">
        <v>44786.46393518519</v>
      </c>
      <c r="I52" s="47">
        <v>563.0</v>
      </c>
      <c r="J52" s="127">
        <v>44786.471875</v>
      </c>
      <c r="K52" s="47">
        <v>563.0</v>
      </c>
      <c r="L52" s="127">
        <v>44786.52101851852</v>
      </c>
      <c r="M52" s="47">
        <v>567.0</v>
      </c>
      <c r="N52" s="127">
        <v>44786.6046875</v>
      </c>
      <c r="O52" s="47">
        <v>566.0</v>
      </c>
      <c r="P52" s="127">
        <v>44786.84049768518</v>
      </c>
      <c r="Q52" s="47">
        <v>575.0</v>
      </c>
      <c r="R52" s="127">
        <v>44786.85978009259</v>
      </c>
      <c r="S52" s="47">
        <v>583.0</v>
      </c>
      <c r="T52" s="127">
        <v>44786.92082175926</v>
      </c>
      <c r="U52" s="47">
        <v>582.0</v>
      </c>
      <c r="V52" s="127">
        <v>44787.12804398148</v>
      </c>
      <c r="W52" s="47">
        <v>584.0</v>
      </c>
      <c r="X52" s="127">
        <v>44787.32672453704</v>
      </c>
      <c r="Y52" s="47">
        <v>596.0</v>
      </c>
      <c r="Z52" s="127">
        <v>44786.92252314815</v>
      </c>
      <c r="AA52" s="47">
        <v>601.0</v>
      </c>
      <c r="AB52" s="127">
        <v>44787.10490740741</v>
      </c>
      <c r="AC52" s="47">
        <v>598.0</v>
      </c>
      <c r="AD52" s="127">
        <v>44787.50001157408</v>
      </c>
      <c r="AE52" s="47">
        <v>598.0</v>
      </c>
      <c r="AF52" s="127">
        <v>44787.57969907407</v>
      </c>
      <c r="AG52" s="126"/>
      <c r="AH52" s="126"/>
      <c r="AI52" s="126"/>
      <c r="AJ52" s="126"/>
      <c r="AK52" s="126"/>
      <c r="AL52" s="126"/>
      <c r="AM52" s="126"/>
    </row>
    <row r="53" ht="15.75" customHeight="1">
      <c r="A53" s="47">
        <v>563.0</v>
      </c>
      <c r="B53" s="127">
        <v>44786.252905092595</v>
      </c>
      <c r="C53" s="47">
        <v>563.0</v>
      </c>
      <c r="D53" s="127">
        <v>44786.300208333334</v>
      </c>
      <c r="E53" s="47">
        <v>562.0</v>
      </c>
      <c r="F53" s="127">
        <v>44786.387395833335</v>
      </c>
      <c r="G53" s="47">
        <v>507.0</v>
      </c>
      <c r="H53" s="127">
        <v>44786.46398148148</v>
      </c>
      <c r="I53" s="47">
        <v>564.0</v>
      </c>
      <c r="J53" s="127">
        <v>44786.522685185184</v>
      </c>
      <c r="K53" s="47">
        <v>564.0</v>
      </c>
      <c r="L53" s="127">
        <v>44786.58694444445</v>
      </c>
      <c r="M53" s="47">
        <v>568.0</v>
      </c>
      <c r="N53" s="127">
        <v>44786.65918981482</v>
      </c>
      <c r="O53" s="47">
        <v>567.0</v>
      </c>
      <c r="P53" s="127">
        <v>44786.713796296295</v>
      </c>
      <c r="Q53" s="47">
        <v>577.0</v>
      </c>
      <c r="R53" s="127">
        <v>44786.89451388889</v>
      </c>
      <c r="S53" s="47">
        <v>584.0</v>
      </c>
      <c r="T53" s="127">
        <v>44787.09421296296</v>
      </c>
      <c r="U53" s="47">
        <v>583.0</v>
      </c>
      <c r="V53" s="127">
        <v>44787.05422453704</v>
      </c>
      <c r="W53" s="47">
        <v>585.0</v>
      </c>
      <c r="X53" s="127">
        <v>44787.135925925926</v>
      </c>
      <c r="Y53" s="47">
        <v>598.0</v>
      </c>
      <c r="Z53" s="127">
        <v>44787.29875</v>
      </c>
      <c r="AA53" s="47">
        <v>602.0</v>
      </c>
      <c r="AB53" s="127">
        <v>44787.1049537037</v>
      </c>
      <c r="AC53" s="47">
        <v>601.0</v>
      </c>
      <c r="AD53" s="127">
        <v>44787.18460648148</v>
      </c>
      <c r="AE53" s="47">
        <v>601.0</v>
      </c>
      <c r="AF53" s="127">
        <v>44787.25858796296</v>
      </c>
      <c r="AG53" s="126"/>
      <c r="AH53" s="126"/>
      <c r="AI53" s="126"/>
      <c r="AJ53" s="126"/>
      <c r="AK53" s="126"/>
      <c r="AL53" s="126"/>
      <c r="AM53" s="126"/>
    </row>
    <row r="54" ht="15.75" customHeight="1">
      <c r="A54" s="47">
        <v>564.0</v>
      </c>
      <c r="B54" s="127">
        <v>44786.26795138889</v>
      </c>
      <c r="C54" s="47">
        <v>564.0</v>
      </c>
      <c r="D54" s="127">
        <v>44786.32042824074</v>
      </c>
      <c r="E54" s="47">
        <v>563.0</v>
      </c>
      <c r="F54" s="127">
        <v>44786.35225694445</v>
      </c>
      <c r="G54" s="47">
        <v>684.0</v>
      </c>
      <c r="H54" s="127">
        <v>44786.46399305556</v>
      </c>
      <c r="I54" s="47">
        <v>565.0</v>
      </c>
      <c r="J54" s="127">
        <v>44786.47708333333</v>
      </c>
      <c r="K54" s="47">
        <v>565.0</v>
      </c>
      <c r="L54" s="127">
        <v>44786.5321875</v>
      </c>
      <c r="M54" s="47">
        <v>569.0</v>
      </c>
      <c r="N54" s="127">
        <v>44786.67556712963</v>
      </c>
      <c r="O54" s="47">
        <v>568.0</v>
      </c>
      <c r="P54" s="127">
        <v>44786.760671296295</v>
      </c>
      <c r="Q54" s="47">
        <v>578.0</v>
      </c>
      <c r="R54" s="127">
        <v>44786.817395833335</v>
      </c>
      <c r="S54" s="47">
        <v>585.0</v>
      </c>
      <c r="T54" s="127">
        <v>44786.96506944444</v>
      </c>
      <c r="U54" s="47">
        <v>584.0</v>
      </c>
      <c r="V54" s="127">
        <v>44787.20238425926</v>
      </c>
      <c r="W54" s="47">
        <v>590.0</v>
      </c>
      <c r="X54" s="127">
        <v>44787.299525462964</v>
      </c>
      <c r="Y54" s="47">
        <v>601.0</v>
      </c>
      <c r="Z54" s="127">
        <v>44787.05422453704</v>
      </c>
      <c r="AA54" s="47">
        <v>603.0</v>
      </c>
      <c r="AB54" s="127">
        <v>44787.05422453704</v>
      </c>
      <c r="AC54" s="47">
        <v>602.0</v>
      </c>
      <c r="AD54" s="127">
        <v>44787.19453703704</v>
      </c>
      <c r="AE54" s="47">
        <v>602.0</v>
      </c>
      <c r="AF54" s="127">
        <v>44787.26398148148</v>
      </c>
      <c r="AG54" s="126"/>
      <c r="AH54" s="126"/>
      <c r="AI54" s="126"/>
      <c r="AJ54" s="126"/>
      <c r="AK54" s="126"/>
      <c r="AL54" s="126"/>
      <c r="AM54" s="126"/>
    </row>
    <row r="55" ht="15.75" customHeight="1">
      <c r="A55" s="47">
        <v>566.0</v>
      </c>
      <c r="B55" s="127">
        <v>44786.26153935185</v>
      </c>
      <c r="C55" s="47">
        <v>566.0</v>
      </c>
      <c r="D55" s="127">
        <v>44786.321018518516</v>
      </c>
      <c r="E55" s="47">
        <v>564.0</v>
      </c>
      <c r="F55" s="127">
        <v>44786.387395833335</v>
      </c>
      <c r="G55" s="47">
        <v>653.0</v>
      </c>
      <c r="H55" s="127">
        <v>44786.46412037037</v>
      </c>
      <c r="I55" s="47">
        <v>566.0</v>
      </c>
      <c r="J55" s="127">
        <v>44786.56917824074</v>
      </c>
      <c r="K55" s="47">
        <v>566.0</v>
      </c>
      <c r="L55" s="127">
        <v>44786.6515625</v>
      </c>
      <c r="M55" s="47">
        <v>570.0</v>
      </c>
      <c r="N55" s="127">
        <v>44786.72300925926</v>
      </c>
      <c r="O55" s="47">
        <v>569.0</v>
      </c>
      <c r="P55" s="127">
        <v>44786.775092592594</v>
      </c>
      <c r="Q55" s="47">
        <v>579.0</v>
      </c>
      <c r="R55" s="127">
        <v>44787.05422453704</v>
      </c>
      <c r="S55" s="47">
        <v>589.0</v>
      </c>
      <c r="T55" s="127">
        <v>44786.88065972222</v>
      </c>
      <c r="U55" s="47">
        <v>585.0</v>
      </c>
      <c r="V55" s="127">
        <v>44787.05422453704</v>
      </c>
      <c r="W55" s="47">
        <v>591.0</v>
      </c>
      <c r="X55" s="127">
        <v>44787.05422453704</v>
      </c>
      <c r="Y55" s="47">
        <v>603.0</v>
      </c>
      <c r="Z55" s="127">
        <v>44786.974282407406</v>
      </c>
      <c r="AA55" s="47">
        <v>604.0</v>
      </c>
      <c r="AB55" s="127">
        <v>44787.33149305556</v>
      </c>
      <c r="AC55" s="47">
        <v>603.0</v>
      </c>
      <c r="AD55" s="127">
        <v>44787.12400462963</v>
      </c>
      <c r="AE55" s="47">
        <v>603.0</v>
      </c>
      <c r="AF55" s="127">
        <v>44787.17853009259</v>
      </c>
      <c r="AG55" s="126"/>
      <c r="AH55" s="126"/>
      <c r="AI55" s="126"/>
      <c r="AJ55" s="126"/>
      <c r="AK55" s="126"/>
      <c r="AL55" s="126"/>
      <c r="AM55" s="126"/>
    </row>
    <row r="56" ht="15.75" customHeight="1">
      <c r="A56" s="47">
        <v>567.0</v>
      </c>
      <c r="B56" s="127">
        <v>44786.25283564815</v>
      </c>
      <c r="C56" s="47">
        <v>567.0</v>
      </c>
      <c r="D56" s="127">
        <v>44786.30017361111</v>
      </c>
      <c r="E56" s="47">
        <v>565.0</v>
      </c>
      <c r="F56" s="127">
        <v>44786.3702662037</v>
      </c>
      <c r="G56" s="47">
        <v>568.0</v>
      </c>
      <c r="H56" s="127">
        <v>44786.464155092595</v>
      </c>
      <c r="I56" s="47">
        <v>567.0</v>
      </c>
      <c r="J56" s="127">
        <v>44786.49650462963</v>
      </c>
      <c r="K56" s="47">
        <v>567.0</v>
      </c>
      <c r="L56" s="127">
        <v>44786.5540625</v>
      </c>
      <c r="M56" s="47">
        <v>571.0</v>
      </c>
      <c r="N56" s="127">
        <v>44786.70266203704</v>
      </c>
      <c r="O56" s="47">
        <v>570.0</v>
      </c>
      <c r="P56" s="127">
        <v>44786.827685185184</v>
      </c>
      <c r="Q56" s="47">
        <v>580.0</v>
      </c>
      <c r="R56" s="127">
        <v>44786.91150462963</v>
      </c>
      <c r="S56" s="47">
        <v>590.0</v>
      </c>
      <c r="T56" s="127">
        <v>44787.06239583333</v>
      </c>
      <c r="U56" s="47">
        <v>589.0</v>
      </c>
      <c r="V56" s="127">
        <v>44787.05422453704</v>
      </c>
      <c r="W56" s="47">
        <v>592.0</v>
      </c>
      <c r="X56" s="127">
        <v>44787.24890046296</v>
      </c>
      <c r="Y56" s="47">
        <v>604.0</v>
      </c>
      <c r="Z56" s="127">
        <v>44787.2362037037</v>
      </c>
      <c r="AA56" s="47">
        <v>605.0</v>
      </c>
      <c r="AB56" s="127">
        <v>44787.386655092596</v>
      </c>
      <c r="AC56" s="47">
        <v>604.0</v>
      </c>
      <c r="AD56" s="127">
        <v>44787.44268518518</v>
      </c>
      <c r="AE56" s="47">
        <v>604.0</v>
      </c>
      <c r="AF56" s="127">
        <v>44787.53524305556</v>
      </c>
      <c r="AG56" s="126"/>
      <c r="AH56" s="126"/>
      <c r="AI56" s="126"/>
      <c r="AJ56" s="126"/>
      <c r="AK56" s="126"/>
      <c r="AL56" s="126"/>
      <c r="AM56" s="126"/>
    </row>
    <row r="57" ht="15.75" customHeight="1">
      <c r="A57" s="47">
        <v>568.0</v>
      </c>
      <c r="B57" s="127">
        <v>44786.263136574074</v>
      </c>
      <c r="C57" s="47">
        <v>568.0</v>
      </c>
      <c r="D57" s="127">
        <v>44786.32083333333</v>
      </c>
      <c r="E57" s="47">
        <v>566.0</v>
      </c>
      <c r="F57" s="127">
        <v>44786.40739583333</v>
      </c>
      <c r="G57" s="47">
        <v>692.0</v>
      </c>
      <c r="H57" s="127">
        <v>44786.46417824074</v>
      </c>
      <c r="I57" s="47">
        <v>568.0</v>
      </c>
      <c r="J57" s="127">
        <v>44786.52915509259</v>
      </c>
      <c r="K57" s="47">
        <v>568.0</v>
      </c>
      <c r="L57" s="127">
        <v>44786.60037037037</v>
      </c>
      <c r="M57" s="47">
        <v>575.0</v>
      </c>
      <c r="N57" s="127">
        <v>44786.69032407407</v>
      </c>
      <c r="O57" s="47">
        <v>571.0</v>
      </c>
      <c r="P57" s="127">
        <v>44786.81229166667</v>
      </c>
      <c r="Q57" s="47">
        <v>582.0</v>
      </c>
      <c r="R57" s="127">
        <v>44786.88982638889</v>
      </c>
      <c r="S57" s="47">
        <v>591.0</v>
      </c>
      <c r="T57" s="127">
        <v>44786.87422453704</v>
      </c>
      <c r="U57" s="47">
        <v>590.0</v>
      </c>
      <c r="V57" s="127">
        <v>44787.20245370371</v>
      </c>
      <c r="W57" s="47">
        <v>595.0</v>
      </c>
      <c r="X57" s="127">
        <v>44787.275671296295</v>
      </c>
      <c r="Y57" s="47">
        <v>605.0</v>
      </c>
      <c r="Z57" s="127">
        <v>44787.308333333334</v>
      </c>
      <c r="AA57" s="47">
        <v>606.0</v>
      </c>
      <c r="AB57" s="127">
        <v>44787.365277777775</v>
      </c>
      <c r="AC57" s="47">
        <v>605.0</v>
      </c>
      <c r="AD57" s="127">
        <v>44787.48788194444</v>
      </c>
      <c r="AE57" s="47">
        <v>605.0</v>
      </c>
      <c r="AF57" s="127">
        <v>44787.57953703704</v>
      </c>
      <c r="AG57" s="126"/>
      <c r="AH57" s="126"/>
      <c r="AI57" s="126"/>
      <c r="AJ57" s="126"/>
      <c r="AK57" s="126"/>
      <c r="AL57" s="126"/>
      <c r="AM57" s="126"/>
    </row>
    <row r="58" ht="15.75" customHeight="1">
      <c r="A58" s="47">
        <v>569.0</v>
      </c>
      <c r="B58" s="127">
        <v>44786.26878472222</v>
      </c>
      <c r="C58" s="47">
        <v>569.0</v>
      </c>
      <c r="D58" s="127">
        <v>44786.30710648148</v>
      </c>
      <c r="E58" s="47">
        <v>567.0</v>
      </c>
      <c r="F58" s="127">
        <v>44786.34644675926</v>
      </c>
      <c r="G58" s="47">
        <v>509.0</v>
      </c>
      <c r="H58" s="127">
        <v>44786.46418981482</v>
      </c>
      <c r="I58" s="47">
        <v>569.0</v>
      </c>
      <c r="J58" s="127">
        <v>44786.54177083333</v>
      </c>
      <c r="K58" s="47">
        <v>569.0</v>
      </c>
      <c r="L58" s="127">
        <v>44786.62391203704</v>
      </c>
      <c r="M58" s="47">
        <v>576.0</v>
      </c>
      <c r="N58" s="127">
        <v>44786.83167824074</v>
      </c>
      <c r="O58" s="47">
        <v>575.0</v>
      </c>
      <c r="P58" s="127">
        <v>44786.795381944445</v>
      </c>
      <c r="Q58" s="47">
        <v>583.0</v>
      </c>
      <c r="R58" s="127">
        <v>44786.82355324074</v>
      </c>
      <c r="S58" s="47">
        <v>592.0</v>
      </c>
      <c r="T58" s="127">
        <v>44787.05422453704</v>
      </c>
      <c r="U58" s="47">
        <v>591.0</v>
      </c>
      <c r="V58" s="127">
        <v>44786.972407407404</v>
      </c>
      <c r="W58" s="47">
        <v>596.0</v>
      </c>
      <c r="X58" s="127">
        <v>44786.87125</v>
      </c>
      <c r="Y58" s="47">
        <v>606.0</v>
      </c>
      <c r="Z58" s="127">
        <v>44787.296261574076</v>
      </c>
      <c r="AA58" s="47">
        <v>607.0</v>
      </c>
      <c r="AB58" s="127">
        <v>44787.43509259259</v>
      </c>
      <c r="AC58" s="47">
        <v>606.0</v>
      </c>
      <c r="AD58" s="127">
        <v>44787.48780092593</v>
      </c>
      <c r="AE58" s="47">
        <v>606.0</v>
      </c>
      <c r="AF58" s="127">
        <v>44787.579872685186</v>
      </c>
      <c r="AG58" s="126"/>
      <c r="AH58" s="126"/>
      <c r="AI58" s="126"/>
      <c r="AJ58" s="126"/>
      <c r="AK58" s="126"/>
      <c r="AL58" s="126"/>
      <c r="AM58" s="126"/>
    </row>
    <row r="59" ht="15.75" customHeight="1">
      <c r="A59" s="47">
        <v>570.0</v>
      </c>
      <c r="B59" s="127">
        <v>44786.27489583333</v>
      </c>
      <c r="C59" s="47">
        <v>570.0</v>
      </c>
      <c r="D59" s="127">
        <v>44786.34825231481</v>
      </c>
      <c r="E59" s="47">
        <v>568.0</v>
      </c>
      <c r="F59" s="127">
        <v>44786.387395833335</v>
      </c>
      <c r="G59" s="47">
        <v>617.0</v>
      </c>
      <c r="H59" s="127">
        <v>44786.469143518516</v>
      </c>
      <c r="I59" s="47">
        <v>570.0</v>
      </c>
      <c r="J59" s="127">
        <v>44786.59289351852</v>
      </c>
      <c r="K59" s="47">
        <v>570.0</v>
      </c>
      <c r="L59" s="127">
        <v>44786.65998842593</v>
      </c>
      <c r="M59" s="47">
        <v>577.0</v>
      </c>
      <c r="N59" s="127">
        <v>44786.71444444444</v>
      </c>
      <c r="O59" s="47">
        <v>576.0</v>
      </c>
      <c r="P59" s="127">
        <v>44786.97886574074</v>
      </c>
      <c r="Q59" s="47">
        <v>584.0</v>
      </c>
      <c r="R59" s="127">
        <v>44786.96030092592</v>
      </c>
      <c r="S59" s="47">
        <v>595.0</v>
      </c>
      <c r="T59" s="127">
        <v>44787.089270833334</v>
      </c>
      <c r="U59" s="47">
        <v>592.0</v>
      </c>
      <c r="V59" s="127">
        <v>44787.18498842593</v>
      </c>
      <c r="W59" s="47">
        <v>597.0</v>
      </c>
      <c r="X59" s="127">
        <v>44787.27569444444</v>
      </c>
      <c r="Y59" s="47">
        <v>607.0</v>
      </c>
      <c r="Z59" s="127">
        <v>44787.26510416667</v>
      </c>
      <c r="AA59" s="47">
        <v>611.0</v>
      </c>
      <c r="AB59" s="127">
        <v>44787.20119212963</v>
      </c>
      <c r="AC59" s="47">
        <v>607.0</v>
      </c>
      <c r="AD59" s="127">
        <v>44787.4528587963</v>
      </c>
      <c r="AE59" s="47">
        <v>607.0</v>
      </c>
      <c r="AF59" s="127">
        <v>44787.547627314816</v>
      </c>
      <c r="AG59" s="126"/>
      <c r="AH59" s="126"/>
      <c r="AI59" s="126"/>
      <c r="AJ59" s="126"/>
      <c r="AK59" s="126"/>
      <c r="AL59" s="126"/>
      <c r="AM59" s="126"/>
    </row>
    <row r="60" ht="15.75" customHeight="1">
      <c r="A60" s="47">
        <v>571.0</v>
      </c>
      <c r="B60" s="127">
        <v>44786.264872685184</v>
      </c>
      <c r="C60" s="47">
        <v>571.0</v>
      </c>
      <c r="D60" s="127">
        <v>44786.320706018516</v>
      </c>
      <c r="E60" s="47">
        <v>569.0</v>
      </c>
      <c r="F60" s="127">
        <v>44786.40739583333</v>
      </c>
      <c r="G60" s="47">
        <v>504.0</v>
      </c>
      <c r="H60" s="127">
        <v>44786.46915509259</v>
      </c>
      <c r="I60" s="47">
        <v>571.0</v>
      </c>
      <c r="J60" s="127">
        <v>44786.553402777776</v>
      </c>
      <c r="K60" s="47">
        <v>571.0</v>
      </c>
      <c r="L60" s="127">
        <v>44786.633368055554</v>
      </c>
      <c r="M60" s="47">
        <v>578.0</v>
      </c>
      <c r="N60" s="127">
        <v>44786.65908564815</v>
      </c>
      <c r="O60" s="47">
        <v>577.0</v>
      </c>
      <c r="P60" s="127">
        <v>44786.827361111114</v>
      </c>
      <c r="Q60" s="47">
        <v>585.0</v>
      </c>
      <c r="R60" s="127">
        <v>44786.85980324074</v>
      </c>
      <c r="S60" s="47">
        <v>596.0</v>
      </c>
      <c r="T60" s="127">
        <v>44786.74706018518</v>
      </c>
      <c r="U60" s="47">
        <v>595.0</v>
      </c>
      <c r="V60" s="127">
        <v>44787.18614583334</v>
      </c>
      <c r="W60" s="47">
        <v>598.0</v>
      </c>
      <c r="X60" s="127">
        <v>44787.238657407404</v>
      </c>
      <c r="Y60" s="47">
        <v>611.0</v>
      </c>
      <c r="Z60" s="127">
        <v>44787.11210648148</v>
      </c>
      <c r="AA60" s="47">
        <v>612.0</v>
      </c>
      <c r="AB60" s="127">
        <v>44787.44912037037</v>
      </c>
      <c r="AC60" s="47">
        <v>611.0</v>
      </c>
      <c r="AD60" s="127">
        <v>44787.298530092594</v>
      </c>
      <c r="AE60" s="47">
        <v>611.0</v>
      </c>
      <c r="AF60" s="127">
        <v>44787.36195601852</v>
      </c>
      <c r="AG60" s="126"/>
      <c r="AH60" s="126"/>
      <c r="AI60" s="126"/>
      <c r="AJ60" s="126"/>
      <c r="AK60" s="126"/>
      <c r="AL60" s="126"/>
      <c r="AM60" s="126"/>
    </row>
    <row r="61" ht="15.75" customHeight="1">
      <c r="A61" s="47">
        <v>572.0</v>
      </c>
      <c r="B61" s="127">
        <v>44786.26862268519</v>
      </c>
      <c r="C61" s="47">
        <v>572.0</v>
      </c>
      <c r="D61" s="127">
        <v>44786.33076388889</v>
      </c>
      <c r="E61" s="47">
        <v>570.0</v>
      </c>
      <c r="F61" s="127">
        <v>44786.420069444444</v>
      </c>
      <c r="G61" s="47">
        <v>578.0</v>
      </c>
      <c r="H61" s="127">
        <v>44786.469189814816</v>
      </c>
      <c r="I61" s="47">
        <v>574.0</v>
      </c>
      <c r="J61" s="127">
        <v>44786.633356481485</v>
      </c>
      <c r="K61" s="47">
        <v>574.0</v>
      </c>
      <c r="L61" s="127">
        <v>44786.71287037037</v>
      </c>
      <c r="M61" s="47">
        <v>579.0</v>
      </c>
      <c r="N61" s="127">
        <v>44786.80354166667</v>
      </c>
      <c r="O61" s="47">
        <v>578.0</v>
      </c>
      <c r="P61" s="127">
        <v>44786.760671296295</v>
      </c>
      <c r="Q61" s="47">
        <v>587.0</v>
      </c>
      <c r="R61" s="127">
        <v>44786.974814814814</v>
      </c>
      <c r="S61" s="47">
        <v>597.0</v>
      </c>
      <c r="T61" s="127">
        <v>44787.05422453704</v>
      </c>
      <c r="U61" s="47">
        <v>596.0</v>
      </c>
      <c r="V61" s="127">
        <v>44786.80085648148</v>
      </c>
      <c r="W61" s="47">
        <v>599.0</v>
      </c>
      <c r="X61" s="127">
        <v>44787.05422453704</v>
      </c>
      <c r="Y61" s="47">
        <v>612.0</v>
      </c>
      <c r="Z61" s="127">
        <v>44787.367743055554</v>
      </c>
      <c r="AA61" s="47">
        <v>617.0</v>
      </c>
      <c r="AB61" s="127">
        <v>44787.286631944444</v>
      </c>
      <c r="AC61" s="47">
        <v>612.0</v>
      </c>
      <c r="AD61" s="127">
        <v>44787.55751157407</v>
      </c>
      <c r="AE61" s="47">
        <v>612.0</v>
      </c>
      <c r="AF61" s="127">
        <v>44787.637766203705</v>
      </c>
      <c r="AG61" s="126"/>
      <c r="AH61" s="126"/>
      <c r="AI61" s="126"/>
      <c r="AJ61" s="126"/>
      <c r="AK61" s="126"/>
      <c r="AL61" s="126"/>
      <c r="AM61" s="126"/>
    </row>
    <row r="62" ht="15.75" customHeight="1">
      <c r="A62" s="47">
        <v>574.0</v>
      </c>
      <c r="B62" s="127">
        <v>44786.27123842593</v>
      </c>
      <c r="C62" s="47">
        <v>574.0</v>
      </c>
      <c r="D62" s="127">
        <v>44786.33966435185</v>
      </c>
      <c r="E62" s="47">
        <v>571.0</v>
      </c>
      <c r="F62" s="127">
        <v>44786.387604166666</v>
      </c>
      <c r="G62" s="47">
        <v>645.0</v>
      </c>
      <c r="H62" s="127">
        <v>44786.46922453704</v>
      </c>
      <c r="I62" s="47">
        <v>575.0</v>
      </c>
      <c r="J62" s="127">
        <v>44786.55967592593</v>
      </c>
      <c r="K62" s="47">
        <v>575.0</v>
      </c>
      <c r="L62" s="127">
        <v>44786.63964120371</v>
      </c>
      <c r="M62" s="47">
        <v>580.0</v>
      </c>
      <c r="N62" s="127">
        <v>44786.73357638889</v>
      </c>
      <c r="O62" s="47">
        <v>579.0</v>
      </c>
      <c r="P62" s="127">
        <v>44786.92900462963</v>
      </c>
      <c r="Q62" s="47">
        <v>588.0</v>
      </c>
      <c r="R62" s="127">
        <v>44786.79107638889</v>
      </c>
      <c r="S62" s="47">
        <v>598.0</v>
      </c>
      <c r="T62" s="127">
        <v>44787.05422453704</v>
      </c>
      <c r="U62" s="47">
        <v>597.0</v>
      </c>
      <c r="V62" s="127">
        <v>44787.12875</v>
      </c>
      <c r="W62" s="47">
        <v>601.0</v>
      </c>
      <c r="X62" s="127">
        <v>44786.97130787037</v>
      </c>
      <c r="Y62" s="47">
        <v>615.0</v>
      </c>
      <c r="Z62" s="127">
        <v>44787.38150462963</v>
      </c>
      <c r="AA62" s="47">
        <v>618.0</v>
      </c>
      <c r="AB62" s="127">
        <v>44787.05422453704</v>
      </c>
      <c r="AC62" s="47">
        <v>617.0</v>
      </c>
      <c r="AD62" s="127">
        <v>44787.4015625</v>
      </c>
      <c r="AE62" s="47">
        <v>617.0</v>
      </c>
      <c r="AF62" s="127">
        <v>44787.503229166665</v>
      </c>
      <c r="AG62" s="126"/>
      <c r="AH62" s="126"/>
      <c r="AI62" s="126"/>
      <c r="AJ62" s="126"/>
      <c r="AK62" s="126"/>
      <c r="AL62" s="126"/>
      <c r="AM62" s="126"/>
    </row>
    <row r="63" ht="15.75" customHeight="1">
      <c r="A63" s="47">
        <v>575.0</v>
      </c>
      <c r="B63" s="127">
        <v>44786.27054398148</v>
      </c>
      <c r="C63" s="47">
        <v>576.0</v>
      </c>
      <c r="D63" s="127">
        <v>44786.3702662037</v>
      </c>
      <c r="E63" s="47">
        <v>572.0</v>
      </c>
      <c r="F63" s="127">
        <v>44786.420069444444</v>
      </c>
      <c r="G63" s="47">
        <v>729.0</v>
      </c>
      <c r="H63" s="127">
        <v>44786.46925925926</v>
      </c>
      <c r="I63" s="47">
        <v>576.0</v>
      </c>
      <c r="J63" s="127">
        <v>44786.65699074074</v>
      </c>
      <c r="K63" s="47">
        <v>576.0</v>
      </c>
      <c r="L63" s="127">
        <v>44786.74523148148</v>
      </c>
      <c r="M63" s="47">
        <v>581.0</v>
      </c>
      <c r="N63" s="127">
        <v>44786.67554398148</v>
      </c>
      <c r="O63" s="47">
        <v>580.0</v>
      </c>
      <c r="P63" s="127">
        <v>44786.84059027778</v>
      </c>
      <c r="Q63" s="47">
        <v>589.0</v>
      </c>
      <c r="R63" s="127">
        <v>44786.78524305556</v>
      </c>
      <c r="S63" s="47">
        <v>599.0</v>
      </c>
      <c r="T63" s="127">
        <v>44786.91483796296</v>
      </c>
      <c r="U63" s="47">
        <v>598.0</v>
      </c>
      <c r="V63" s="127">
        <v>44787.184907407405</v>
      </c>
      <c r="W63" s="47">
        <v>602.0</v>
      </c>
      <c r="X63" s="127">
        <v>44786.98054398148</v>
      </c>
      <c r="Y63" s="47">
        <v>617.0</v>
      </c>
      <c r="Z63" s="127">
        <v>44787.18851851852</v>
      </c>
      <c r="AA63" s="47">
        <v>620.0</v>
      </c>
      <c r="AB63" s="127">
        <v>44787.05422453704</v>
      </c>
      <c r="AC63" s="47">
        <v>618.0</v>
      </c>
      <c r="AD63" s="127">
        <v>44787.17459490741</v>
      </c>
      <c r="AE63" s="47">
        <v>618.0</v>
      </c>
      <c r="AF63" s="127">
        <v>44787.264027777775</v>
      </c>
      <c r="AG63" s="126"/>
      <c r="AH63" s="126"/>
      <c r="AI63" s="126"/>
      <c r="AJ63" s="126"/>
      <c r="AK63" s="126"/>
      <c r="AL63" s="126"/>
      <c r="AM63" s="126"/>
    </row>
    <row r="64" ht="15.75" customHeight="1">
      <c r="A64" s="47">
        <v>576.0</v>
      </c>
      <c r="B64" s="127">
        <v>44786.29050925926</v>
      </c>
      <c r="C64" s="47">
        <v>577.0</v>
      </c>
      <c r="D64" s="127">
        <v>44786.3471412037</v>
      </c>
      <c r="E64" s="47">
        <v>574.0</v>
      </c>
      <c r="F64" s="127">
        <v>44786.420069444444</v>
      </c>
      <c r="G64" s="47">
        <v>695.0</v>
      </c>
      <c r="H64" s="127">
        <v>44786.4744212963</v>
      </c>
      <c r="I64" s="47">
        <v>577.0</v>
      </c>
      <c r="J64" s="127">
        <v>44786.58421296296</v>
      </c>
      <c r="K64" s="47">
        <v>577.0</v>
      </c>
      <c r="L64" s="127">
        <v>44786.65997685185</v>
      </c>
      <c r="M64" s="47">
        <v>582.0</v>
      </c>
      <c r="N64" s="127">
        <v>44786.71083333333</v>
      </c>
      <c r="O64" s="47">
        <v>581.0</v>
      </c>
      <c r="P64" s="127">
        <v>44786.78327546296</v>
      </c>
      <c r="Q64" s="47">
        <v>590.0</v>
      </c>
      <c r="R64" s="127">
        <v>44786.93724537037</v>
      </c>
      <c r="S64" s="47">
        <v>601.0</v>
      </c>
      <c r="T64" s="127">
        <v>44786.82828703704</v>
      </c>
      <c r="U64" s="47">
        <v>599.0</v>
      </c>
      <c r="V64" s="127">
        <v>44786.94167824074</v>
      </c>
      <c r="W64" s="47">
        <v>603.0</v>
      </c>
      <c r="X64" s="127">
        <v>44786.927199074074</v>
      </c>
      <c r="Y64" s="47">
        <v>618.0</v>
      </c>
      <c r="Z64" s="127">
        <v>44786.96109953704</v>
      </c>
      <c r="AA64" s="47">
        <v>625.0</v>
      </c>
      <c r="AB64" s="127">
        <v>44787.23773148148</v>
      </c>
      <c r="AC64" s="47">
        <v>620.0</v>
      </c>
      <c r="AD64" s="127">
        <v>44787.10340277778</v>
      </c>
      <c r="AE64" s="47">
        <v>620.0</v>
      </c>
      <c r="AF64" s="127">
        <v>44787.177511574075</v>
      </c>
      <c r="AG64" s="126"/>
      <c r="AH64" s="126"/>
      <c r="AI64" s="126"/>
      <c r="AJ64" s="126"/>
      <c r="AK64" s="126"/>
      <c r="AL64" s="126"/>
      <c r="AM64" s="126"/>
    </row>
    <row r="65" ht="15.75" customHeight="1">
      <c r="A65" s="47">
        <v>577.0</v>
      </c>
      <c r="B65" s="127">
        <v>44786.27142361111</v>
      </c>
      <c r="C65" s="47">
        <v>578.0</v>
      </c>
      <c r="D65" s="127">
        <v>44786.331238425926</v>
      </c>
      <c r="E65" s="47">
        <v>575.0</v>
      </c>
      <c r="F65" s="127">
        <v>44786.40739583333</v>
      </c>
      <c r="G65" s="47">
        <v>706.0</v>
      </c>
      <c r="H65" s="127">
        <v>44786.47447916667</v>
      </c>
      <c r="I65" s="47">
        <v>578.0</v>
      </c>
      <c r="J65" s="127">
        <v>44786.52905092593</v>
      </c>
      <c r="K65" s="47">
        <v>578.0</v>
      </c>
      <c r="L65" s="127">
        <v>44786.600335648145</v>
      </c>
      <c r="M65" s="47">
        <v>583.0</v>
      </c>
      <c r="N65" s="127">
        <v>44786.66709490741</v>
      </c>
      <c r="O65" s="47">
        <v>582.0</v>
      </c>
      <c r="P65" s="127">
        <v>44786.812523148146</v>
      </c>
      <c r="Q65" s="47">
        <v>591.0</v>
      </c>
      <c r="R65" s="127">
        <v>44786.79975694444</v>
      </c>
      <c r="S65" s="47">
        <v>602.0</v>
      </c>
      <c r="T65" s="127">
        <v>44786.91486111111</v>
      </c>
      <c r="U65" s="47">
        <v>601.0</v>
      </c>
      <c r="V65" s="127">
        <v>44786.91583333333</v>
      </c>
      <c r="W65" s="47">
        <v>604.0</v>
      </c>
      <c r="X65" s="127">
        <v>44787.15655092592</v>
      </c>
      <c r="Y65" s="47">
        <v>625.0</v>
      </c>
      <c r="Z65" s="127">
        <v>44787.20931712963</v>
      </c>
      <c r="AA65" s="47">
        <v>626.0</v>
      </c>
      <c r="AB65" s="127">
        <v>44787.35518518519</v>
      </c>
      <c r="AC65" s="47">
        <v>625.0</v>
      </c>
      <c r="AD65" s="127">
        <v>44787.43078703704</v>
      </c>
      <c r="AE65" s="47">
        <v>625.0</v>
      </c>
      <c r="AF65" s="127">
        <v>44787.564409722225</v>
      </c>
      <c r="AG65" s="126"/>
      <c r="AH65" s="126"/>
      <c r="AI65" s="126"/>
      <c r="AJ65" s="126"/>
      <c r="AK65" s="126"/>
      <c r="AL65" s="126"/>
      <c r="AM65" s="126"/>
    </row>
    <row r="66" ht="15.75" customHeight="1">
      <c r="A66" s="47">
        <v>578.0</v>
      </c>
      <c r="B66" s="127">
        <v>44786.27143518518</v>
      </c>
      <c r="C66" s="47">
        <v>579.0</v>
      </c>
      <c r="D66" s="127">
        <v>44786.3702662037</v>
      </c>
      <c r="E66" s="47">
        <v>576.0</v>
      </c>
      <c r="F66" s="127">
        <v>44786.45155092593</v>
      </c>
      <c r="G66" s="47">
        <v>604.0</v>
      </c>
      <c r="H66" s="127">
        <v>44786.47451388889</v>
      </c>
      <c r="I66" s="47">
        <v>579.0</v>
      </c>
      <c r="J66" s="127">
        <v>44786.65708333333</v>
      </c>
      <c r="K66" s="47">
        <v>579.0</v>
      </c>
      <c r="L66" s="127">
        <v>44786.74519675926</v>
      </c>
      <c r="M66" s="47">
        <v>584.0</v>
      </c>
      <c r="N66" s="127">
        <v>44786.760671296295</v>
      </c>
      <c r="O66" s="47">
        <v>583.0</v>
      </c>
      <c r="P66" s="127">
        <v>44786.762766203705</v>
      </c>
      <c r="Q66" s="47">
        <v>592.0</v>
      </c>
      <c r="R66" s="127">
        <v>44786.918958333335</v>
      </c>
      <c r="S66" s="47">
        <v>603.0</v>
      </c>
      <c r="T66" s="127">
        <v>44786.78476851852</v>
      </c>
      <c r="U66" s="47">
        <v>602.0</v>
      </c>
      <c r="V66" s="127">
        <v>44786.91605324074</v>
      </c>
      <c r="W66" s="47">
        <v>605.0</v>
      </c>
      <c r="X66" s="127">
        <v>44787.248935185184</v>
      </c>
      <c r="Y66" s="47">
        <v>626.0</v>
      </c>
      <c r="Z66" s="127">
        <v>44787.27443287037</v>
      </c>
      <c r="AA66" s="47">
        <v>629.0</v>
      </c>
      <c r="AB66" s="127">
        <v>44787.115891203706</v>
      </c>
      <c r="AC66" s="47">
        <v>626.0</v>
      </c>
      <c r="AD66" s="127">
        <v>44787.452152777776</v>
      </c>
      <c r="AE66" s="47">
        <v>626.0</v>
      </c>
      <c r="AF66" s="127">
        <v>44787.535208333335</v>
      </c>
      <c r="AG66" s="126"/>
      <c r="AH66" s="126"/>
      <c r="AI66" s="126"/>
      <c r="AJ66" s="126"/>
      <c r="AK66" s="126"/>
      <c r="AL66" s="126"/>
      <c r="AM66" s="126"/>
    </row>
    <row r="67" ht="15.75" customHeight="1">
      <c r="A67" s="47">
        <v>579.0</v>
      </c>
      <c r="B67" s="127">
        <v>44786.293703703705</v>
      </c>
      <c r="C67" s="47">
        <v>580.0</v>
      </c>
      <c r="D67" s="127">
        <v>44786.33950231481</v>
      </c>
      <c r="E67" s="47">
        <v>577.0</v>
      </c>
      <c r="F67" s="127">
        <v>44786.420069444444</v>
      </c>
      <c r="G67" s="47">
        <v>734.0</v>
      </c>
      <c r="H67" s="127">
        <v>44786.47484953704</v>
      </c>
      <c r="I67" s="47">
        <v>580.0</v>
      </c>
      <c r="J67" s="127">
        <v>44786.58429398148</v>
      </c>
      <c r="K67" s="47">
        <v>580.0</v>
      </c>
      <c r="L67" s="127">
        <v>44786.65766203704</v>
      </c>
      <c r="M67" s="47">
        <v>585.0</v>
      </c>
      <c r="N67" s="127">
        <v>44786.70282407408</v>
      </c>
      <c r="O67" s="47">
        <v>584.0</v>
      </c>
      <c r="P67" s="127">
        <v>44786.88118055555</v>
      </c>
      <c r="Q67" s="47">
        <v>595.0</v>
      </c>
      <c r="R67" s="127">
        <v>44786.96047453704</v>
      </c>
      <c r="S67" s="47">
        <v>604.0</v>
      </c>
      <c r="T67" s="127">
        <v>44786.96475694444</v>
      </c>
      <c r="U67" s="47">
        <v>603.0</v>
      </c>
      <c r="V67" s="127">
        <v>44786.85309027778</v>
      </c>
      <c r="W67" s="47">
        <v>606.0</v>
      </c>
      <c r="X67" s="127">
        <v>44787.23862268519</v>
      </c>
      <c r="Y67" s="47">
        <v>629.0</v>
      </c>
      <c r="Z67" s="127">
        <v>44787.05422453704</v>
      </c>
      <c r="AA67" s="47">
        <v>631.0</v>
      </c>
      <c r="AB67" s="127">
        <v>44787.33152777778</v>
      </c>
      <c r="AC67" s="47">
        <v>629.0</v>
      </c>
      <c r="AD67" s="127">
        <v>44787.2106712963</v>
      </c>
      <c r="AE67" s="47">
        <v>629.0</v>
      </c>
      <c r="AF67" s="127">
        <v>44787.3074537037</v>
      </c>
      <c r="AG67" s="126"/>
      <c r="AH67" s="126"/>
      <c r="AI67" s="126"/>
      <c r="AJ67" s="126"/>
      <c r="AK67" s="126"/>
      <c r="AL67" s="126"/>
      <c r="AM67" s="126"/>
    </row>
    <row r="68" ht="15.75" customHeight="1">
      <c r="A68" s="47">
        <v>580.0</v>
      </c>
      <c r="B68" s="127">
        <v>44786.27392361111</v>
      </c>
      <c r="C68" s="47">
        <v>581.0</v>
      </c>
      <c r="D68" s="127">
        <v>44786.33957175926</v>
      </c>
      <c r="E68" s="47">
        <v>578.0</v>
      </c>
      <c r="F68" s="127">
        <v>44786.40739583333</v>
      </c>
      <c r="G68" s="47">
        <v>546.0</v>
      </c>
      <c r="H68" s="127">
        <v>44786.47519675926</v>
      </c>
      <c r="I68" s="47">
        <v>581.0</v>
      </c>
      <c r="J68" s="127">
        <v>44786.556655092594</v>
      </c>
      <c r="K68" s="47">
        <v>581.0</v>
      </c>
      <c r="L68" s="127">
        <v>44786.62391203704</v>
      </c>
      <c r="M68" s="47">
        <v>587.0</v>
      </c>
      <c r="N68" s="127">
        <v>44786.776192129626</v>
      </c>
      <c r="O68" s="47">
        <v>585.0</v>
      </c>
      <c r="P68" s="127">
        <v>44786.79589120371</v>
      </c>
      <c r="Q68" s="47">
        <v>596.0</v>
      </c>
      <c r="R68" s="127">
        <v>44786.68152777778</v>
      </c>
      <c r="S68" s="47">
        <v>605.0</v>
      </c>
      <c r="T68" s="127">
        <v>44787.062418981484</v>
      </c>
      <c r="U68" s="47">
        <v>604.0</v>
      </c>
      <c r="V68" s="127">
        <v>44787.05422453704</v>
      </c>
      <c r="W68" s="47">
        <v>607.0</v>
      </c>
      <c r="X68" s="127">
        <v>44787.19940972222</v>
      </c>
      <c r="Y68" s="47">
        <v>631.0</v>
      </c>
      <c r="Z68" s="127">
        <v>44787.221921296295</v>
      </c>
      <c r="AA68" s="47">
        <v>632.0</v>
      </c>
      <c r="AB68" s="127">
        <v>44787.421261574076</v>
      </c>
      <c r="AC68" s="47">
        <v>631.0</v>
      </c>
      <c r="AD68" s="127">
        <v>44787.44320601852</v>
      </c>
      <c r="AE68" s="47">
        <v>631.0</v>
      </c>
      <c r="AF68" s="127">
        <v>44787.535474537035</v>
      </c>
      <c r="AG68" s="126"/>
      <c r="AH68" s="126"/>
      <c r="AI68" s="126"/>
      <c r="AJ68" s="126"/>
      <c r="AK68" s="126"/>
      <c r="AL68" s="126"/>
      <c r="AM68" s="126"/>
    </row>
    <row r="69" ht="15.75" customHeight="1">
      <c r="A69" s="47">
        <v>581.0</v>
      </c>
      <c r="B69" s="127">
        <v>44786.27096064815</v>
      </c>
      <c r="C69" s="47">
        <v>583.0</v>
      </c>
      <c r="D69" s="127">
        <v>44786.33069444444</v>
      </c>
      <c r="E69" s="47">
        <v>579.0</v>
      </c>
      <c r="F69" s="127">
        <v>44786.451840277776</v>
      </c>
      <c r="G69" s="47">
        <v>523.0</v>
      </c>
      <c r="H69" s="127">
        <v>44786.47521990741</v>
      </c>
      <c r="I69" s="47">
        <v>582.0</v>
      </c>
      <c r="J69" s="127">
        <v>44786.58373842593</v>
      </c>
      <c r="K69" s="47">
        <v>582.0</v>
      </c>
      <c r="L69" s="127">
        <v>44786.65667824074</v>
      </c>
      <c r="M69" s="47">
        <v>588.0</v>
      </c>
      <c r="N69" s="127">
        <v>44786.62391203704</v>
      </c>
      <c r="O69" s="47">
        <v>587.0</v>
      </c>
      <c r="P69" s="127">
        <v>44786.89787037037</v>
      </c>
      <c r="Q69" s="47">
        <v>597.0</v>
      </c>
      <c r="R69" s="127">
        <v>44786.911527777775</v>
      </c>
      <c r="S69" s="47">
        <v>606.0</v>
      </c>
      <c r="T69" s="127">
        <v>44787.05422453704</v>
      </c>
      <c r="U69" s="47">
        <v>605.0</v>
      </c>
      <c r="V69" s="127">
        <v>44787.18537037037</v>
      </c>
      <c r="W69" s="47">
        <v>609.0</v>
      </c>
      <c r="X69" s="127">
        <v>44786.965902777774</v>
      </c>
      <c r="Y69" s="47">
        <v>632.0</v>
      </c>
      <c r="Z69" s="127">
        <v>44787.31946759259</v>
      </c>
      <c r="AA69" s="47">
        <v>637.0</v>
      </c>
      <c r="AB69" s="127">
        <v>44787.2644212963</v>
      </c>
      <c r="AC69" s="47">
        <v>632.0</v>
      </c>
      <c r="AD69" s="127">
        <v>44787.51453703704</v>
      </c>
      <c r="AE69" s="47">
        <v>632.0</v>
      </c>
      <c r="AF69" s="127">
        <v>44787.61224537037</v>
      </c>
      <c r="AG69" s="126"/>
      <c r="AH69" s="126"/>
      <c r="AI69" s="126"/>
      <c r="AJ69" s="126"/>
      <c r="AK69" s="126"/>
      <c r="AL69" s="126"/>
      <c r="AM69" s="126"/>
    </row>
    <row r="70" ht="15.75" customHeight="1">
      <c r="A70" s="47">
        <v>582.0</v>
      </c>
      <c r="B70" s="127">
        <v>44786.26826388889</v>
      </c>
      <c r="C70" s="47">
        <v>584.0</v>
      </c>
      <c r="D70" s="127">
        <v>44786.35508101852</v>
      </c>
      <c r="E70" s="47">
        <v>580.0</v>
      </c>
      <c r="F70" s="127">
        <v>44786.40756944445</v>
      </c>
      <c r="G70" s="47">
        <v>569.0</v>
      </c>
      <c r="H70" s="127">
        <v>44786.47525462963</v>
      </c>
      <c r="I70" s="47">
        <v>583.0</v>
      </c>
      <c r="J70" s="127">
        <v>44786.54168981482</v>
      </c>
      <c r="K70" s="47">
        <v>583.0</v>
      </c>
      <c r="L70" s="127">
        <v>44786.60853009259</v>
      </c>
      <c r="M70" s="47">
        <v>589.0</v>
      </c>
      <c r="N70" s="127">
        <v>44786.62391203704</v>
      </c>
      <c r="O70" s="47">
        <v>588.0</v>
      </c>
      <c r="P70" s="127">
        <v>44786.72148148148</v>
      </c>
      <c r="Q70" s="47">
        <v>598.0</v>
      </c>
      <c r="R70" s="127">
        <v>44786.92815972222</v>
      </c>
      <c r="S70" s="47">
        <v>607.0</v>
      </c>
      <c r="T70" s="127">
        <v>44787.05422453704</v>
      </c>
      <c r="U70" s="47">
        <v>606.0</v>
      </c>
      <c r="V70" s="127">
        <v>44787.128645833334</v>
      </c>
      <c r="W70" s="47">
        <v>611.0</v>
      </c>
      <c r="X70" s="127">
        <v>44787.05422453704</v>
      </c>
      <c r="Y70" s="47">
        <v>637.0</v>
      </c>
      <c r="Z70" s="127">
        <v>44787.17590277778</v>
      </c>
      <c r="AA70" s="47">
        <v>638.0</v>
      </c>
      <c r="AB70" s="127">
        <v>44787.303506944445</v>
      </c>
      <c r="AC70" s="47">
        <v>637.0</v>
      </c>
      <c r="AD70" s="127">
        <v>44787.35207175926</v>
      </c>
      <c r="AE70" s="47">
        <v>637.0</v>
      </c>
      <c r="AF70" s="127">
        <v>44787.42827546296</v>
      </c>
      <c r="AG70" s="126"/>
      <c r="AH70" s="126"/>
      <c r="AI70" s="126"/>
      <c r="AJ70" s="126"/>
      <c r="AK70" s="126"/>
      <c r="AL70" s="126"/>
      <c r="AM70" s="126"/>
    </row>
    <row r="71" ht="15.75" customHeight="1">
      <c r="A71" s="47">
        <v>583.0</v>
      </c>
      <c r="B71" s="127">
        <v>44786.27072916667</v>
      </c>
      <c r="C71" s="47">
        <v>585.0</v>
      </c>
      <c r="D71" s="127">
        <v>44786.34798611111</v>
      </c>
      <c r="E71" s="47">
        <v>581.0</v>
      </c>
      <c r="F71" s="127">
        <v>44786.40739583333</v>
      </c>
      <c r="G71" s="47">
        <v>637.0</v>
      </c>
      <c r="H71" s="127">
        <v>44786.47528935185</v>
      </c>
      <c r="I71" s="47">
        <v>584.0</v>
      </c>
      <c r="J71" s="127">
        <v>44786.60951388889</v>
      </c>
      <c r="K71" s="47">
        <v>584.0</v>
      </c>
      <c r="L71" s="127">
        <v>44786.683599537035</v>
      </c>
      <c r="M71" s="47">
        <v>590.0</v>
      </c>
      <c r="N71" s="127">
        <v>44786.739965277775</v>
      </c>
      <c r="O71" s="47">
        <v>589.0</v>
      </c>
      <c r="P71" s="127">
        <v>44786.703831018516</v>
      </c>
      <c r="Q71" s="47">
        <v>599.0</v>
      </c>
      <c r="R71" s="127">
        <v>44786.74297453704</v>
      </c>
      <c r="S71" s="47">
        <v>609.0</v>
      </c>
      <c r="T71" s="127">
        <v>44786.76940972222</v>
      </c>
      <c r="U71" s="47">
        <v>607.0</v>
      </c>
      <c r="V71" s="127">
        <v>44787.1280787037</v>
      </c>
      <c r="W71" s="47">
        <v>612.0</v>
      </c>
      <c r="X71" s="127">
        <v>44787.3109837963</v>
      </c>
      <c r="Y71" s="47">
        <v>638.0</v>
      </c>
      <c r="Z71" s="127">
        <v>44787.21560185185</v>
      </c>
      <c r="AA71" s="47">
        <v>642.0</v>
      </c>
      <c r="AB71" s="127">
        <v>44787.24828703704</v>
      </c>
      <c r="AC71" s="47">
        <v>638.0</v>
      </c>
      <c r="AD71" s="127">
        <v>44787.42855324074</v>
      </c>
      <c r="AE71" s="47">
        <v>638.0</v>
      </c>
      <c r="AF71" s="127">
        <v>44787.50319444444</v>
      </c>
      <c r="AG71" s="126"/>
      <c r="AH71" s="126"/>
      <c r="AI71" s="126"/>
      <c r="AJ71" s="126"/>
      <c r="AK71" s="126"/>
      <c r="AL71" s="126"/>
      <c r="AM71" s="126"/>
    </row>
    <row r="72" ht="15.75" customHeight="1">
      <c r="A72" s="47">
        <v>584.0</v>
      </c>
      <c r="B72" s="127">
        <v>44786.27875</v>
      </c>
      <c r="C72" s="47">
        <v>588.0</v>
      </c>
      <c r="D72" s="127">
        <v>44786.31083333334</v>
      </c>
      <c r="E72" s="47">
        <v>582.0</v>
      </c>
      <c r="F72" s="127">
        <v>44786.40770833333</v>
      </c>
      <c r="G72" s="47">
        <v>651.0</v>
      </c>
      <c r="H72" s="127">
        <v>44786.4753125</v>
      </c>
      <c r="I72" s="47">
        <v>585.0</v>
      </c>
      <c r="J72" s="127">
        <v>44786.58393518518</v>
      </c>
      <c r="K72" s="47">
        <v>585.0</v>
      </c>
      <c r="L72" s="127">
        <v>44786.65164351852</v>
      </c>
      <c r="M72" s="47">
        <v>591.0</v>
      </c>
      <c r="N72" s="127">
        <v>44786.65903935185</v>
      </c>
      <c r="O72" s="47">
        <v>590.0</v>
      </c>
      <c r="P72" s="127">
        <v>44786.849641203706</v>
      </c>
      <c r="Q72" s="47">
        <v>601.0</v>
      </c>
      <c r="R72" s="127">
        <v>44786.760671296295</v>
      </c>
      <c r="S72" s="47">
        <v>611.0</v>
      </c>
      <c r="T72" s="127">
        <v>44786.86273148148</v>
      </c>
      <c r="U72" s="47">
        <v>609.0</v>
      </c>
      <c r="V72" s="127">
        <v>44786.84884259259</v>
      </c>
      <c r="W72" s="47">
        <v>615.0</v>
      </c>
      <c r="X72" s="127">
        <v>44787.29603009259</v>
      </c>
      <c r="Y72" s="47">
        <v>642.0</v>
      </c>
      <c r="Z72" s="127">
        <v>44787.15831018519</v>
      </c>
      <c r="AA72" s="47">
        <v>644.0</v>
      </c>
      <c r="AB72" s="127">
        <v>44787.145891203705</v>
      </c>
      <c r="AC72" s="47">
        <v>642.0</v>
      </c>
      <c r="AD72" s="127">
        <v>44787.34305555555</v>
      </c>
      <c r="AE72" s="47">
        <v>642.0</v>
      </c>
      <c r="AF72" s="127">
        <v>44787.42811342593</v>
      </c>
      <c r="AG72" s="126"/>
      <c r="AH72" s="126"/>
      <c r="AI72" s="126"/>
      <c r="AJ72" s="126"/>
      <c r="AK72" s="126"/>
      <c r="AL72" s="126"/>
      <c r="AM72" s="126"/>
    </row>
    <row r="73" ht="15.75" customHeight="1">
      <c r="A73" s="47">
        <v>585.0</v>
      </c>
      <c r="B73" s="127">
        <v>44786.27479166666</v>
      </c>
      <c r="C73" s="47">
        <v>589.0</v>
      </c>
      <c r="D73" s="127">
        <v>44786.310740740744</v>
      </c>
      <c r="E73" s="47">
        <v>583.0</v>
      </c>
      <c r="F73" s="127">
        <v>44786.40739583333</v>
      </c>
      <c r="G73" s="47">
        <v>583.0</v>
      </c>
      <c r="H73" s="127">
        <v>44786.48005787037</v>
      </c>
      <c r="I73" s="47">
        <v>587.0</v>
      </c>
      <c r="J73" s="127">
        <v>44786.60951388889</v>
      </c>
      <c r="K73" s="47">
        <v>587.0</v>
      </c>
      <c r="L73" s="127">
        <v>44786.700162037036</v>
      </c>
      <c r="M73" s="47">
        <v>592.0</v>
      </c>
      <c r="N73" s="127">
        <v>44786.72269675926</v>
      </c>
      <c r="O73" s="47">
        <v>591.0</v>
      </c>
      <c r="P73" s="127">
        <v>44786.74261574074</v>
      </c>
      <c r="Q73" s="47">
        <v>602.0</v>
      </c>
      <c r="R73" s="127">
        <v>44786.760671296295</v>
      </c>
      <c r="S73" s="47">
        <v>612.0</v>
      </c>
      <c r="T73" s="127">
        <v>44787.12173611111</v>
      </c>
      <c r="U73" s="47">
        <v>611.0</v>
      </c>
      <c r="V73" s="127">
        <v>44786.9728125</v>
      </c>
      <c r="W73" s="47">
        <v>617.0</v>
      </c>
      <c r="X73" s="127">
        <v>44787.10671296297</v>
      </c>
      <c r="Y73" s="47">
        <v>645.0</v>
      </c>
      <c r="Z73" s="127">
        <v>44787.1121412037</v>
      </c>
      <c r="AA73" s="47">
        <v>645.0</v>
      </c>
      <c r="AB73" s="127">
        <v>44787.20979166667</v>
      </c>
      <c r="AC73" s="47">
        <v>644.0</v>
      </c>
      <c r="AD73" s="127">
        <v>44787.25293981482</v>
      </c>
      <c r="AE73" s="47">
        <v>644.0</v>
      </c>
      <c r="AF73" s="127">
        <v>44787.33929398148</v>
      </c>
      <c r="AG73" s="126"/>
      <c r="AH73" s="126"/>
      <c r="AI73" s="126"/>
      <c r="AJ73" s="126"/>
      <c r="AK73" s="126"/>
      <c r="AL73" s="126"/>
      <c r="AM73" s="126"/>
    </row>
    <row r="74" ht="15.75" customHeight="1">
      <c r="A74" s="47">
        <v>587.0</v>
      </c>
      <c r="B74" s="127">
        <v>44786.279131944444</v>
      </c>
      <c r="C74" s="47">
        <v>590.0</v>
      </c>
      <c r="D74" s="127">
        <v>44786.33185185185</v>
      </c>
      <c r="E74" s="47">
        <v>584.0</v>
      </c>
      <c r="F74" s="127">
        <v>44786.43677083333</v>
      </c>
      <c r="G74" s="47">
        <v>709.0</v>
      </c>
      <c r="H74" s="127">
        <v>44786.48005787037</v>
      </c>
      <c r="I74" s="47">
        <v>588.0</v>
      </c>
      <c r="J74" s="127">
        <v>44786.50918981482</v>
      </c>
      <c r="K74" s="47">
        <v>588.0</v>
      </c>
      <c r="L74" s="127">
        <v>44786.570069444446</v>
      </c>
      <c r="M74" s="47">
        <v>595.0</v>
      </c>
      <c r="N74" s="127">
        <v>44786.760671296295</v>
      </c>
      <c r="O74" s="47">
        <v>592.0</v>
      </c>
      <c r="P74" s="127">
        <v>44786.830717592595</v>
      </c>
      <c r="Q74" s="47">
        <v>603.0</v>
      </c>
      <c r="R74" s="127">
        <v>44786.71597222222</v>
      </c>
      <c r="S74" s="47">
        <v>615.0</v>
      </c>
      <c r="T74" s="127">
        <v>44787.05422453704</v>
      </c>
      <c r="U74" s="47">
        <v>612.0</v>
      </c>
      <c r="V74" s="127">
        <v>44787.202627314815</v>
      </c>
      <c r="W74" s="47">
        <v>618.0</v>
      </c>
      <c r="X74" s="127">
        <v>44786.90306712963</v>
      </c>
      <c r="Y74" s="47">
        <v>647.0</v>
      </c>
      <c r="Z74" s="127">
        <v>44787.25958333333</v>
      </c>
      <c r="AA74" s="47">
        <v>647.0</v>
      </c>
      <c r="AB74" s="127">
        <v>44787.35474537037</v>
      </c>
      <c r="AC74" s="47">
        <v>645.0</v>
      </c>
      <c r="AD74" s="127">
        <v>44787.32790509259</v>
      </c>
      <c r="AE74" s="47">
        <v>645.0</v>
      </c>
      <c r="AF74" s="127">
        <v>44787.39775462963</v>
      </c>
      <c r="AG74" s="126"/>
      <c r="AH74" s="126"/>
      <c r="AI74" s="126"/>
      <c r="AJ74" s="126"/>
      <c r="AK74" s="126"/>
      <c r="AL74" s="126"/>
      <c r="AM74" s="126"/>
    </row>
    <row r="75" ht="15.75" customHeight="1">
      <c r="A75" s="47">
        <v>588.0</v>
      </c>
      <c r="B75" s="127">
        <v>44786.26158564815</v>
      </c>
      <c r="C75" s="47">
        <v>591.0</v>
      </c>
      <c r="D75" s="127">
        <v>44786.34804398148</v>
      </c>
      <c r="E75" s="47">
        <v>585.0</v>
      </c>
      <c r="F75" s="127">
        <v>44786.420069444444</v>
      </c>
      <c r="G75" s="47">
        <v>730.0</v>
      </c>
      <c r="H75" s="127">
        <v>44786.48258101852</v>
      </c>
      <c r="I75" s="47">
        <v>589.0</v>
      </c>
      <c r="J75" s="127">
        <v>44786.49670138889</v>
      </c>
      <c r="K75" s="47">
        <v>589.0</v>
      </c>
      <c r="L75" s="127">
        <v>44786.562997685185</v>
      </c>
      <c r="M75" s="47">
        <v>596.0</v>
      </c>
      <c r="N75" s="127">
        <v>44786.544641203705</v>
      </c>
      <c r="O75" s="47">
        <v>595.0</v>
      </c>
      <c r="P75" s="127">
        <v>44786.881273148145</v>
      </c>
      <c r="Q75" s="47">
        <v>604.0</v>
      </c>
      <c r="R75" s="127">
        <v>44786.845555555556</v>
      </c>
      <c r="S75" s="47">
        <v>617.0</v>
      </c>
      <c r="T75" s="127">
        <v>44786.91</v>
      </c>
      <c r="U75" s="47">
        <v>615.0</v>
      </c>
      <c r="V75" s="127">
        <v>44787.18545138889</v>
      </c>
      <c r="W75" s="47">
        <v>620.0</v>
      </c>
      <c r="X75" s="127">
        <v>44786.90409722222</v>
      </c>
      <c r="Y75" s="47">
        <v>648.0</v>
      </c>
      <c r="Z75" s="127">
        <v>44787.321851851855</v>
      </c>
      <c r="AA75" s="47">
        <v>648.0</v>
      </c>
      <c r="AB75" s="127">
        <v>44787.420960648145</v>
      </c>
      <c r="AC75" s="47">
        <v>647.0</v>
      </c>
      <c r="AD75" s="127">
        <v>44787.42974537037</v>
      </c>
      <c r="AE75" s="47">
        <v>647.0</v>
      </c>
      <c r="AF75" s="127">
        <v>44787.49619212963</v>
      </c>
      <c r="AG75" s="126"/>
      <c r="AH75" s="126"/>
      <c r="AI75" s="126"/>
      <c r="AJ75" s="126"/>
      <c r="AK75" s="126"/>
      <c r="AL75" s="126"/>
      <c r="AM75" s="126"/>
    </row>
    <row r="76" ht="15.75" customHeight="1">
      <c r="A76" s="47">
        <v>589.0</v>
      </c>
      <c r="B76" s="127">
        <v>44786.26162037037</v>
      </c>
      <c r="C76" s="47">
        <v>592.0</v>
      </c>
      <c r="D76" s="127">
        <v>44786.34800925926</v>
      </c>
      <c r="E76" s="47">
        <v>587.0</v>
      </c>
      <c r="F76" s="127">
        <v>44786.420069444444</v>
      </c>
      <c r="G76" s="47">
        <v>670.0</v>
      </c>
      <c r="H76" s="127">
        <v>44786.482615740744</v>
      </c>
      <c r="I76" s="47">
        <v>590.0</v>
      </c>
      <c r="J76" s="127">
        <v>44786.57896990741</v>
      </c>
      <c r="K76" s="47">
        <v>590.0</v>
      </c>
      <c r="L76" s="127">
        <v>44786.663402777776</v>
      </c>
      <c r="M76" s="47">
        <v>597.0</v>
      </c>
      <c r="N76" s="127">
        <v>44786.733460648145</v>
      </c>
      <c r="O76" s="47">
        <v>596.0</v>
      </c>
      <c r="P76" s="127">
        <v>44786.62391203704</v>
      </c>
      <c r="Q76" s="47">
        <v>605.0</v>
      </c>
      <c r="R76" s="127">
        <v>44786.960173611114</v>
      </c>
      <c r="S76" s="47">
        <v>618.0</v>
      </c>
      <c r="T76" s="127">
        <v>44786.760671296295</v>
      </c>
      <c r="U76" s="47">
        <v>617.0</v>
      </c>
      <c r="V76" s="127">
        <v>44787.05422453704</v>
      </c>
      <c r="W76" s="47">
        <v>625.0</v>
      </c>
      <c r="X76" s="127">
        <v>44787.165868055556</v>
      </c>
      <c r="Y76" s="47">
        <v>649.0</v>
      </c>
      <c r="Z76" s="127">
        <v>44787.31366898148</v>
      </c>
      <c r="AA76" s="47">
        <v>649.0</v>
      </c>
      <c r="AB76" s="127">
        <v>44787.420949074076</v>
      </c>
      <c r="AC76" s="47">
        <v>648.0</v>
      </c>
      <c r="AD76" s="127">
        <v>44787.52591435185</v>
      </c>
      <c r="AE76" s="47">
        <v>648.0</v>
      </c>
      <c r="AF76" s="127">
        <v>44787.62709490741</v>
      </c>
      <c r="AG76" s="126"/>
      <c r="AH76" s="126"/>
      <c r="AI76" s="126"/>
      <c r="AJ76" s="126"/>
      <c r="AK76" s="126"/>
      <c r="AL76" s="126"/>
      <c r="AM76" s="126"/>
    </row>
    <row r="77" ht="15.75" customHeight="1">
      <c r="A77" s="47">
        <v>590.0</v>
      </c>
      <c r="B77" s="127">
        <v>44786.27111111111</v>
      </c>
      <c r="C77" s="47">
        <v>593.0</v>
      </c>
      <c r="D77" s="127">
        <v>44786.387395833335</v>
      </c>
      <c r="E77" s="47">
        <v>588.0</v>
      </c>
      <c r="F77" s="127">
        <v>44786.3702662037</v>
      </c>
      <c r="G77" s="47">
        <v>556.0</v>
      </c>
      <c r="H77" s="127">
        <v>44786.48265046296</v>
      </c>
      <c r="I77" s="47">
        <v>591.0</v>
      </c>
      <c r="J77" s="127">
        <v>44786.54822916666</v>
      </c>
      <c r="K77" s="47">
        <v>591.0</v>
      </c>
      <c r="L77" s="127">
        <v>44786.60865740741</v>
      </c>
      <c r="M77" s="47">
        <v>598.0</v>
      </c>
      <c r="N77" s="127">
        <v>44786.733402777776</v>
      </c>
      <c r="O77" s="47">
        <v>597.0</v>
      </c>
      <c r="P77" s="127">
        <v>44786.840682870374</v>
      </c>
      <c r="Q77" s="47">
        <v>606.0</v>
      </c>
      <c r="R77" s="127">
        <v>44786.91113425926</v>
      </c>
      <c r="S77" s="47">
        <v>620.0</v>
      </c>
      <c r="T77" s="127">
        <v>44786.76944444444</v>
      </c>
      <c r="U77" s="47">
        <v>618.0</v>
      </c>
      <c r="V77" s="127">
        <v>44786.84878472222</v>
      </c>
      <c r="W77" s="47">
        <v>626.0</v>
      </c>
      <c r="X77" s="127">
        <v>44787.20883101852</v>
      </c>
      <c r="Y77" s="47">
        <v>650.0</v>
      </c>
      <c r="Z77" s="127">
        <v>44787.06851851852</v>
      </c>
      <c r="AA77" s="47">
        <v>650.0</v>
      </c>
      <c r="AB77" s="127">
        <v>44787.1459375</v>
      </c>
      <c r="AC77" s="47">
        <v>649.0</v>
      </c>
      <c r="AD77" s="127">
        <v>44787.518229166664</v>
      </c>
      <c r="AE77" s="47">
        <v>649.0</v>
      </c>
      <c r="AF77" s="127">
        <v>44787.612349537034</v>
      </c>
      <c r="AG77" s="126"/>
      <c r="AH77" s="126"/>
      <c r="AI77" s="126"/>
      <c r="AJ77" s="126"/>
      <c r="AK77" s="126"/>
      <c r="AL77" s="126"/>
      <c r="AM77" s="126"/>
    </row>
    <row r="78" ht="15.75" customHeight="1">
      <c r="A78" s="47">
        <v>591.0</v>
      </c>
      <c r="B78" s="127">
        <v>44786.279016203705</v>
      </c>
      <c r="C78" s="47">
        <v>595.0</v>
      </c>
      <c r="D78" s="127">
        <v>44786.347395833334</v>
      </c>
      <c r="E78" s="47">
        <v>589.0</v>
      </c>
      <c r="F78" s="127">
        <v>44786.3702662037</v>
      </c>
      <c r="G78" s="47">
        <v>571.0</v>
      </c>
      <c r="H78" s="127">
        <v>44786.48268518518</v>
      </c>
      <c r="I78" s="47">
        <v>592.0</v>
      </c>
      <c r="J78" s="127">
        <v>44786.578877314816</v>
      </c>
      <c r="K78" s="47">
        <v>592.0</v>
      </c>
      <c r="L78" s="127">
        <v>44786.657534722224</v>
      </c>
      <c r="M78" s="47">
        <v>599.0</v>
      </c>
      <c r="N78" s="127">
        <v>44786.58300925926</v>
      </c>
      <c r="O78" s="47">
        <v>598.0</v>
      </c>
      <c r="P78" s="127">
        <v>44786.84960648148</v>
      </c>
      <c r="Q78" s="47">
        <v>607.0</v>
      </c>
      <c r="R78" s="127">
        <v>44786.90189814815</v>
      </c>
      <c r="S78" s="47">
        <v>623.0</v>
      </c>
      <c r="T78" s="127">
        <v>44786.85443287037</v>
      </c>
      <c r="U78" s="47">
        <v>620.0</v>
      </c>
      <c r="V78" s="127">
        <v>44786.848807870374</v>
      </c>
      <c r="W78" s="47">
        <v>628.0</v>
      </c>
      <c r="X78" s="127">
        <v>44787.275625</v>
      </c>
      <c r="Y78" s="47">
        <v>651.0</v>
      </c>
      <c r="Z78" s="127">
        <v>44787.20327546296</v>
      </c>
      <c r="AA78" s="47">
        <v>651.0</v>
      </c>
      <c r="AB78" s="127">
        <v>44787.30342592593</v>
      </c>
      <c r="AC78" s="47">
        <v>650.0</v>
      </c>
      <c r="AD78" s="127">
        <v>44787.26130787037</v>
      </c>
      <c r="AE78" s="47">
        <v>650.0</v>
      </c>
      <c r="AF78" s="127">
        <v>44787.33925925926</v>
      </c>
      <c r="AG78" s="126"/>
      <c r="AH78" s="126"/>
      <c r="AI78" s="126"/>
      <c r="AJ78" s="126"/>
      <c r="AK78" s="126"/>
      <c r="AL78" s="126"/>
      <c r="AM78" s="126"/>
    </row>
    <row r="79" ht="15.75" customHeight="1">
      <c r="A79" s="47">
        <v>592.0</v>
      </c>
      <c r="B79" s="127">
        <v>44786.27491898148</v>
      </c>
      <c r="C79" s="47">
        <v>596.0</v>
      </c>
      <c r="D79" s="127">
        <v>44786.2921412037</v>
      </c>
      <c r="E79" s="47">
        <v>590.0</v>
      </c>
      <c r="F79" s="127">
        <v>44786.420069444444</v>
      </c>
      <c r="G79" s="47">
        <v>722.0</v>
      </c>
      <c r="H79" s="127">
        <v>44786.48273148148</v>
      </c>
      <c r="I79" s="47">
        <v>595.0</v>
      </c>
      <c r="J79" s="127">
        <v>44786.62391203704</v>
      </c>
      <c r="K79" s="47">
        <v>595.0</v>
      </c>
      <c r="L79" s="127">
        <v>44786.70018518518</v>
      </c>
      <c r="M79" s="47">
        <v>601.0</v>
      </c>
      <c r="N79" s="127">
        <v>44786.59956018518</v>
      </c>
      <c r="O79" s="47">
        <v>599.0</v>
      </c>
      <c r="P79" s="127">
        <v>44786.67695601852</v>
      </c>
      <c r="Q79" s="47">
        <v>609.0</v>
      </c>
      <c r="R79" s="127">
        <v>44786.69741898148</v>
      </c>
      <c r="S79" s="47">
        <v>625.0</v>
      </c>
      <c r="T79" s="127">
        <v>44786.965046296296</v>
      </c>
      <c r="U79" s="47">
        <v>625.0</v>
      </c>
      <c r="V79" s="127">
        <v>44787.05422453704</v>
      </c>
      <c r="W79" s="47">
        <v>629.0</v>
      </c>
      <c r="X79" s="127">
        <v>44786.99140046296</v>
      </c>
      <c r="Y79" s="47">
        <v>653.0</v>
      </c>
      <c r="Z79" s="127">
        <v>44787.22193287037</v>
      </c>
      <c r="AA79" s="47">
        <v>653.0</v>
      </c>
      <c r="AB79" s="127">
        <v>44787.322488425925</v>
      </c>
      <c r="AC79" s="47">
        <v>651.0</v>
      </c>
      <c r="AD79" s="127">
        <v>44787.39871527778</v>
      </c>
      <c r="AE79" s="47">
        <v>651.0</v>
      </c>
      <c r="AF79" s="127">
        <v>44787.496145833335</v>
      </c>
      <c r="AG79" s="126"/>
      <c r="AH79" s="126"/>
      <c r="AI79" s="126"/>
      <c r="AJ79" s="126"/>
      <c r="AK79" s="126"/>
      <c r="AL79" s="126"/>
      <c r="AM79" s="126"/>
    </row>
    <row r="80" ht="15.75" customHeight="1">
      <c r="A80" s="47">
        <v>593.0</v>
      </c>
      <c r="B80" s="127">
        <v>44786.294375</v>
      </c>
      <c r="C80" s="47">
        <v>597.0</v>
      </c>
      <c r="D80" s="127">
        <v>44786.3702662037</v>
      </c>
      <c r="E80" s="47">
        <v>591.0</v>
      </c>
      <c r="F80" s="127">
        <v>44786.40739583333</v>
      </c>
      <c r="G80" s="47">
        <v>675.0</v>
      </c>
      <c r="H80" s="127">
        <v>44786.4828587963</v>
      </c>
      <c r="I80" s="47">
        <v>596.0</v>
      </c>
      <c r="J80" s="127">
        <v>44786.44809027778</v>
      </c>
      <c r="K80" s="47">
        <v>596.0</v>
      </c>
      <c r="L80" s="127">
        <v>44786.51033564815</v>
      </c>
      <c r="M80" s="47">
        <v>602.0</v>
      </c>
      <c r="N80" s="127">
        <v>44786.62391203704</v>
      </c>
      <c r="O80" s="47">
        <v>601.0</v>
      </c>
      <c r="P80" s="127">
        <v>44786.69795138889</v>
      </c>
      <c r="Q80" s="47">
        <v>611.0</v>
      </c>
      <c r="R80" s="127">
        <v>44786.77238425926</v>
      </c>
      <c r="S80" s="47">
        <v>626.0</v>
      </c>
      <c r="T80" s="127">
        <v>44787.00025462963</v>
      </c>
      <c r="U80" s="47">
        <v>626.0</v>
      </c>
      <c r="V80" s="127">
        <v>44787.09978009259</v>
      </c>
      <c r="W80" s="47">
        <v>631.0</v>
      </c>
      <c r="X80" s="127">
        <v>44787.1362037037</v>
      </c>
      <c r="Y80" s="47">
        <v>655.0</v>
      </c>
      <c r="Z80" s="127">
        <v>44787.068460648145</v>
      </c>
      <c r="AA80" s="47">
        <v>655.0</v>
      </c>
      <c r="AB80" s="127">
        <v>44787.13068287037</v>
      </c>
      <c r="AC80" s="47">
        <v>653.0</v>
      </c>
      <c r="AD80" s="127">
        <v>44787.428935185184</v>
      </c>
      <c r="AE80" s="47">
        <v>653.0</v>
      </c>
      <c r="AF80" s="127">
        <v>44787.522141203706</v>
      </c>
      <c r="AG80" s="126"/>
      <c r="AH80" s="126"/>
      <c r="AI80" s="126"/>
      <c r="AJ80" s="126"/>
      <c r="AK80" s="126"/>
      <c r="AL80" s="126"/>
      <c r="AM80" s="126"/>
    </row>
    <row r="81" ht="15.75" customHeight="1">
      <c r="A81" s="47">
        <v>595.0</v>
      </c>
      <c r="B81" s="127">
        <v>44786.274513888886</v>
      </c>
      <c r="C81" s="47">
        <v>598.0</v>
      </c>
      <c r="D81" s="127">
        <v>44786.35423611111</v>
      </c>
      <c r="E81" s="47">
        <v>592.0</v>
      </c>
      <c r="F81" s="127">
        <v>44786.420069444444</v>
      </c>
      <c r="G81" s="47">
        <v>718.0</v>
      </c>
      <c r="H81" s="127">
        <v>44786.482881944445</v>
      </c>
      <c r="I81" s="47">
        <v>597.0</v>
      </c>
      <c r="J81" s="127">
        <v>44786.59762731481</v>
      </c>
      <c r="K81" s="47">
        <v>597.0</v>
      </c>
      <c r="L81" s="127">
        <v>44786.66663194444</v>
      </c>
      <c r="M81" s="47">
        <v>603.0</v>
      </c>
      <c r="N81" s="127">
        <v>44786.56466435185</v>
      </c>
      <c r="O81" s="47">
        <v>602.0</v>
      </c>
      <c r="P81" s="127">
        <v>44786.69809027778</v>
      </c>
      <c r="Q81" s="47">
        <v>612.0</v>
      </c>
      <c r="R81" s="127">
        <v>44787.05422453704</v>
      </c>
      <c r="S81" s="47">
        <v>627.0</v>
      </c>
      <c r="T81" s="127">
        <v>44787.062372685185</v>
      </c>
      <c r="U81" s="47">
        <v>628.0</v>
      </c>
      <c r="V81" s="127">
        <v>44787.18548611111</v>
      </c>
      <c r="W81" s="47">
        <v>632.0</v>
      </c>
      <c r="X81" s="127">
        <v>44787.263090277775</v>
      </c>
      <c r="Y81" s="47">
        <v>657.0</v>
      </c>
      <c r="Z81" s="127">
        <v>44787.33766203704</v>
      </c>
      <c r="AA81" s="47">
        <v>657.0</v>
      </c>
      <c r="AB81" s="127">
        <v>44787.42128472222</v>
      </c>
      <c r="AC81" s="47">
        <v>655.0</v>
      </c>
      <c r="AD81" s="127">
        <v>44787.232256944444</v>
      </c>
      <c r="AE81" s="47">
        <v>655.0</v>
      </c>
      <c r="AF81" s="127">
        <v>44787.3075</v>
      </c>
      <c r="AG81" s="126"/>
      <c r="AH81" s="126"/>
      <c r="AI81" s="126"/>
      <c r="AJ81" s="126"/>
      <c r="AK81" s="126"/>
      <c r="AL81" s="126"/>
      <c r="AM81" s="126"/>
    </row>
    <row r="82" ht="15.75" customHeight="1">
      <c r="A82" s="47">
        <v>596.0</v>
      </c>
      <c r="B82" s="127">
        <v>44786.2528125</v>
      </c>
      <c r="C82" s="47">
        <v>600.0</v>
      </c>
      <c r="D82" s="127">
        <v>44786.32513888889</v>
      </c>
      <c r="E82" s="47">
        <v>595.0</v>
      </c>
      <c r="F82" s="127">
        <v>44786.42009259259</v>
      </c>
      <c r="G82" s="47">
        <v>550.0</v>
      </c>
      <c r="H82" s="127">
        <v>44786.48291666667</v>
      </c>
      <c r="I82" s="47">
        <v>598.0</v>
      </c>
      <c r="J82" s="127">
        <v>44786.5931712963</v>
      </c>
      <c r="K82" s="47">
        <v>598.0</v>
      </c>
      <c r="L82" s="127">
        <v>44786.66668981482</v>
      </c>
      <c r="M82" s="47">
        <v>604.0</v>
      </c>
      <c r="N82" s="127">
        <v>44786.672997685186</v>
      </c>
      <c r="O82" s="47">
        <v>603.0</v>
      </c>
      <c r="P82" s="127">
        <v>44786.644375</v>
      </c>
      <c r="Q82" s="47">
        <v>614.0</v>
      </c>
      <c r="R82" s="127">
        <v>44786.98688657407</v>
      </c>
      <c r="S82" s="47">
        <v>628.0</v>
      </c>
      <c r="T82" s="127">
        <v>44787.06199074074</v>
      </c>
      <c r="U82" s="47">
        <v>629.0</v>
      </c>
      <c r="V82" s="127">
        <v>44786.915925925925</v>
      </c>
      <c r="W82" s="47">
        <v>637.0</v>
      </c>
      <c r="X82" s="127">
        <v>44787.112916666665</v>
      </c>
      <c r="Y82" s="47">
        <v>662.0</v>
      </c>
      <c r="Z82" s="127">
        <v>44787.091875</v>
      </c>
      <c r="AA82" s="47">
        <v>662.0</v>
      </c>
      <c r="AB82" s="127">
        <v>44787.15783564815</v>
      </c>
      <c r="AC82" s="47">
        <v>657.0</v>
      </c>
      <c r="AD82" s="127">
        <v>44787.52587962963</v>
      </c>
      <c r="AE82" s="47">
        <v>657.0</v>
      </c>
      <c r="AF82" s="127">
        <v>44787.62702546296</v>
      </c>
      <c r="AG82" s="126"/>
      <c r="AH82" s="126"/>
      <c r="AI82" s="126"/>
      <c r="AJ82" s="126"/>
      <c r="AK82" s="126"/>
      <c r="AL82" s="126"/>
      <c r="AM82" s="126"/>
    </row>
    <row r="83" ht="15.75" customHeight="1">
      <c r="A83" s="47">
        <v>597.0</v>
      </c>
      <c r="B83" s="127">
        <v>44786.294340277775</v>
      </c>
      <c r="C83" s="47">
        <v>601.0</v>
      </c>
      <c r="D83" s="127">
        <v>44786.306967592594</v>
      </c>
      <c r="E83" s="47">
        <v>596.0</v>
      </c>
      <c r="F83" s="127">
        <v>44786.341990740744</v>
      </c>
      <c r="G83" s="47">
        <v>727.0</v>
      </c>
      <c r="H83" s="127">
        <v>44786.48295138889</v>
      </c>
      <c r="I83" s="47">
        <v>599.0</v>
      </c>
      <c r="J83" s="127">
        <v>44786.483668981484</v>
      </c>
      <c r="K83" s="47">
        <v>599.0</v>
      </c>
      <c r="L83" s="127">
        <v>44786.53842592592</v>
      </c>
      <c r="M83" s="47">
        <v>605.0</v>
      </c>
      <c r="N83" s="127">
        <v>44786.775509259256</v>
      </c>
      <c r="O83" s="47">
        <v>604.0</v>
      </c>
      <c r="P83" s="127">
        <v>44786.775034722225</v>
      </c>
      <c r="Q83" s="47">
        <v>615.0</v>
      </c>
      <c r="R83" s="127">
        <v>44786.9112962963</v>
      </c>
      <c r="S83" s="47">
        <v>629.0</v>
      </c>
      <c r="T83" s="127">
        <v>44786.82834490741</v>
      </c>
      <c r="U83" s="47">
        <v>631.0</v>
      </c>
      <c r="V83" s="127">
        <v>44787.05422453704</v>
      </c>
      <c r="W83" s="47">
        <v>638.0</v>
      </c>
      <c r="X83" s="127">
        <v>44787.148194444446</v>
      </c>
      <c r="Y83" s="47">
        <v>663.0</v>
      </c>
      <c r="Z83" s="127">
        <v>44787.16704861111</v>
      </c>
      <c r="AA83" s="47">
        <v>663.0</v>
      </c>
      <c r="AB83" s="127">
        <v>44787.248252314814</v>
      </c>
      <c r="AC83" s="47">
        <v>662.0</v>
      </c>
      <c r="AD83" s="127">
        <v>44787.26119212963</v>
      </c>
      <c r="AE83" s="47">
        <v>662.0</v>
      </c>
      <c r="AF83" s="127">
        <v>44787.361909722225</v>
      </c>
      <c r="AG83" s="126"/>
      <c r="AH83" s="126"/>
      <c r="AI83" s="126"/>
      <c r="AJ83" s="126"/>
      <c r="AK83" s="126"/>
      <c r="AL83" s="126"/>
      <c r="AM83" s="126"/>
    </row>
    <row r="84" ht="15.75" customHeight="1">
      <c r="A84" s="47">
        <v>598.0</v>
      </c>
      <c r="B84" s="127">
        <v>44786.2740625</v>
      </c>
      <c r="C84" s="47">
        <v>602.0</v>
      </c>
      <c r="D84" s="127">
        <v>44786.32549768518</v>
      </c>
      <c r="E84" s="47">
        <v>597.0</v>
      </c>
      <c r="F84" s="127">
        <v>44786.43677083333</v>
      </c>
      <c r="G84" s="47">
        <v>716.0</v>
      </c>
      <c r="H84" s="127">
        <v>44786.48296296296</v>
      </c>
      <c r="I84" s="47">
        <v>600.0</v>
      </c>
      <c r="J84" s="127">
        <v>44786.58378472222</v>
      </c>
      <c r="K84" s="47">
        <v>600.0</v>
      </c>
      <c r="L84" s="127">
        <v>44786.68349537037</v>
      </c>
      <c r="M84" s="47">
        <v>606.0</v>
      </c>
      <c r="N84" s="127">
        <v>44786.71695601852</v>
      </c>
      <c r="O84" s="47">
        <v>605.0</v>
      </c>
      <c r="P84" s="127">
        <v>44786.881574074076</v>
      </c>
      <c r="Q84" s="47">
        <v>617.0</v>
      </c>
      <c r="R84" s="127">
        <v>44786.811261574076</v>
      </c>
      <c r="S84" s="47">
        <v>631.0</v>
      </c>
      <c r="T84" s="127">
        <v>44786.92778935185</v>
      </c>
      <c r="U84" s="47">
        <v>632.0</v>
      </c>
      <c r="V84" s="127">
        <v>44787.18540509259</v>
      </c>
      <c r="W84" s="47">
        <v>642.0</v>
      </c>
      <c r="X84" s="127">
        <v>44787.10020833334</v>
      </c>
      <c r="Y84" s="47">
        <v>665.0</v>
      </c>
      <c r="Z84" s="127">
        <v>44787.30835648148</v>
      </c>
      <c r="AA84" s="47">
        <v>665.0</v>
      </c>
      <c r="AB84" s="127">
        <v>44787.37774305556</v>
      </c>
      <c r="AC84" s="47">
        <v>663.0</v>
      </c>
      <c r="AD84" s="127">
        <v>44787.35023148148</v>
      </c>
      <c r="AE84" s="47">
        <v>663.0</v>
      </c>
      <c r="AF84" s="127">
        <v>44787.42815972222</v>
      </c>
      <c r="AG84" s="126"/>
      <c r="AH84" s="126"/>
      <c r="AI84" s="126"/>
      <c r="AJ84" s="126"/>
      <c r="AK84" s="126"/>
      <c r="AL84" s="126"/>
      <c r="AM84" s="126"/>
    </row>
    <row r="85" ht="15.75" customHeight="1">
      <c r="A85" s="47">
        <v>599.0</v>
      </c>
      <c r="B85" s="127">
        <v>44786.25278935185</v>
      </c>
      <c r="C85" s="47">
        <v>603.0</v>
      </c>
      <c r="D85" s="127">
        <v>44786.30025462963</v>
      </c>
      <c r="E85" s="47">
        <v>598.0</v>
      </c>
      <c r="F85" s="127">
        <v>44786.420069444444</v>
      </c>
      <c r="G85" s="47">
        <v>690.0</v>
      </c>
      <c r="H85" s="127">
        <v>44786.483078703706</v>
      </c>
      <c r="I85" s="47">
        <v>601.0</v>
      </c>
      <c r="J85" s="127">
        <v>44786.49659722222</v>
      </c>
      <c r="K85" s="47">
        <v>601.0</v>
      </c>
      <c r="L85" s="127">
        <v>44786.56288194445</v>
      </c>
      <c r="M85" s="47">
        <v>607.0</v>
      </c>
      <c r="N85" s="127">
        <v>44786.72293981481</v>
      </c>
      <c r="O85" s="47">
        <v>606.0</v>
      </c>
      <c r="P85" s="127">
        <v>44786.82755787037</v>
      </c>
      <c r="Q85" s="47">
        <v>618.0</v>
      </c>
      <c r="R85" s="127">
        <v>44786.681550925925</v>
      </c>
      <c r="S85" s="47">
        <v>632.0</v>
      </c>
      <c r="T85" s="127">
        <v>44787.06232638889</v>
      </c>
      <c r="U85" s="47">
        <v>637.0</v>
      </c>
      <c r="V85" s="127">
        <v>44787.05422453704</v>
      </c>
      <c r="W85" s="47">
        <v>644.0</v>
      </c>
      <c r="X85" s="127">
        <v>44787.003113425926</v>
      </c>
      <c r="Y85" s="47">
        <v>669.0</v>
      </c>
      <c r="Z85" s="127">
        <v>44787.321875</v>
      </c>
      <c r="AA85" s="47">
        <v>669.0</v>
      </c>
      <c r="AB85" s="127">
        <v>44787.420902777776</v>
      </c>
      <c r="AC85" s="47">
        <v>665.0</v>
      </c>
      <c r="AD85" s="127">
        <v>44787.44143518519</v>
      </c>
      <c r="AE85" s="47">
        <v>665.0</v>
      </c>
      <c r="AF85" s="127">
        <v>44787.496041666665</v>
      </c>
      <c r="AG85" s="126"/>
      <c r="AH85" s="126"/>
      <c r="AI85" s="126"/>
      <c r="AJ85" s="126"/>
      <c r="AK85" s="126"/>
      <c r="AL85" s="126"/>
      <c r="AM85" s="126"/>
    </row>
    <row r="86" ht="15.75" customHeight="1">
      <c r="A86" s="47">
        <v>600.0</v>
      </c>
      <c r="B86" s="127">
        <v>44786.264965277776</v>
      </c>
      <c r="C86" s="47">
        <v>604.0</v>
      </c>
      <c r="D86" s="127">
        <v>44786.31998842592</v>
      </c>
      <c r="E86" s="47">
        <v>599.0</v>
      </c>
      <c r="F86" s="127">
        <v>44786.35233796296</v>
      </c>
      <c r="G86" s="47">
        <v>712.0</v>
      </c>
      <c r="H86" s="127">
        <v>44786.48311342593</v>
      </c>
      <c r="I86" s="47">
        <v>602.0</v>
      </c>
      <c r="J86" s="127">
        <v>44786.514502314814</v>
      </c>
      <c r="K86" s="47">
        <v>602.0</v>
      </c>
      <c r="L86" s="127">
        <v>44786.57013888889</v>
      </c>
      <c r="M86" s="47">
        <v>609.0</v>
      </c>
      <c r="N86" s="127">
        <v>44786.55743055556</v>
      </c>
      <c r="O86" s="47">
        <v>607.0</v>
      </c>
      <c r="P86" s="127">
        <v>44786.830717592595</v>
      </c>
      <c r="Q86" s="47">
        <v>620.0</v>
      </c>
      <c r="R86" s="127">
        <v>44786.697430555556</v>
      </c>
      <c r="S86" s="47">
        <v>633.0</v>
      </c>
      <c r="T86" s="127">
        <v>44787.109351851854</v>
      </c>
      <c r="U86" s="47">
        <v>638.0</v>
      </c>
      <c r="V86" s="127">
        <v>44787.07608796296</v>
      </c>
      <c r="W86" s="47">
        <v>645.0</v>
      </c>
      <c r="X86" s="127">
        <v>44787.05422453704</v>
      </c>
      <c r="Y86" s="47">
        <v>670.0</v>
      </c>
      <c r="Z86" s="127">
        <v>44787.24028935185</v>
      </c>
      <c r="AA86" s="47">
        <v>670.0</v>
      </c>
      <c r="AB86" s="127">
        <v>44787.34315972222</v>
      </c>
      <c r="AC86" s="47">
        <v>669.0</v>
      </c>
      <c r="AD86" s="127">
        <v>44787.518912037034</v>
      </c>
      <c r="AE86" s="47">
        <v>669.0</v>
      </c>
      <c r="AF86" s="127">
        <v>44787.626979166664</v>
      </c>
      <c r="AG86" s="126"/>
      <c r="AH86" s="126"/>
      <c r="AI86" s="126"/>
      <c r="AJ86" s="126"/>
      <c r="AK86" s="126"/>
      <c r="AL86" s="126"/>
      <c r="AM86" s="126"/>
    </row>
    <row r="87" ht="15.75" customHeight="1">
      <c r="A87" s="47">
        <v>601.0</v>
      </c>
      <c r="B87" s="127">
        <v>44786.25523148148</v>
      </c>
      <c r="C87" s="47">
        <v>605.0</v>
      </c>
      <c r="D87" s="127">
        <v>44786.35469907407</v>
      </c>
      <c r="E87" s="47">
        <v>600.0</v>
      </c>
      <c r="F87" s="127">
        <v>44786.40739583333</v>
      </c>
      <c r="G87" s="47">
        <v>615.0</v>
      </c>
      <c r="H87" s="127">
        <v>44786.483136574076</v>
      </c>
      <c r="I87" s="47">
        <v>603.0</v>
      </c>
      <c r="J87" s="127">
        <v>44786.47703703704</v>
      </c>
      <c r="K87" s="47">
        <v>603.0</v>
      </c>
      <c r="L87" s="127">
        <v>44786.53215277778</v>
      </c>
      <c r="M87" s="47">
        <v>611.0</v>
      </c>
      <c r="N87" s="127">
        <v>44786.62391203704</v>
      </c>
      <c r="O87" s="47">
        <v>609.0</v>
      </c>
      <c r="P87" s="127">
        <v>44786.64429398148</v>
      </c>
      <c r="Q87" s="47">
        <v>622.0</v>
      </c>
      <c r="R87" s="127">
        <v>44787.0071875</v>
      </c>
      <c r="S87" s="47">
        <v>637.0</v>
      </c>
      <c r="T87" s="127">
        <v>44786.939988425926</v>
      </c>
      <c r="U87" s="47">
        <v>642.0</v>
      </c>
      <c r="V87" s="127">
        <v>44787.05422453704</v>
      </c>
      <c r="W87" s="47">
        <v>647.0</v>
      </c>
      <c r="X87" s="127">
        <v>44787.189097222225</v>
      </c>
      <c r="Y87" s="47">
        <v>673.0</v>
      </c>
      <c r="Z87" s="127">
        <v>44787.370416666665</v>
      </c>
      <c r="AA87" s="47">
        <v>673.0</v>
      </c>
      <c r="AB87" s="127">
        <v>44787.44908564815</v>
      </c>
      <c r="AC87" s="47">
        <v>670.0</v>
      </c>
      <c r="AD87" s="127">
        <v>44787.477951388886</v>
      </c>
      <c r="AE87" s="47">
        <v>670.0</v>
      </c>
      <c r="AF87" s="127">
        <v>44787.56427083333</v>
      </c>
      <c r="AG87" s="126"/>
      <c r="AH87" s="126"/>
      <c r="AI87" s="126"/>
      <c r="AJ87" s="126"/>
      <c r="AK87" s="126"/>
      <c r="AL87" s="126"/>
      <c r="AM87" s="126"/>
    </row>
    <row r="88" ht="15.75" customHeight="1">
      <c r="A88" s="47">
        <v>602.0</v>
      </c>
      <c r="B88" s="127">
        <v>44786.27086805556</v>
      </c>
      <c r="C88" s="47">
        <v>606.0</v>
      </c>
      <c r="D88" s="127">
        <v>44786.33101851852</v>
      </c>
      <c r="E88" s="47">
        <v>601.0</v>
      </c>
      <c r="F88" s="127">
        <v>44786.3702662037</v>
      </c>
      <c r="G88" s="47">
        <v>581.0</v>
      </c>
      <c r="H88" s="127">
        <v>44786.48706018519</v>
      </c>
      <c r="I88" s="47">
        <v>604.0</v>
      </c>
      <c r="J88" s="127">
        <v>44786.54599537037</v>
      </c>
      <c r="K88" s="47">
        <v>604.0</v>
      </c>
      <c r="L88" s="127">
        <v>44786.62391203704</v>
      </c>
      <c r="M88" s="47">
        <v>612.0</v>
      </c>
      <c r="N88" s="127">
        <v>44786.78439814815</v>
      </c>
      <c r="O88" s="47">
        <v>611.0</v>
      </c>
      <c r="P88" s="127">
        <v>44786.71372685185</v>
      </c>
      <c r="Q88" s="47">
        <v>623.0</v>
      </c>
      <c r="R88" s="127">
        <v>44786.7722337963</v>
      </c>
      <c r="S88" s="47">
        <v>638.0</v>
      </c>
      <c r="T88" s="127">
        <v>44786.96527777778</v>
      </c>
      <c r="U88" s="47">
        <v>644.0</v>
      </c>
      <c r="V88" s="127">
        <v>44786.91622685185</v>
      </c>
      <c r="W88" s="47">
        <v>648.0</v>
      </c>
      <c r="X88" s="127">
        <v>44787.25480324074</v>
      </c>
      <c r="Y88" s="47">
        <v>675.0</v>
      </c>
      <c r="Z88" s="127">
        <v>44787.14474537037</v>
      </c>
      <c r="AA88" s="47">
        <v>676.0</v>
      </c>
      <c r="AB88" s="127">
        <v>44787.421331018515</v>
      </c>
      <c r="AC88" s="47">
        <v>673.0</v>
      </c>
      <c r="AD88" s="127">
        <v>44787.580196759256</v>
      </c>
      <c r="AE88" s="47">
        <v>675.0</v>
      </c>
      <c r="AF88" s="127">
        <v>44787.415972222225</v>
      </c>
      <c r="AG88" s="126"/>
      <c r="AH88" s="126"/>
      <c r="AI88" s="126"/>
      <c r="AJ88" s="126"/>
      <c r="AK88" s="126"/>
      <c r="AL88" s="126"/>
      <c r="AM88" s="126"/>
    </row>
    <row r="89" ht="15.75" customHeight="1">
      <c r="A89" s="47">
        <v>603.0</v>
      </c>
      <c r="B89" s="127">
        <v>44786.25288194444</v>
      </c>
      <c r="C89" s="47">
        <v>607.0</v>
      </c>
      <c r="D89" s="127">
        <v>44786.35494212963</v>
      </c>
      <c r="E89" s="47">
        <v>602.0</v>
      </c>
      <c r="F89" s="127">
        <v>44786.38756944444</v>
      </c>
      <c r="G89" s="47">
        <v>522.0</v>
      </c>
      <c r="H89" s="127">
        <v>44786.48707175926</v>
      </c>
      <c r="I89" s="47">
        <v>605.0</v>
      </c>
      <c r="J89" s="127">
        <v>44786.62391203704</v>
      </c>
      <c r="K89" s="47">
        <v>606.0</v>
      </c>
      <c r="L89" s="127">
        <v>44786.65755787037</v>
      </c>
      <c r="M89" s="47">
        <v>614.0</v>
      </c>
      <c r="N89" s="127">
        <v>44786.77101851852</v>
      </c>
      <c r="O89" s="47">
        <v>612.0</v>
      </c>
      <c r="P89" s="127">
        <v>44786.934212962966</v>
      </c>
      <c r="Q89" s="47">
        <v>625.0</v>
      </c>
      <c r="R89" s="127">
        <v>44786.86813657408</v>
      </c>
      <c r="S89" s="47">
        <v>642.0</v>
      </c>
      <c r="T89" s="127">
        <v>44786.92092592592</v>
      </c>
      <c r="U89" s="47">
        <v>645.0</v>
      </c>
      <c r="V89" s="127">
        <v>44786.97284722222</v>
      </c>
      <c r="W89" s="47">
        <v>649.0</v>
      </c>
      <c r="X89" s="127">
        <v>44787.238900462966</v>
      </c>
      <c r="Y89" s="47">
        <v>676.0</v>
      </c>
      <c r="Z89" s="127">
        <v>44787.33086805556</v>
      </c>
      <c r="AA89" s="47">
        <v>681.0</v>
      </c>
      <c r="AB89" s="127">
        <v>44787.43586805555</v>
      </c>
      <c r="AC89" s="47">
        <v>675.0</v>
      </c>
      <c r="AD89" s="127">
        <v>44787.32879629629</v>
      </c>
      <c r="AE89" s="47">
        <v>676.0</v>
      </c>
      <c r="AF89" s="127">
        <v>44787.63280092592</v>
      </c>
      <c r="AG89" s="126"/>
      <c r="AH89" s="126"/>
      <c r="AI89" s="126"/>
      <c r="AJ89" s="126"/>
      <c r="AK89" s="126"/>
      <c r="AL89" s="126"/>
      <c r="AM89" s="126"/>
    </row>
    <row r="90" ht="15.75" customHeight="1">
      <c r="A90" s="47">
        <v>604.0</v>
      </c>
      <c r="B90" s="127">
        <v>44786.26420138889</v>
      </c>
      <c r="C90" s="47">
        <v>608.0</v>
      </c>
      <c r="D90" s="127">
        <v>44786.3702662037</v>
      </c>
      <c r="E90" s="47">
        <v>603.0</v>
      </c>
      <c r="F90" s="127">
        <v>44786.35228009259</v>
      </c>
      <c r="G90" s="47">
        <v>647.0</v>
      </c>
      <c r="H90" s="127">
        <v>44786.48710648148</v>
      </c>
      <c r="I90" s="47">
        <v>606.0</v>
      </c>
      <c r="J90" s="127">
        <v>44786.583703703705</v>
      </c>
      <c r="K90" s="47">
        <v>607.0</v>
      </c>
      <c r="L90" s="127">
        <v>44786.657685185186</v>
      </c>
      <c r="M90" s="47">
        <v>615.0</v>
      </c>
      <c r="N90" s="127">
        <v>44786.7106712963</v>
      </c>
      <c r="O90" s="47">
        <v>614.0</v>
      </c>
      <c r="P90" s="127">
        <v>44786.88159722222</v>
      </c>
      <c r="Q90" s="47">
        <v>626.0</v>
      </c>
      <c r="R90" s="127">
        <v>44786.88974537037</v>
      </c>
      <c r="S90" s="47">
        <v>643.0</v>
      </c>
      <c r="T90" s="127">
        <v>44787.06201388889</v>
      </c>
      <c r="U90" s="47">
        <v>647.0</v>
      </c>
      <c r="V90" s="127">
        <v>44787.099340277775</v>
      </c>
      <c r="W90" s="47">
        <v>650.0</v>
      </c>
      <c r="X90" s="127">
        <v>44786.997453703705</v>
      </c>
      <c r="Y90" s="47">
        <v>681.0</v>
      </c>
      <c r="Z90" s="127">
        <v>44787.340416666666</v>
      </c>
      <c r="AA90" s="47">
        <v>683.0</v>
      </c>
      <c r="AB90" s="127">
        <v>44787.33143518519</v>
      </c>
      <c r="AC90" s="47">
        <v>676.0</v>
      </c>
      <c r="AD90" s="127">
        <v>44787.542905092596</v>
      </c>
      <c r="AE90" s="47">
        <v>681.0</v>
      </c>
      <c r="AF90" s="127">
        <v>44787.62721064815</v>
      </c>
      <c r="AG90" s="126"/>
      <c r="AH90" s="126"/>
      <c r="AI90" s="126"/>
      <c r="AJ90" s="126"/>
      <c r="AK90" s="126"/>
      <c r="AL90" s="126"/>
      <c r="AM90" s="126"/>
    </row>
    <row r="91" ht="15.75" customHeight="1">
      <c r="A91" s="47">
        <v>605.0</v>
      </c>
      <c r="B91" s="127">
        <v>44786.27471064815</v>
      </c>
      <c r="C91" s="47">
        <v>609.0</v>
      </c>
      <c r="D91" s="127">
        <v>44786.30694444444</v>
      </c>
      <c r="E91" s="47">
        <v>604.0</v>
      </c>
      <c r="F91" s="127">
        <v>44786.387395833335</v>
      </c>
      <c r="G91" s="47">
        <v>528.0</v>
      </c>
      <c r="H91" s="127">
        <v>44786.487129629626</v>
      </c>
      <c r="I91" s="47">
        <v>607.0</v>
      </c>
      <c r="J91" s="127">
        <v>44786.58424768518</v>
      </c>
      <c r="K91" s="47">
        <v>608.0</v>
      </c>
      <c r="L91" s="127">
        <v>44786.76068287037</v>
      </c>
      <c r="M91" s="47">
        <v>617.0</v>
      </c>
      <c r="N91" s="127">
        <v>44786.64126157408</v>
      </c>
      <c r="O91" s="47">
        <v>615.0</v>
      </c>
      <c r="P91" s="127">
        <v>44786.82748842592</v>
      </c>
      <c r="Q91" s="47">
        <v>627.0</v>
      </c>
      <c r="R91" s="127">
        <v>44786.928194444445</v>
      </c>
      <c r="S91" s="47">
        <v>644.0</v>
      </c>
      <c r="T91" s="127">
        <v>44786.83599537037</v>
      </c>
      <c r="U91" s="47">
        <v>648.0</v>
      </c>
      <c r="V91" s="127">
        <v>44787.18568287037</v>
      </c>
      <c r="W91" s="47">
        <v>651.0</v>
      </c>
      <c r="X91" s="127">
        <v>44787.13623842593</v>
      </c>
      <c r="Y91" s="47">
        <v>683.0</v>
      </c>
      <c r="Z91" s="127">
        <v>44787.233773148146</v>
      </c>
      <c r="AA91" s="47">
        <v>684.0</v>
      </c>
      <c r="AB91" s="127">
        <v>44787.20107638889</v>
      </c>
      <c r="AC91" s="47">
        <v>681.0</v>
      </c>
      <c r="AD91" s="127">
        <v>44787.542962962965</v>
      </c>
      <c r="AE91" s="47">
        <v>683.0</v>
      </c>
      <c r="AF91" s="127">
        <v>44787.5477662037</v>
      </c>
      <c r="AG91" s="126"/>
      <c r="AH91" s="126"/>
      <c r="AI91" s="126"/>
      <c r="AJ91" s="126"/>
      <c r="AK91" s="126"/>
      <c r="AL91" s="126"/>
      <c r="AM91" s="126"/>
    </row>
    <row r="92" ht="15.75" customHeight="1">
      <c r="A92" s="47">
        <v>606.0</v>
      </c>
      <c r="B92" s="127">
        <v>44786.27056712963</v>
      </c>
      <c r="C92" s="47">
        <v>611.0</v>
      </c>
      <c r="D92" s="127">
        <v>44786.320601851854</v>
      </c>
      <c r="E92" s="47">
        <v>605.0</v>
      </c>
      <c r="F92" s="127">
        <v>44786.43677083333</v>
      </c>
      <c r="G92" s="47">
        <v>696.0</v>
      </c>
      <c r="H92" s="127">
        <v>44786.48715277778</v>
      </c>
      <c r="I92" s="47">
        <v>608.0</v>
      </c>
      <c r="J92" s="127">
        <v>44786.66039351852</v>
      </c>
      <c r="K92" s="47">
        <v>609.0</v>
      </c>
      <c r="L92" s="127">
        <v>44786.5209837963</v>
      </c>
      <c r="M92" s="47">
        <v>620.0</v>
      </c>
      <c r="N92" s="127">
        <v>44786.560115740744</v>
      </c>
      <c r="O92" s="47">
        <v>617.0</v>
      </c>
      <c r="P92" s="127">
        <v>44786.74254629629</v>
      </c>
      <c r="Q92" s="47">
        <v>628.0</v>
      </c>
      <c r="R92" s="127">
        <v>44786.93765046296</v>
      </c>
      <c r="S92" s="47">
        <v>645.0</v>
      </c>
      <c r="T92" s="127">
        <v>44786.87831018519</v>
      </c>
      <c r="U92" s="47">
        <v>649.0</v>
      </c>
      <c r="V92" s="127">
        <v>44787.18494212963</v>
      </c>
      <c r="W92" s="47">
        <v>653.0</v>
      </c>
      <c r="X92" s="127">
        <v>44787.16590277778</v>
      </c>
      <c r="Y92" s="47">
        <v>684.0</v>
      </c>
      <c r="Z92" s="127">
        <v>44787.09824074074</v>
      </c>
      <c r="AA92" s="47">
        <v>685.0</v>
      </c>
      <c r="AB92" s="127">
        <v>44787.077256944445</v>
      </c>
      <c r="AC92" s="47">
        <v>683.0</v>
      </c>
      <c r="AD92" s="127">
        <v>44787.452199074076</v>
      </c>
      <c r="AE92" s="47">
        <v>684.0</v>
      </c>
      <c r="AF92" s="127">
        <v>44787.39766203704</v>
      </c>
      <c r="AG92" s="126"/>
      <c r="AH92" s="126"/>
      <c r="AI92" s="126"/>
      <c r="AJ92" s="126"/>
      <c r="AK92" s="126"/>
      <c r="AL92" s="126"/>
      <c r="AM92" s="126"/>
    </row>
    <row r="93" ht="15.75" customHeight="1">
      <c r="A93" s="47">
        <v>607.0</v>
      </c>
      <c r="B93" s="127">
        <v>44786.27916666667</v>
      </c>
      <c r="C93" s="47">
        <v>612.0</v>
      </c>
      <c r="D93" s="127">
        <v>44786.3702662037</v>
      </c>
      <c r="E93" s="47">
        <v>606.0</v>
      </c>
      <c r="F93" s="127">
        <v>44786.40762731482</v>
      </c>
      <c r="G93" s="47">
        <v>575.0</v>
      </c>
      <c r="H93" s="127">
        <v>44786.487280092595</v>
      </c>
      <c r="I93" s="47">
        <v>609.0</v>
      </c>
      <c r="J93" s="127">
        <v>44786.4684837963</v>
      </c>
      <c r="K93" s="47">
        <v>611.0</v>
      </c>
      <c r="L93" s="127">
        <v>44786.576898148145</v>
      </c>
      <c r="M93" s="47">
        <v>622.0</v>
      </c>
      <c r="N93" s="127">
        <v>44786.79460648148</v>
      </c>
      <c r="O93" s="47">
        <v>618.0</v>
      </c>
      <c r="P93" s="127">
        <v>44786.633356481485</v>
      </c>
      <c r="Q93" s="47">
        <v>629.0</v>
      </c>
      <c r="R93" s="127">
        <v>44786.760671296295</v>
      </c>
      <c r="S93" s="47">
        <v>647.0</v>
      </c>
      <c r="T93" s="127">
        <v>44786.977013888885</v>
      </c>
      <c r="U93" s="47">
        <v>650.0</v>
      </c>
      <c r="V93" s="127">
        <v>44786.91611111111</v>
      </c>
      <c r="W93" s="47">
        <v>655.0</v>
      </c>
      <c r="X93" s="127">
        <v>44786.991423611114</v>
      </c>
      <c r="Y93" s="47">
        <v>685.0</v>
      </c>
      <c r="Z93" s="127">
        <v>44787.05422453704</v>
      </c>
      <c r="AA93" s="47">
        <v>686.0</v>
      </c>
      <c r="AB93" s="127">
        <v>44787.168333333335</v>
      </c>
      <c r="AC93" s="47">
        <v>684.0</v>
      </c>
      <c r="AD93" s="127">
        <v>44787.29857638889</v>
      </c>
      <c r="AE93" s="47">
        <v>685.0</v>
      </c>
      <c r="AF93" s="127">
        <v>44787.2453125</v>
      </c>
      <c r="AG93" s="126"/>
      <c r="AH93" s="126"/>
      <c r="AI93" s="126"/>
      <c r="AJ93" s="126"/>
      <c r="AK93" s="126"/>
      <c r="AL93" s="126"/>
      <c r="AM93" s="126"/>
    </row>
    <row r="94" ht="15.75" customHeight="1">
      <c r="A94" s="47">
        <v>609.0</v>
      </c>
      <c r="B94" s="127">
        <v>44786.25524305556</v>
      </c>
      <c r="C94" s="47">
        <v>613.0</v>
      </c>
      <c r="D94" s="127">
        <v>44786.307071759256</v>
      </c>
      <c r="E94" s="47">
        <v>607.0</v>
      </c>
      <c r="F94" s="127">
        <v>44786.420069444444</v>
      </c>
      <c r="G94" s="47">
        <v>553.0</v>
      </c>
      <c r="H94" s="127">
        <v>44786.48730324074</v>
      </c>
      <c r="I94" s="47">
        <v>611.0</v>
      </c>
      <c r="J94" s="127">
        <v>44786.51453703704</v>
      </c>
      <c r="K94" s="47">
        <v>612.0</v>
      </c>
      <c r="L94" s="127">
        <v>44786.732465277775</v>
      </c>
      <c r="M94" s="47">
        <v>623.0</v>
      </c>
      <c r="N94" s="127">
        <v>44786.62391203704</v>
      </c>
      <c r="O94" s="47">
        <v>620.0</v>
      </c>
      <c r="P94" s="127">
        <v>44786.64435185185</v>
      </c>
      <c r="Q94" s="47">
        <v>630.0</v>
      </c>
      <c r="R94" s="127">
        <v>44787.05422453704</v>
      </c>
      <c r="S94" s="47">
        <v>648.0</v>
      </c>
      <c r="T94" s="127">
        <v>44787.062268518515</v>
      </c>
      <c r="U94" s="47">
        <v>651.0</v>
      </c>
      <c r="V94" s="127">
        <v>44787.05422453704</v>
      </c>
      <c r="W94" s="47">
        <v>657.0</v>
      </c>
      <c r="X94" s="127">
        <v>44787.287824074076</v>
      </c>
      <c r="Y94" s="47">
        <v>686.0</v>
      </c>
      <c r="Z94" s="127">
        <v>44787.091944444444</v>
      </c>
      <c r="AA94" s="47">
        <v>687.0</v>
      </c>
      <c r="AB94" s="127">
        <v>44787.28659722222</v>
      </c>
      <c r="AC94" s="47">
        <v>685.0</v>
      </c>
      <c r="AD94" s="127">
        <v>44787.168032407404</v>
      </c>
      <c r="AE94" s="47">
        <v>686.0</v>
      </c>
      <c r="AF94" s="127">
        <v>44787.36966435185</v>
      </c>
      <c r="AG94" s="126"/>
      <c r="AH94" s="126"/>
      <c r="AI94" s="126"/>
      <c r="AJ94" s="126"/>
      <c r="AK94" s="126"/>
      <c r="AL94" s="126"/>
      <c r="AM94" s="126"/>
    </row>
    <row r="95" ht="15.75" customHeight="1">
      <c r="A95" s="47">
        <v>611.0</v>
      </c>
      <c r="B95" s="127">
        <v>44786.2647337963</v>
      </c>
      <c r="C95" s="47">
        <v>614.0</v>
      </c>
      <c r="D95" s="127">
        <v>44786.35491898148</v>
      </c>
      <c r="E95" s="47">
        <v>608.0</v>
      </c>
      <c r="F95" s="127">
        <v>44786.45178240741</v>
      </c>
      <c r="G95" s="47">
        <v>591.0</v>
      </c>
      <c r="H95" s="127">
        <v>44786.48732638889</v>
      </c>
      <c r="I95" s="47">
        <v>612.0</v>
      </c>
      <c r="J95" s="127">
        <v>44786.63964120371</v>
      </c>
      <c r="K95" s="47">
        <v>614.0</v>
      </c>
      <c r="L95" s="127">
        <v>44786.707337962966</v>
      </c>
      <c r="M95" s="47">
        <v>625.0</v>
      </c>
      <c r="N95" s="127">
        <v>44786.70255787037</v>
      </c>
      <c r="O95" s="47">
        <v>622.0</v>
      </c>
      <c r="P95" s="127">
        <v>44786.92895833333</v>
      </c>
      <c r="Q95" s="47">
        <v>631.0</v>
      </c>
      <c r="R95" s="127">
        <v>44786.8233912037</v>
      </c>
      <c r="S95" s="47">
        <v>649.0</v>
      </c>
      <c r="T95" s="127">
        <v>44787.05422453704</v>
      </c>
      <c r="U95" s="47">
        <v>653.0</v>
      </c>
      <c r="V95" s="127">
        <v>44787.05422453704</v>
      </c>
      <c r="W95" s="47">
        <v>662.0</v>
      </c>
      <c r="X95" s="127">
        <v>44787.05422453704</v>
      </c>
      <c r="Y95" s="47">
        <v>687.0</v>
      </c>
      <c r="Z95" s="127">
        <v>44787.16710648148</v>
      </c>
      <c r="AA95" s="47">
        <v>688.0</v>
      </c>
      <c r="AB95" s="127">
        <v>44787.36508101852</v>
      </c>
      <c r="AC95" s="47">
        <v>686.0</v>
      </c>
      <c r="AD95" s="127">
        <v>44787.2803587963</v>
      </c>
      <c r="AE95" s="47">
        <v>687.0</v>
      </c>
      <c r="AF95" s="127">
        <v>44787.52208333334</v>
      </c>
      <c r="AG95" s="126"/>
      <c r="AH95" s="126"/>
      <c r="AI95" s="126"/>
      <c r="AJ95" s="126"/>
      <c r="AK95" s="126"/>
      <c r="AL95" s="126"/>
      <c r="AM95" s="126"/>
    </row>
    <row r="96" ht="15.75" customHeight="1">
      <c r="A96" s="47">
        <v>612.0</v>
      </c>
      <c r="B96" s="127">
        <v>44786.29640046296</v>
      </c>
      <c r="C96" s="47">
        <v>615.0</v>
      </c>
      <c r="D96" s="127">
        <v>44786.32496527778</v>
      </c>
      <c r="E96" s="47">
        <v>609.0</v>
      </c>
      <c r="F96" s="127">
        <v>44786.352372685185</v>
      </c>
      <c r="G96" s="47">
        <v>663.0</v>
      </c>
      <c r="H96" s="127">
        <v>44786.48737268519</v>
      </c>
      <c r="I96" s="47">
        <v>614.0</v>
      </c>
      <c r="J96" s="127">
        <v>44786.62391203704</v>
      </c>
      <c r="K96" s="47">
        <v>615.0</v>
      </c>
      <c r="L96" s="127">
        <v>44786.65125</v>
      </c>
      <c r="M96" s="47">
        <v>626.0</v>
      </c>
      <c r="N96" s="127">
        <v>44786.71068287037</v>
      </c>
      <c r="O96" s="47">
        <v>623.0</v>
      </c>
      <c r="P96" s="127">
        <v>44786.7037037037</v>
      </c>
      <c r="Q96" s="47">
        <v>632.0</v>
      </c>
      <c r="R96" s="127">
        <v>44786.93734953704</v>
      </c>
      <c r="S96" s="47">
        <v>650.0</v>
      </c>
      <c r="T96" s="127">
        <v>44786.8328587963</v>
      </c>
      <c r="U96" s="47">
        <v>655.0</v>
      </c>
      <c r="V96" s="127">
        <v>44786.91608796296</v>
      </c>
      <c r="W96" s="47">
        <v>663.0</v>
      </c>
      <c r="X96" s="127">
        <v>44787.10673611111</v>
      </c>
      <c r="Y96" s="47">
        <v>688.0</v>
      </c>
      <c r="Z96" s="127">
        <v>44787.27333333333</v>
      </c>
      <c r="AA96" s="47">
        <v>689.0</v>
      </c>
      <c r="AB96" s="127">
        <v>44787.05422453704</v>
      </c>
      <c r="AC96" s="47">
        <v>687.0</v>
      </c>
      <c r="AD96" s="127">
        <v>44787.415972222225</v>
      </c>
      <c r="AE96" s="47">
        <v>688.0</v>
      </c>
      <c r="AF96" s="127">
        <v>44787.5646412037</v>
      </c>
      <c r="AG96" s="126"/>
      <c r="AH96" s="126"/>
      <c r="AI96" s="126"/>
      <c r="AJ96" s="126"/>
      <c r="AK96" s="126"/>
      <c r="AL96" s="126"/>
      <c r="AM96" s="126"/>
    </row>
    <row r="97" ht="15.75" customHeight="1">
      <c r="A97" s="47">
        <v>613.0</v>
      </c>
      <c r="B97" s="127">
        <v>44786.26152777778</v>
      </c>
      <c r="C97" s="47">
        <v>616.0</v>
      </c>
      <c r="D97" s="127">
        <v>44786.355046296296</v>
      </c>
      <c r="E97" s="47">
        <v>611.0</v>
      </c>
      <c r="F97" s="127">
        <v>44786.387395833335</v>
      </c>
      <c r="G97" s="47">
        <v>549.0</v>
      </c>
      <c r="H97" s="127">
        <v>44786.48741898148</v>
      </c>
      <c r="I97" s="47">
        <v>615.0</v>
      </c>
      <c r="J97" s="127">
        <v>44786.56413194445</v>
      </c>
      <c r="K97" s="47">
        <v>617.0</v>
      </c>
      <c r="L97" s="127">
        <v>44786.594502314816</v>
      </c>
      <c r="M97" s="47">
        <v>627.0</v>
      </c>
      <c r="N97" s="127">
        <v>44786.73003472222</v>
      </c>
      <c r="O97" s="47">
        <v>625.0</v>
      </c>
      <c r="P97" s="127">
        <v>44786.795439814814</v>
      </c>
      <c r="Q97" s="47">
        <v>633.0</v>
      </c>
      <c r="R97" s="127">
        <v>44786.9672337963</v>
      </c>
      <c r="S97" s="47">
        <v>651.0</v>
      </c>
      <c r="T97" s="127">
        <v>44786.93996527778</v>
      </c>
      <c r="U97" s="47">
        <v>657.0</v>
      </c>
      <c r="V97" s="127">
        <v>44787.202418981484</v>
      </c>
      <c r="W97" s="47">
        <v>665.0</v>
      </c>
      <c r="X97" s="127">
        <v>44787.25476851852</v>
      </c>
      <c r="Y97" s="47">
        <v>689.0</v>
      </c>
      <c r="Z97" s="127">
        <v>44786.966782407406</v>
      </c>
      <c r="AA97" s="47">
        <v>692.0</v>
      </c>
      <c r="AB97" s="127">
        <v>44787.20113425926</v>
      </c>
      <c r="AC97" s="47">
        <v>688.0</v>
      </c>
      <c r="AD97" s="127">
        <v>44787.47806712963</v>
      </c>
      <c r="AE97" s="47">
        <v>689.0</v>
      </c>
      <c r="AF97" s="127">
        <v>44787.1775462963</v>
      </c>
      <c r="AG97" s="126"/>
      <c r="AH97" s="126"/>
      <c r="AI97" s="126"/>
      <c r="AJ97" s="126"/>
      <c r="AK97" s="126"/>
      <c r="AL97" s="126"/>
      <c r="AM97" s="126"/>
    </row>
    <row r="98" ht="15.75" customHeight="1">
      <c r="A98" s="47">
        <v>614.0</v>
      </c>
      <c r="B98" s="127">
        <v>44786.27858796297</v>
      </c>
      <c r="C98" s="47">
        <v>617.0</v>
      </c>
      <c r="D98" s="127">
        <v>44786.325474537036</v>
      </c>
      <c r="E98" s="47">
        <v>612.0</v>
      </c>
      <c r="F98" s="127">
        <v>44786.451516203706</v>
      </c>
      <c r="G98" s="47">
        <v>547.0</v>
      </c>
      <c r="H98" s="127">
        <v>44786.48743055556</v>
      </c>
      <c r="I98" s="47">
        <v>616.0</v>
      </c>
      <c r="J98" s="127">
        <v>44786.66045138889</v>
      </c>
      <c r="K98" s="47">
        <v>618.0</v>
      </c>
      <c r="L98" s="127">
        <v>44786.52092592593</v>
      </c>
      <c r="M98" s="47">
        <v>628.0</v>
      </c>
      <c r="N98" s="127">
        <v>44786.7299537037</v>
      </c>
      <c r="O98" s="47">
        <v>626.0</v>
      </c>
      <c r="P98" s="127">
        <v>44786.81255787037</v>
      </c>
      <c r="Q98" s="47">
        <v>637.0</v>
      </c>
      <c r="R98" s="127">
        <v>44786.835486111115</v>
      </c>
      <c r="S98" s="47">
        <v>653.0</v>
      </c>
      <c r="T98" s="127">
        <v>44786.93509259259</v>
      </c>
      <c r="U98" s="47">
        <v>662.0</v>
      </c>
      <c r="V98" s="127">
        <v>44786.94173611111</v>
      </c>
      <c r="W98" s="47">
        <v>669.0</v>
      </c>
      <c r="X98" s="127">
        <v>44787.263125</v>
      </c>
      <c r="Y98" s="47">
        <v>692.0</v>
      </c>
      <c r="Z98" s="127">
        <v>44787.11739583333</v>
      </c>
      <c r="AA98" s="47">
        <v>693.0</v>
      </c>
      <c r="AB98" s="127">
        <v>44787.37769675926</v>
      </c>
      <c r="AC98" s="47">
        <v>689.0</v>
      </c>
      <c r="AD98" s="127">
        <v>44787.10768518518</v>
      </c>
      <c r="AE98" s="47">
        <v>692.0</v>
      </c>
      <c r="AF98" s="127">
        <v>44787.36203703703</v>
      </c>
      <c r="AG98" s="126"/>
      <c r="AH98" s="126"/>
      <c r="AI98" s="126"/>
      <c r="AJ98" s="126"/>
      <c r="AK98" s="126"/>
      <c r="AL98" s="126"/>
      <c r="AM98" s="126"/>
    </row>
    <row r="99" ht="15.75" customHeight="1">
      <c r="A99" s="47">
        <v>615.0</v>
      </c>
      <c r="B99" s="127">
        <v>44786.264710648145</v>
      </c>
      <c r="C99" s="47">
        <v>618.0</v>
      </c>
      <c r="D99" s="127">
        <v>44786.30023148148</v>
      </c>
      <c r="E99" s="47">
        <v>613.0</v>
      </c>
      <c r="F99" s="127">
        <v>44786.3702662037</v>
      </c>
      <c r="G99" s="47">
        <v>677.0</v>
      </c>
      <c r="H99" s="127">
        <v>44786.49549768519</v>
      </c>
      <c r="I99" s="47">
        <v>617.0</v>
      </c>
      <c r="J99" s="127">
        <v>44786.52916666667</v>
      </c>
      <c r="K99" s="47">
        <v>620.0</v>
      </c>
      <c r="L99" s="127">
        <v>44786.521099537036</v>
      </c>
      <c r="M99" s="47">
        <v>629.0</v>
      </c>
      <c r="N99" s="127">
        <v>44786.599490740744</v>
      </c>
      <c r="O99" s="47">
        <v>627.0</v>
      </c>
      <c r="P99" s="127">
        <v>44786.849375</v>
      </c>
      <c r="Q99" s="47">
        <v>638.0</v>
      </c>
      <c r="R99" s="127">
        <v>44786.868113425924</v>
      </c>
      <c r="S99" s="47">
        <v>655.0</v>
      </c>
      <c r="T99" s="127">
        <v>44786.83289351852</v>
      </c>
      <c r="U99" s="47">
        <v>663.0</v>
      </c>
      <c r="V99" s="127">
        <v>44787.05422453704</v>
      </c>
      <c r="W99" s="47">
        <v>670.0</v>
      </c>
      <c r="X99" s="127">
        <v>44787.15662037037</v>
      </c>
      <c r="Y99" s="47">
        <v>693.0</v>
      </c>
      <c r="Z99" s="127">
        <v>44787.28498842593</v>
      </c>
      <c r="AA99" s="47">
        <v>695.0</v>
      </c>
      <c r="AB99" s="127">
        <v>44787.37771990741</v>
      </c>
      <c r="AC99" s="47">
        <v>692.0</v>
      </c>
      <c r="AD99" s="127">
        <v>44787.29445601852</v>
      </c>
      <c r="AE99" s="47">
        <v>693.0</v>
      </c>
      <c r="AF99" s="127">
        <v>44787.597349537034</v>
      </c>
      <c r="AG99" s="126"/>
      <c r="AH99" s="126"/>
      <c r="AI99" s="126"/>
      <c r="AJ99" s="126"/>
      <c r="AK99" s="126"/>
      <c r="AL99" s="126"/>
      <c r="AM99" s="126"/>
    </row>
    <row r="100" ht="15.75" customHeight="1">
      <c r="A100" s="47">
        <v>616.0</v>
      </c>
      <c r="B100" s="127">
        <v>44786.27453703704</v>
      </c>
      <c r="C100" s="47">
        <v>620.0</v>
      </c>
      <c r="D100" s="127">
        <v>44786.30030092593</v>
      </c>
      <c r="E100" s="47">
        <v>614.0</v>
      </c>
      <c r="F100" s="127">
        <v>44786.43677083333</v>
      </c>
      <c r="G100" s="47">
        <v>566.0</v>
      </c>
      <c r="H100" s="127">
        <v>44786.495520833334</v>
      </c>
      <c r="I100" s="47">
        <v>618.0</v>
      </c>
      <c r="J100" s="127">
        <v>44786.46466435185</v>
      </c>
      <c r="K100" s="47">
        <v>622.0</v>
      </c>
      <c r="L100" s="127">
        <v>44786.71295138889</v>
      </c>
      <c r="M100" s="47">
        <v>630.0</v>
      </c>
      <c r="N100" s="127">
        <v>44786.784375</v>
      </c>
      <c r="O100" s="47">
        <v>628.0</v>
      </c>
      <c r="P100" s="127">
        <v>44786.84945601852</v>
      </c>
      <c r="Q100" s="47">
        <v>639.0</v>
      </c>
      <c r="R100" s="127">
        <v>44786.9434375</v>
      </c>
      <c r="S100" s="47">
        <v>657.0</v>
      </c>
      <c r="T100" s="127">
        <v>44787.109305555554</v>
      </c>
      <c r="U100" s="47">
        <v>665.0</v>
      </c>
      <c r="V100" s="127">
        <v>44787.18570601852</v>
      </c>
      <c r="W100" s="47">
        <v>673.0</v>
      </c>
      <c r="X100" s="127">
        <v>44787.304606481484</v>
      </c>
      <c r="Y100" s="47">
        <v>695.0</v>
      </c>
      <c r="Z100" s="127">
        <v>44787.27324074074</v>
      </c>
      <c r="AA100" s="47">
        <v>696.0</v>
      </c>
      <c r="AB100" s="127">
        <v>44787.36510416667</v>
      </c>
      <c r="AC100" s="47">
        <v>693.0</v>
      </c>
      <c r="AD100" s="127">
        <v>44787.495729166665</v>
      </c>
      <c r="AE100" s="47">
        <v>695.0</v>
      </c>
      <c r="AF100" s="127">
        <v>44787.5796412037</v>
      </c>
      <c r="AG100" s="126"/>
      <c r="AH100" s="126"/>
      <c r="AI100" s="126"/>
      <c r="AJ100" s="126"/>
      <c r="AK100" s="126"/>
      <c r="AL100" s="126"/>
      <c r="AM100" s="126"/>
    </row>
    <row r="101" ht="15.75" customHeight="1">
      <c r="A101" s="47">
        <v>617.0</v>
      </c>
      <c r="B101" s="127">
        <v>44786.268692129626</v>
      </c>
      <c r="C101" s="47">
        <v>622.0</v>
      </c>
      <c r="D101" s="127">
        <v>44786.3702662037</v>
      </c>
      <c r="E101" s="47">
        <v>615.0</v>
      </c>
      <c r="F101" s="127">
        <v>44786.40739583333</v>
      </c>
      <c r="G101" s="47">
        <v>719.0</v>
      </c>
      <c r="H101" s="127">
        <v>44786.49555555556</v>
      </c>
      <c r="I101" s="47">
        <v>620.0</v>
      </c>
      <c r="J101" s="127">
        <v>44786.47207175926</v>
      </c>
      <c r="K101" s="47">
        <v>623.0</v>
      </c>
      <c r="L101" s="127">
        <v>44786.57001157408</v>
      </c>
      <c r="M101" s="47">
        <v>631.0</v>
      </c>
      <c r="N101" s="127">
        <v>44786.6487037037</v>
      </c>
      <c r="O101" s="47">
        <v>629.0</v>
      </c>
      <c r="P101" s="127">
        <v>44786.68809027778</v>
      </c>
      <c r="Q101" s="47">
        <v>642.0</v>
      </c>
      <c r="R101" s="127">
        <v>44786.817453703705</v>
      </c>
      <c r="S101" s="47">
        <v>662.0</v>
      </c>
      <c r="T101" s="127">
        <v>44786.8509375</v>
      </c>
      <c r="U101" s="47">
        <v>669.0</v>
      </c>
      <c r="V101" s="127">
        <v>44787.18576388889</v>
      </c>
      <c r="W101" s="47">
        <v>675.0</v>
      </c>
      <c r="X101" s="127">
        <v>44787.091319444444</v>
      </c>
      <c r="Y101" s="47">
        <v>696.0</v>
      </c>
      <c r="Z101" s="127">
        <v>44787.270324074074</v>
      </c>
      <c r="AA101" s="47">
        <v>697.0</v>
      </c>
      <c r="AB101" s="127">
        <v>44787.15777777778</v>
      </c>
      <c r="AC101" s="47">
        <v>695.0</v>
      </c>
      <c r="AD101" s="127">
        <v>44787.47826388889</v>
      </c>
      <c r="AE101" s="47">
        <v>696.0</v>
      </c>
      <c r="AF101" s="127">
        <v>44787.579780092594</v>
      </c>
      <c r="AG101" s="126"/>
      <c r="AH101" s="126"/>
      <c r="AI101" s="126"/>
      <c r="AJ101" s="126"/>
      <c r="AK101" s="126"/>
      <c r="AL101" s="126"/>
      <c r="AM101" s="126"/>
    </row>
    <row r="102" ht="15.75" customHeight="1">
      <c r="A102" s="47">
        <v>618.0</v>
      </c>
      <c r="B102" s="127">
        <v>44786.25293981482</v>
      </c>
      <c r="C102" s="47">
        <v>623.0</v>
      </c>
      <c r="D102" s="127">
        <v>44786.320868055554</v>
      </c>
      <c r="E102" s="47">
        <v>616.0</v>
      </c>
      <c r="F102" s="127">
        <v>44786.43677083333</v>
      </c>
      <c r="G102" s="47">
        <v>535.0</v>
      </c>
      <c r="H102" s="127">
        <v>44786.4955787037</v>
      </c>
      <c r="I102" s="47">
        <v>622.0</v>
      </c>
      <c r="J102" s="127">
        <v>44786.63964120371</v>
      </c>
      <c r="K102" s="47">
        <v>625.0</v>
      </c>
      <c r="L102" s="127">
        <v>44786.63967592592</v>
      </c>
      <c r="M102" s="47">
        <v>632.0</v>
      </c>
      <c r="N102" s="127">
        <v>44786.74605324074</v>
      </c>
      <c r="O102" s="47">
        <v>630.0</v>
      </c>
      <c r="P102" s="127">
        <v>44786.9056712963</v>
      </c>
      <c r="Q102" s="47">
        <v>643.0</v>
      </c>
      <c r="R102" s="127">
        <v>44786.91905092593</v>
      </c>
      <c r="S102" s="47">
        <v>663.0</v>
      </c>
      <c r="T102" s="127">
        <v>44786.935115740744</v>
      </c>
      <c r="U102" s="47">
        <v>670.0</v>
      </c>
      <c r="V102" s="127">
        <v>44787.05422453704</v>
      </c>
      <c r="W102" s="47">
        <v>676.0</v>
      </c>
      <c r="X102" s="127">
        <v>44787.26315972222</v>
      </c>
      <c r="Y102" s="47">
        <v>697.0</v>
      </c>
      <c r="Z102" s="127">
        <v>44787.091828703706</v>
      </c>
      <c r="AA102" s="47">
        <v>699.0</v>
      </c>
      <c r="AB102" s="127">
        <v>44787.35482638889</v>
      </c>
      <c r="AC102" s="47">
        <v>696.0</v>
      </c>
      <c r="AD102" s="127">
        <v>44787.478217592594</v>
      </c>
      <c r="AE102" s="47">
        <v>697.0</v>
      </c>
      <c r="AF102" s="127">
        <v>44787.36958333333</v>
      </c>
      <c r="AG102" s="126"/>
      <c r="AH102" s="126"/>
      <c r="AI102" s="126"/>
      <c r="AJ102" s="126"/>
      <c r="AK102" s="126"/>
      <c r="AL102" s="126"/>
      <c r="AM102" s="126"/>
    </row>
    <row r="103" ht="15.75" customHeight="1">
      <c r="A103" s="47">
        <v>620.0</v>
      </c>
      <c r="B103" s="127">
        <v>44786.25295138889</v>
      </c>
      <c r="C103" s="47">
        <v>624.0</v>
      </c>
      <c r="D103" s="127">
        <v>44786.3702662037</v>
      </c>
      <c r="E103" s="47">
        <v>617.0</v>
      </c>
      <c r="F103" s="127">
        <v>44786.40739583333</v>
      </c>
      <c r="G103" s="47">
        <v>704.0</v>
      </c>
      <c r="H103" s="127">
        <v>44786.49561342593</v>
      </c>
      <c r="I103" s="47">
        <v>623.0</v>
      </c>
      <c r="J103" s="127">
        <v>44786.50912037037</v>
      </c>
      <c r="K103" s="47">
        <v>626.0</v>
      </c>
      <c r="L103" s="127">
        <v>44786.6515162037</v>
      </c>
      <c r="M103" s="47">
        <v>633.0</v>
      </c>
      <c r="N103" s="127">
        <v>44786.760671296295</v>
      </c>
      <c r="O103" s="47">
        <v>631.0</v>
      </c>
      <c r="P103" s="127">
        <v>44786.760671296295</v>
      </c>
      <c r="Q103" s="47">
        <v>644.0</v>
      </c>
      <c r="R103" s="127">
        <v>44786.76392361111</v>
      </c>
      <c r="S103" s="47">
        <v>664.0</v>
      </c>
      <c r="T103" s="127">
        <v>44787.09416666667</v>
      </c>
      <c r="U103" s="47">
        <v>673.0</v>
      </c>
      <c r="V103" s="127">
        <v>44787.202569444446</v>
      </c>
      <c r="W103" s="47">
        <v>681.0</v>
      </c>
      <c r="X103" s="127">
        <v>44787.28778935185</v>
      </c>
      <c r="Y103" s="47">
        <v>699.0</v>
      </c>
      <c r="Z103" s="127">
        <v>44787.2703587963</v>
      </c>
      <c r="AA103" s="47">
        <v>702.0</v>
      </c>
      <c r="AB103" s="127">
        <v>44787.13065972222</v>
      </c>
      <c r="AC103" s="47">
        <v>697.0</v>
      </c>
      <c r="AD103" s="127">
        <v>44787.28030092592</v>
      </c>
      <c r="AE103" s="47">
        <v>699.0</v>
      </c>
      <c r="AF103" s="127">
        <v>44787.56444444445</v>
      </c>
      <c r="AG103" s="126"/>
      <c r="AH103" s="126"/>
      <c r="AI103" s="126"/>
      <c r="AJ103" s="126"/>
      <c r="AK103" s="126"/>
      <c r="AL103" s="126"/>
      <c r="AM103" s="126"/>
    </row>
    <row r="104" ht="15.75" customHeight="1">
      <c r="A104" s="47">
        <v>622.0</v>
      </c>
      <c r="B104" s="127">
        <v>44786.296377314815</v>
      </c>
      <c r="C104" s="47">
        <v>625.0</v>
      </c>
      <c r="D104" s="127">
        <v>44786.34743055556</v>
      </c>
      <c r="E104" s="47">
        <v>618.0</v>
      </c>
      <c r="F104" s="127">
        <v>44786.34642361111</v>
      </c>
      <c r="G104" s="47">
        <v>732.0</v>
      </c>
      <c r="H104" s="127">
        <v>44786.495717592596</v>
      </c>
      <c r="I104" s="47">
        <v>625.0</v>
      </c>
      <c r="J104" s="127">
        <v>44786.57487268518</v>
      </c>
      <c r="K104" s="47">
        <v>627.0</v>
      </c>
      <c r="L104" s="127">
        <v>44786.67165509259</v>
      </c>
      <c r="M104" s="47">
        <v>637.0</v>
      </c>
      <c r="N104" s="127">
        <v>44786.66716435185</v>
      </c>
      <c r="O104" s="47">
        <v>632.0</v>
      </c>
      <c r="P104" s="127">
        <v>44786.86478009259</v>
      </c>
      <c r="Q104" s="47">
        <v>645.0</v>
      </c>
      <c r="R104" s="127">
        <v>44786.79112268519</v>
      </c>
      <c r="S104" s="47">
        <v>665.0</v>
      </c>
      <c r="T104" s="127">
        <v>44787.07350694444</v>
      </c>
      <c r="U104" s="47">
        <v>675.0</v>
      </c>
      <c r="V104" s="127">
        <v>44787.05422453704</v>
      </c>
      <c r="W104" s="47">
        <v>683.0</v>
      </c>
      <c r="X104" s="127">
        <v>44787.15692129629</v>
      </c>
      <c r="Y104" s="47">
        <v>701.0</v>
      </c>
      <c r="Z104" s="127">
        <v>44787.379282407404</v>
      </c>
      <c r="AA104" s="47">
        <v>703.0</v>
      </c>
      <c r="AB104" s="127">
        <v>44787.322384259256</v>
      </c>
      <c r="AC104" s="47">
        <v>699.0</v>
      </c>
      <c r="AD104" s="127">
        <v>44787.4562037037</v>
      </c>
      <c r="AE104" s="47">
        <v>702.0</v>
      </c>
      <c r="AF104" s="127">
        <v>44787.323587962965</v>
      </c>
      <c r="AG104" s="126"/>
      <c r="AH104" s="126"/>
      <c r="AI104" s="126"/>
      <c r="AJ104" s="126"/>
      <c r="AK104" s="126"/>
      <c r="AL104" s="126"/>
      <c r="AM104" s="126"/>
    </row>
    <row r="105" ht="15.75" customHeight="1">
      <c r="A105" s="47">
        <v>623.0</v>
      </c>
      <c r="B105" s="127">
        <v>44786.26488425926</v>
      </c>
      <c r="C105" s="47">
        <v>626.0</v>
      </c>
      <c r="D105" s="127">
        <v>44786.348078703704</v>
      </c>
      <c r="E105" s="47">
        <v>620.0</v>
      </c>
      <c r="F105" s="127">
        <v>44786.34649305556</v>
      </c>
      <c r="G105" s="47">
        <v>648.0</v>
      </c>
      <c r="H105" s="127">
        <v>44786.49574074074</v>
      </c>
      <c r="I105" s="47">
        <v>626.0</v>
      </c>
      <c r="J105" s="127">
        <v>44786.5840625</v>
      </c>
      <c r="K105" s="47">
        <v>628.0</v>
      </c>
      <c r="L105" s="127">
        <v>44786.6718287037</v>
      </c>
      <c r="M105" s="47">
        <v>638.0</v>
      </c>
      <c r="N105" s="127">
        <v>44786.6922337963</v>
      </c>
      <c r="O105" s="47">
        <v>633.0</v>
      </c>
      <c r="P105" s="127">
        <v>44786.865335648145</v>
      </c>
      <c r="Q105" s="47">
        <v>647.0</v>
      </c>
      <c r="R105" s="127">
        <v>44786.86819444445</v>
      </c>
      <c r="S105" s="47">
        <v>669.0</v>
      </c>
      <c r="T105" s="127">
        <v>44787.08930555556</v>
      </c>
      <c r="U105" s="47">
        <v>676.0</v>
      </c>
      <c r="V105" s="127">
        <v>44787.18502314815</v>
      </c>
      <c r="W105" s="47">
        <v>684.0</v>
      </c>
      <c r="X105" s="127">
        <v>44787.05422453704</v>
      </c>
      <c r="Y105" s="47">
        <v>702.0</v>
      </c>
      <c r="Z105" s="127">
        <v>44787.05422453704</v>
      </c>
      <c r="AA105" s="47">
        <v>705.0</v>
      </c>
      <c r="AB105" s="127">
        <v>44787.3653125</v>
      </c>
      <c r="AC105" s="47">
        <v>702.0</v>
      </c>
      <c r="AD105" s="127">
        <v>44787.23211805556</v>
      </c>
      <c r="AE105" s="47">
        <v>703.0</v>
      </c>
      <c r="AF105" s="127">
        <v>44787.48451388889</v>
      </c>
      <c r="AG105" s="126"/>
      <c r="AH105" s="126"/>
      <c r="AI105" s="126"/>
      <c r="AJ105" s="126"/>
      <c r="AK105" s="126"/>
      <c r="AL105" s="126"/>
      <c r="AM105" s="126"/>
    </row>
    <row r="106" ht="15.75" customHeight="1">
      <c r="A106" s="47">
        <v>624.0</v>
      </c>
      <c r="B106" s="127">
        <v>44786.297314814816</v>
      </c>
      <c r="C106" s="47">
        <v>627.0</v>
      </c>
      <c r="D106" s="127">
        <v>44786.34820601852</v>
      </c>
      <c r="E106" s="47">
        <v>622.0</v>
      </c>
      <c r="F106" s="127">
        <v>44786.43677083333</v>
      </c>
      <c r="G106" s="47">
        <v>519.0</v>
      </c>
      <c r="H106" s="127">
        <v>44786.49576388889</v>
      </c>
      <c r="I106" s="47">
        <v>627.0</v>
      </c>
      <c r="J106" s="127">
        <v>44786.59340277778</v>
      </c>
      <c r="K106" s="47">
        <v>629.0</v>
      </c>
      <c r="L106" s="127">
        <v>44786.5541087963</v>
      </c>
      <c r="M106" s="47">
        <v>639.0</v>
      </c>
      <c r="N106" s="127">
        <v>44786.742164351854</v>
      </c>
      <c r="O106" s="47">
        <v>637.0</v>
      </c>
      <c r="P106" s="127">
        <v>44786.77475694445</v>
      </c>
      <c r="Q106" s="47">
        <v>648.0</v>
      </c>
      <c r="R106" s="127">
        <v>44786.943506944444</v>
      </c>
      <c r="S106" s="47">
        <v>670.0</v>
      </c>
      <c r="T106" s="127">
        <v>44786.96436342593</v>
      </c>
      <c r="U106" s="47">
        <v>680.0</v>
      </c>
      <c r="V106" s="127">
        <v>44787.20277777778</v>
      </c>
      <c r="W106" s="47">
        <v>685.0</v>
      </c>
      <c r="X106" s="127">
        <v>44786.97121527778</v>
      </c>
      <c r="Y106" s="47">
        <v>703.0</v>
      </c>
      <c r="Z106" s="127">
        <v>44787.21556712963</v>
      </c>
      <c r="AA106" s="47">
        <v>706.0</v>
      </c>
      <c r="AB106" s="127">
        <v>44787.343194444446</v>
      </c>
      <c r="AC106" s="47">
        <v>703.0</v>
      </c>
      <c r="AD106" s="127">
        <v>44787.40146990741</v>
      </c>
      <c r="AE106" s="47">
        <v>705.0</v>
      </c>
      <c r="AF106" s="127">
        <v>44787.56453703704</v>
      </c>
      <c r="AG106" s="126"/>
      <c r="AH106" s="126"/>
      <c r="AI106" s="126"/>
      <c r="AJ106" s="126"/>
      <c r="AK106" s="126"/>
      <c r="AL106" s="126"/>
      <c r="AM106" s="126"/>
    </row>
    <row r="107" ht="15.75" customHeight="1">
      <c r="A107" s="47">
        <v>625.0</v>
      </c>
      <c r="B107" s="127">
        <v>44786.297060185185</v>
      </c>
      <c r="C107" s="47">
        <v>628.0</v>
      </c>
      <c r="D107" s="127">
        <v>44786.35427083333</v>
      </c>
      <c r="E107" s="47">
        <v>623.0</v>
      </c>
      <c r="F107" s="127">
        <v>44786.387395833335</v>
      </c>
      <c r="G107" s="47">
        <v>643.0</v>
      </c>
      <c r="H107" s="127">
        <v>44786.49581018519</v>
      </c>
      <c r="I107" s="47">
        <v>628.0</v>
      </c>
      <c r="J107" s="127">
        <v>44786.59306712963</v>
      </c>
      <c r="K107" s="47">
        <v>630.0</v>
      </c>
      <c r="L107" s="127">
        <v>44786.70736111111</v>
      </c>
      <c r="M107" s="47">
        <v>642.0</v>
      </c>
      <c r="N107" s="127">
        <v>44786.64130787037</v>
      </c>
      <c r="O107" s="47">
        <v>638.0</v>
      </c>
      <c r="P107" s="127">
        <v>44786.795578703706</v>
      </c>
      <c r="Q107" s="47">
        <v>649.0</v>
      </c>
      <c r="R107" s="127">
        <v>44786.92836805555</v>
      </c>
      <c r="S107" s="47">
        <v>673.0</v>
      </c>
      <c r="T107" s="127">
        <v>44787.094189814816</v>
      </c>
      <c r="U107" s="47">
        <v>681.0</v>
      </c>
      <c r="V107" s="127">
        <v>44787.18609953704</v>
      </c>
      <c r="W107" s="47">
        <v>686.0</v>
      </c>
      <c r="X107" s="127">
        <v>44787.05422453704</v>
      </c>
      <c r="Y107" s="47">
        <v>705.0</v>
      </c>
      <c r="Z107" s="127">
        <v>44787.286944444444</v>
      </c>
      <c r="AA107" s="47">
        <v>709.0</v>
      </c>
      <c r="AB107" s="127">
        <v>44787.26453703704</v>
      </c>
      <c r="AC107" s="47">
        <v>705.0</v>
      </c>
      <c r="AD107" s="127">
        <v>44787.47818287037</v>
      </c>
      <c r="AE107" s="47">
        <v>706.0</v>
      </c>
      <c r="AF107" s="127">
        <v>44787.564571759256</v>
      </c>
      <c r="AG107" s="126"/>
      <c r="AH107" s="126"/>
      <c r="AI107" s="126"/>
      <c r="AJ107" s="126"/>
      <c r="AK107" s="126"/>
      <c r="AL107" s="126"/>
      <c r="AM107" s="126"/>
    </row>
    <row r="108" ht="15.75" customHeight="1">
      <c r="A108" s="47">
        <v>626.0</v>
      </c>
      <c r="B108" s="127">
        <v>44786.274560185186</v>
      </c>
      <c r="C108" s="47">
        <v>629.0</v>
      </c>
      <c r="D108" s="127">
        <v>44786.31108796296</v>
      </c>
      <c r="E108" s="47">
        <v>624.0</v>
      </c>
      <c r="F108" s="127">
        <v>44786.451828703706</v>
      </c>
      <c r="G108" s="47">
        <v>705.0</v>
      </c>
      <c r="H108" s="127">
        <v>44786.49582175926</v>
      </c>
      <c r="I108" s="47">
        <v>629.0</v>
      </c>
      <c r="J108" s="127">
        <v>44786.49363425926</v>
      </c>
      <c r="K108" s="47">
        <v>631.0</v>
      </c>
      <c r="L108" s="127">
        <v>44786.59462962963</v>
      </c>
      <c r="M108" s="47">
        <v>643.0</v>
      </c>
      <c r="N108" s="127">
        <v>44786.72278935185</v>
      </c>
      <c r="O108" s="47">
        <v>639.0</v>
      </c>
      <c r="P108" s="127">
        <v>44786.86486111111</v>
      </c>
      <c r="Q108" s="47">
        <v>650.0</v>
      </c>
      <c r="R108" s="127">
        <v>44786.747662037036</v>
      </c>
      <c r="S108" s="47">
        <v>675.0</v>
      </c>
      <c r="T108" s="127">
        <v>44786.91368055555</v>
      </c>
      <c r="U108" s="47">
        <v>683.0</v>
      </c>
      <c r="V108" s="127">
        <v>44787.05422453704</v>
      </c>
      <c r="W108" s="47">
        <v>687.0</v>
      </c>
      <c r="X108" s="127">
        <v>44787.09135416667</v>
      </c>
      <c r="Y108" s="47">
        <v>706.0</v>
      </c>
      <c r="Z108" s="127">
        <v>44787.25059027778</v>
      </c>
      <c r="AA108" s="47">
        <v>713.0</v>
      </c>
      <c r="AB108" s="127">
        <v>44787.23775462963</v>
      </c>
      <c r="AC108" s="47">
        <v>706.0</v>
      </c>
      <c r="AD108" s="127">
        <v>44787.459386574075</v>
      </c>
      <c r="AE108" s="47">
        <v>709.0</v>
      </c>
      <c r="AF108" s="127">
        <v>44787.44489583333</v>
      </c>
      <c r="AG108" s="126"/>
      <c r="AH108" s="126"/>
      <c r="AI108" s="126"/>
      <c r="AJ108" s="126"/>
      <c r="AK108" s="126"/>
      <c r="AL108" s="126"/>
      <c r="AM108" s="126"/>
    </row>
    <row r="109" ht="15.75" customHeight="1">
      <c r="A109" s="47">
        <v>627.0</v>
      </c>
      <c r="B109" s="127">
        <v>44786.27408564815</v>
      </c>
      <c r="C109" s="47">
        <v>630.0</v>
      </c>
      <c r="D109" s="127">
        <v>44786.3543287037</v>
      </c>
      <c r="E109" s="47">
        <v>625.0</v>
      </c>
      <c r="F109" s="127">
        <v>44786.420069444444</v>
      </c>
      <c r="G109" s="47">
        <v>559.0</v>
      </c>
      <c r="H109" s="127">
        <v>44786.49591435185</v>
      </c>
      <c r="I109" s="47">
        <v>630.0</v>
      </c>
      <c r="J109" s="127">
        <v>44786.62391203704</v>
      </c>
      <c r="K109" s="47">
        <v>632.0</v>
      </c>
      <c r="L109" s="127">
        <v>44786.683530092596</v>
      </c>
      <c r="M109" s="47">
        <v>644.0</v>
      </c>
      <c r="N109" s="127">
        <v>44786.61001157408</v>
      </c>
      <c r="O109" s="47">
        <v>642.0</v>
      </c>
      <c r="P109" s="127">
        <v>44786.760671296295</v>
      </c>
      <c r="Q109" s="47">
        <v>651.0</v>
      </c>
      <c r="R109" s="127">
        <v>44786.83907407407</v>
      </c>
      <c r="S109" s="47">
        <v>676.0</v>
      </c>
      <c r="T109" s="127">
        <v>44787.06196759259</v>
      </c>
      <c r="U109" s="47">
        <v>684.0</v>
      </c>
      <c r="V109" s="127">
        <v>44786.97278935185</v>
      </c>
      <c r="W109" s="47">
        <v>688.0</v>
      </c>
      <c r="X109" s="127">
        <v>44787.208449074074</v>
      </c>
      <c r="Y109" s="47">
        <v>709.0</v>
      </c>
      <c r="Z109" s="127">
        <v>44787.17434027778</v>
      </c>
      <c r="AA109" s="47">
        <v>714.0</v>
      </c>
      <c r="AB109" s="127">
        <v>44787.37762731482</v>
      </c>
      <c r="AC109" s="47">
        <v>709.0</v>
      </c>
      <c r="AD109" s="127">
        <v>44787.35359953704</v>
      </c>
      <c r="AE109" s="47">
        <v>713.0</v>
      </c>
      <c r="AF109" s="127">
        <v>44787.44482638889</v>
      </c>
      <c r="AG109" s="126"/>
      <c r="AH109" s="126"/>
      <c r="AI109" s="126"/>
      <c r="AJ109" s="126"/>
      <c r="AK109" s="126"/>
      <c r="AL109" s="126"/>
      <c r="AM109" s="126"/>
    </row>
    <row r="110" ht="15.75" customHeight="1">
      <c r="A110" s="47">
        <v>628.0</v>
      </c>
      <c r="B110" s="127">
        <v>44786.27444444445</v>
      </c>
      <c r="C110" s="47">
        <v>631.0</v>
      </c>
      <c r="D110" s="127">
        <v>44786.31982638889</v>
      </c>
      <c r="E110" s="47">
        <v>626.0</v>
      </c>
      <c r="F110" s="127">
        <v>44786.420069444444</v>
      </c>
      <c r="G110" s="47">
        <v>649.0</v>
      </c>
      <c r="H110" s="127">
        <v>44786.49613425926</v>
      </c>
      <c r="I110" s="47">
        <v>631.0</v>
      </c>
      <c r="J110" s="127">
        <v>44786.52893518518</v>
      </c>
      <c r="K110" s="47">
        <v>633.0</v>
      </c>
      <c r="L110" s="127">
        <v>44786.688425925924</v>
      </c>
      <c r="M110" s="47">
        <v>645.0</v>
      </c>
      <c r="N110" s="127">
        <v>44786.644791666666</v>
      </c>
      <c r="O110" s="47">
        <v>643.0</v>
      </c>
      <c r="P110" s="127">
        <v>44786.74252314815</v>
      </c>
      <c r="Q110" s="47">
        <v>653.0</v>
      </c>
      <c r="R110" s="127">
        <v>44786.83547453704</v>
      </c>
      <c r="S110" s="47">
        <v>680.0</v>
      </c>
      <c r="T110" s="127">
        <v>44787.08936342593</v>
      </c>
      <c r="U110" s="47">
        <v>685.0</v>
      </c>
      <c r="V110" s="127">
        <v>44786.9158912037</v>
      </c>
      <c r="W110" s="47">
        <v>689.0</v>
      </c>
      <c r="X110" s="127">
        <v>44786.927141203705</v>
      </c>
      <c r="Y110" s="47">
        <v>713.0</v>
      </c>
      <c r="Z110" s="127">
        <v>44787.14255787037</v>
      </c>
      <c r="AA110" s="47">
        <v>715.0</v>
      </c>
      <c r="AB110" s="127">
        <v>44787.20109953704</v>
      </c>
      <c r="AC110" s="47">
        <v>713.0</v>
      </c>
      <c r="AD110" s="127">
        <v>44787.34987268518</v>
      </c>
      <c r="AE110" s="47">
        <v>714.0</v>
      </c>
      <c r="AF110" s="127">
        <v>44787.53528935185</v>
      </c>
      <c r="AG110" s="126"/>
      <c r="AH110" s="126"/>
      <c r="AI110" s="126"/>
      <c r="AJ110" s="126"/>
      <c r="AK110" s="126"/>
      <c r="AL110" s="126"/>
      <c r="AM110" s="126"/>
    </row>
    <row r="111" ht="15.75" customHeight="1">
      <c r="A111" s="47">
        <v>629.0</v>
      </c>
      <c r="B111" s="127">
        <v>44786.26310185185</v>
      </c>
      <c r="C111" s="47">
        <v>632.0</v>
      </c>
      <c r="D111" s="127">
        <v>44786.3702662037</v>
      </c>
      <c r="E111" s="47">
        <v>627.0</v>
      </c>
      <c r="F111" s="127">
        <v>44786.420069444444</v>
      </c>
      <c r="G111" s="47">
        <v>717.0</v>
      </c>
      <c r="H111" s="127">
        <v>44786.50271990741</v>
      </c>
      <c r="I111" s="47">
        <v>632.0</v>
      </c>
      <c r="J111" s="127">
        <v>44786.60916666667</v>
      </c>
      <c r="K111" s="47">
        <v>637.0</v>
      </c>
      <c r="L111" s="127">
        <v>44786.62391203704</v>
      </c>
      <c r="M111" s="47">
        <v>647.0</v>
      </c>
      <c r="N111" s="127">
        <v>44786.692199074074</v>
      </c>
      <c r="O111" s="47">
        <v>644.0</v>
      </c>
      <c r="P111" s="127">
        <v>44786.698217592595</v>
      </c>
      <c r="Q111" s="47">
        <v>655.0</v>
      </c>
      <c r="R111" s="127">
        <v>44786.760671296295</v>
      </c>
      <c r="S111" s="47">
        <v>681.0</v>
      </c>
      <c r="T111" s="127">
        <v>44787.072071759256</v>
      </c>
      <c r="U111" s="47">
        <v>686.0</v>
      </c>
      <c r="V111" s="127">
        <v>44786.9725</v>
      </c>
      <c r="W111" s="47">
        <v>692.0</v>
      </c>
      <c r="X111" s="127">
        <v>44787.06570601852</v>
      </c>
      <c r="Y111" s="47">
        <v>714.0</v>
      </c>
      <c r="Z111" s="127">
        <v>44787.28391203703</v>
      </c>
      <c r="AA111" s="47">
        <v>716.0</v>
      </c>
      <c r="AB111" s="127">
        <v>44787.36516203704</v>
      </c>
      <c r="AC111" s="47">
        <v>714.0</v>
      </c>
      <c r="AD111" s="127">
        <v>44787.477858796294</v>
      </c>
      <c r="AE111" s="47">
        <v>715.0</v>
      </c>
      <c r="AF111" s="127">
        <v>44787.369618055556</v>
      </c>
      <c r="AG111" s="126"/>
      <c r="AH111" s="126"/>
      <c r="AI111" s="126"/>
      <c r="AJ111" s="126"/>
      <c r="AK111" s="126"/>
      <c r="AL111" s="126"/>
      <c r="AM111" s="126"/>
    </row>
    <row r="112" ht="15.75" customHeight="1">
      <c r="A112" s="47">
        <v>630.0</v>
      </c>
      <c r="B112" s="127">
        <v>44786.27494212963</v>
      </c>
      <c r="C112" s="47">
        <v>633.0</v>
      </c>
      <c r="D112" s="127">
        <v>44786.3702662037</v>
      </c>
      <c r="E112" s="47">
        <v>628.0</v>
      </c>
      <c r="F112" s="127">
        <v>44786.420069444444</v>
      </c>
      <c r="G112" s="47">
        <v>693.0</v>
      </c>
      <c r="H112" s="127">
        <v>44786.50274305556</v>
      </c>
      <c r="I112" s="47">
        <v>633.0</v>
      </c>
      <c r="J112" s="127">
        <v>44786.60951388889</v>
      </c>
      <c r="K112" s="47">
        <v>638.0</v>
      </c>
      <c r="L112" s="127">
        <v>44786.639652777776</v>
      </c>
      <c r="M112" s="47">
        <v>648.0</v>
      </c>
      <c r="N112" s="127">
        <v>44786.76068287037</v>
      </c>
      <c r="O112" s="47">
        <v>645.0</v>
      </c>
      <c r="P112" s="127">
        <v>44786.73519675926</v>
      </c>
      <c r="Q112" s="47">
        <v>657.0</v>
      </c>
      <c r="R112" s="127">
        <v>44786.99790509259</v>
      </c>
      <c r="S112" s="47">
        <v>683.0</v>
      </c>
      <c r="T112" s="127">
        <v>44786.96443287037</v>
      </c>
      <c r="U112" s="47">
        <v>687.0</v>
      </c>
      <c r="V112" s="127">
        <v>44787.05422453704</v>
      </c>
      <c r="W112" s="47">
        <v>693.0</v>
      </c>
      <c r="X112" s="127">
        <v>44787.217986111114</v>
      </c>
      <c r="Y112" s="47">
        <v>715.0</v>
      </c>
      <c r="Z112" s="127">
        <v>44787.10135416667</v>
      </c>
      <c r="AA112" s="47">
        <v>719.0</v>
      </c>
      <c r="AB112" s="127">
        <v>44787.303460648145</v>
      </c>
      <c r="AC112" s="47">
        <v>715.0</v>
      </c>
      <c r="AD112" s="127">
        <v>44787.29456018518</v>
      </c>
      <c r="AE112" s="47">
        <v>716.0</v>
      </c>
      <c r="AF112" s="127">
        <v>44787.56460648148</v>
      </c>
      <c r="AG112" s="126"/>
      <c r="AH112" s="126"/>
      <c r="AI112" s="126"/>
      <c r="AJ112" s="126"/>
      <c r="AK112" s="126"/>
      <c r="AL112" s="126"/>
      <c r="AM112" s="126"/>
    </row>
    <row r="113" ht="15.75" customHeight="1">
      <c r="A113" s="47">
        <v>631.0</v>
      </c>
      <c r="B113" s="127">
        <v>44786.26421296296</v>
      </c>
      <c r="C113" s="47">
        <v>637.0</v>
      </c>
      <c r="D113" s="127">
        <v>44786.32498842593</v>
      </c>
      <c r="E113" s="47">
        <v>629.0</v>
      </c>
      <c r="F113" s="127">
        <v>44786.3702662037</v>
      </c>
      <c r="G113" s="47">
        <v>625.0</v>
      </c>
      <c r="H113" s="127">
        <v>44786.502754629626</v>
      </c>
      <c r="I113" s="47">
        <v>637.0</v>
      </c>
      <c r="J113" s="127">
        <v>44786.55334490741</v>
      </c>
      <c r="K113" s="47">
        <v>639.0</v>
      </c>
      <c r="L113" s="127">
        <v>44786.666666666664</v>
      </c>
      <c r="M113" s="47">
        <v>649.0</v>
      </c>
      <c r="N113" s="127">
        <v>44786.73355324074</v>
      </c>
      <c r="O113" s="47">
        <v>647.0</v>
      </c>
      <c r="P113" s="127">
        <v>44786.79571759259</v>
      </c>
      <c r="Q113" s="47">
        <v>662.0</v>
      </c>
      <c r="R113" s="127">
        <v>44786.77228009259</v>
      </c>
      <c r="S113" s="47">
        <v>684.0</v>
      </c>
      <c r="T113" s="127">
        <v>44786.866631944446</v>
      </c>
      <c r="U113" s="47">
        <v>688.0</v>
      </c>
      <c r="V113" s="127">
        <v>44787.09939814815</v>
      </c>
      <c r="W113" s="47">
        <v>695.0</v>
      </c>
      <c r="X113" s="127">
        <v>44787.189050925925</v>
      </c>
      <c r="Y113" s="47">
        <v>716.0</v>
      </c>
      <c r="Z113" s="127">
        <v>44787.27903935185</v>
      </c>
      <c r="AA113" s="47">
        <v>722.0</v>
      </c>
      <c r="AB113" s="127">
        <v>44787.264444444445</v>
      </c>
      <c r="AC113" s="47">
        <v>716.0</v>
      </c>
      <c r="AD113" s="127">
        <v>44787.478101851855</v>
      </c>
      <c r="AE113" s="47">
        <v>719.0</v>
      </c>
      <c r="AF113" s="127">
        <v>44787.484560185185</v>
      </c>
      <c r="AG113" s="126"/>
      <c r="AH113" s="126"/>
      <c r="AI113" s="126"/>
      <c r="AJ113" s="126"/>
      <c r="AK113" s="126"/>
      <c r="AL113" s="126"/>
      <c r="AM113" s="126"/>
    </row>
    <row r="114" ht="15.75" customHeight="1">
      <c r="A114" s="47">
        <v>632.0</v>
      </c>
      <c r="B114" s="127">
        <v>44786.27936342593</v>
      </c>
      <c r="C114" s="47">
        <v>639.0</v>
      </c>
      <c r="D114" s="127">
        <v>44786.33082175926</v>
      </c>
      <c r="E114" s="47">
        <v>630.0</v>
      </c>
      <c r="F114" s="127">
        <v>44786.43677083333</v>
      </c>
      <c r="G114" s="47">
        <v>638.0</v>
      </c>
      <c r="H114" s="127">
        <v>44786.50278935185</v>
      </c>
      <c r="I114" s="47">
        <v>638.0</v>
      </c>
      <c r="J114" s="127">
        <v>44786.56928240741</v>
      </c>
      <c r="K114" s="47">
        <v>640.0</v>
      </c>
      <c r="L114" s="127">
        <v>44786.57017361111</v>
      </c>
      <c r="M114" s="47">
        <v>650.0</v>
      </c>
      <c r="N114" s="127">
        <v>44786.59606481482</v>
      </c>
      <c r="O114" s="47">
        <v>648.0</v>
      </c>
      <c r="P114" s="127">
        <v>44786.86512731481</v>
      </c>
      <c r="Q114" s="47">
        <v>663.0</v>
      </c>
      <c r="R114" s="127">
        <v>44786.8390625</v>
      </c>
      <c r="S114" s="47">
        <v>685.0</v>
      </c>
      <c r="T114" s="127">
        <v>44786.829722222225</v>
      </c>
      <c r="U114" s="47">
        <v>689.0</v>
      </c>
      <c r="V114" s="127">
        <v>44786.882881944446</v>
      </c>
      <c r="W114" s="47">
        <v>696.0</v>
      </c>
      <c r="X114" s="127">
        <v>44787.193078703705</v>
      </c>
      <c r="Y114" s="47">
        <v>718.0</v>
      </c>
      <c r="Z114" s="127">
        <v>44787.279016203705</v>
      </c>
      <c r="AA114" s="47">
        <v>727.0</v>
      </c>
      <c r="AB114" s="127">
        <v>44787.32244212963</v>
      </c>
      <c r="AC114" s="47">
        <v>719.0</v>
      </c>
      <c r="AD114" s="127">
        <v>44787.39934027778</v>
      </c>
      <c r="AE114" s="47">
        <v>722.0</v>
      </c>
      <c r="AF114" s="127">
        <v>44787.44503472222</v>
      </c>
      <c r="AG114" s="126"/>
      <c r="AH114" s="126"/>
      <c r="AI114" s="126"/>
      <c r="AJ114" s="126"/>
      <c r="AK114" s="126"/>
      <c r="AL114" s="126"/>
      <c r="AM114" s="126"/>
    </row>
    <row r="115" ht="15.75" customHeight="1">
      <c r="A115" s="47">
        <v>633.0</v>
      </c>
      <c r="B115" s="127">
        <v>44786.298368055555</v>
      </c>
      <c r="C115" s="47">
        <v>640.0</v>
      </c>
      <c r="D115" s="127">
        <v>44786.31980324074</v>
      </c>
      <c r="E115" s="47">
        <v>631.0</v>
      </c>
      <c r="F115" s="127">
        <v>44786.387395833335</v>
      </c>
      <c r="G115" s="47">
        <v>582.0</v>
      </c>
      <c r="H115" s="127">
        <v>44786.50282407407</v>
      </c>
      <c r="I115" s="47">
        <v>639.0</v>
      </c>
      <c r="J115" s="127">
        <v>44786.592835648145</v>
      </c>
      <c r="K115" s="47">
        <v>641.0</v>
      </c>
      <c r="L115" s="127">
        <v>44786.74517361111</v>
      </c>
      <c r="M115" s="47">
        <v>651.0</v>
      </c>
      <c r="N115" s="127">
        <v>44786.674629629626</v>
      </c>
      <c r="O115" s="47">
        <v>649.0</v>
      </c>
      <c r="P115" s="127">
        <v>44786.84939814815</v>
      </c>
      <c r="Q115" s="47">
        <v>664.0</v>
      </c>
      <c r="R115" s="127">
        <v>44786.95982638889</v>
      </c>
      <c r="S115" s="47">
        <v>686.0</v>
      </c>
      <c r="T115" s="127">
        <v>44786.874236111114</v>
      </c>
      <c r="U115" s="47">
        <v>692.0</v>
      </c>
      <c r="V115" s="127">
        <v>44787.05422453704</v>
      </c>
      <c r="W115" s="47">
        <v>697.0</v>
      </c>
      <c r="X115" s="127">
        <v>44786.99748842593</v>
      </c>
      <c r="Y115" s="47">
        <v>719.0</v>
      </c>
      <c r="Z115" s="127">
        <v>44787.21554398148</v>
      </c>
      <c r="AA115" s="47">
        <v>728.0</v>
      </c>
      <c r="AB115" s="127">
        <v>44787.14591435185</v>
      </c>
      <c r="AC115" s="47">
        <v>722.0</v>
      </c>
      <c r="AD115" s="127">
        <v>44787.392280092594</v>
      </c>
      <c r="AE115" s="47">
        <v>727.0</v>
      </c>
      <c r="AF115" s="127">
        <v>44787.49630787037</v>
      </c>
      <c r="AG115" s="126"/>
      <c r="AH115" s="126"/>
      <c r="AI115" s="126"/>
      <c r="AJ115" s="126"/>
      <c r="AK115" s="126"/>
      <c r="AL115" s="126"/>
      <c r="AM115" s="126"/>
    </row>
    <row r="116" ht="15.75" customHeight="1">
      <c r="A116" s="47">
        <v>637.0</v>
      </c>
      <c r="B116" s="127">
        <v>44786.26836805556</v>
      </c>
      <c r="C116" s="47">
        <v>641.0</v>
      </c>
      <c r="D116" s="127">
        <v>44786.35449074074</v>
      </c>
      <c r="E116" s="47">
        <v>632.0</v>
      </c>
      <c r="F116" s="127">
        <v>44786.43677083333</v>
      </c>
      <c r="G116" s="47">
        <v>606.0</v>
      </c>
      <c r="H116" s="127">
        <v>44786.50305555556</v>
      </c>
      <c r="I116" s="47">
        <v>640.0</v>
      </c>
      <c r="J116" s="127">
        <v>44786.509050925924</v>
      </c>
      <c r="K116" s="47">
        <v>642.0</v>
      </c>
      <c r="L116" s="127">
        <v>44786.59453703704</v>
      </c>
      <c r="M116" s="47">
        <v>653.0</v>
      </c>
      <c r="N116" s="127">
        <v>44786.667129629626</v>
      </c>
      <c r="O116" s="47">
        <v>650.0</v>
      </c>
      <c r="P116" s="127">
        <v>44786.688055555554</v>
      </c>
      <c r="Q116" s="47">
        <v>665.0</v>
      </c>
      <c r="R116" s="127">
        <v>44786.959861111114</v>
      </c>
      <c r="S116" s="47">
        <v>687.0</v>
      </c>
      <c r="T116" s="127">
        <v>44786.89158564815</v>
      </c>
      <c r="U116" s="47">
        <v>693.0</v>
      </c>
      <c r="V116" s="127">
        <v>44787.09983796296</v>
      </c>
      <c r="W116" s="47">
        <v>699.0</v>
      </c>
      <c r="X116" s="127">
        <v>44787.20851851852</v>
      </c>
      <c r="Y116" s="47">
        <v>721.0</v>
      </c>
      <c r="Z116" s="127">
        <v>44787.308391203704</v>
      </c>
      <c r="AA116" s="47">
        <v>729.0</v>
      </c>
      <c r="AB116" s="127">
        <v>44787.20978009259</v>
      </c>
      <c r="AC116" s="47">
        <v>727.0</v>
      </c>
      <c r="AD116" s="127">
        <v>44787.42885416667</v>
      </c>
      <c r="AE116" s="47">
        <v>729.0</v>
      </c>
      <c r="AF116" s="127">
        <v>44787.38415509259</v>
      </c>
      <c r="AG116" s="126"/>
      <c r="AH116" s="126"/>
      <c r="AI116" s="126"/>
      <c r="AJ116" s="126"/>
      <c r="AK116" s="126"/>
      <c r="AL116" s="126"/>
      <c r="AM116" s="126"/>
    </row>
    <row r="117" ht="15.75" customHeight="1">
      <c r="A117" s="47">
        <v>638.0</v>
      </c>
      <c r="B117" s="127">
        <v>44786.2787962963</v>
      </c>
      <c r="C117" s="47">
        <v>642.0</v>
      </c>
      <c r="D117" s="127">
        <v>44786.3200462963</v>
      </c>
      <c r="E117" s="47">
        <v>633.0</v>
      </c>
      <c r="F117" s="127">
        <v>44786.43677083333</v>
      </c>
      <c r="G117" s="47">
        <v>600.0</v>
      </c>
      <c r="H117" s="127">
        <v>44786.50336805556</v>
      </c>
      <c r="I117" s="47">
        <v>641.0</v>
      </c>
      <c r="J117" s="127">
        <v>44786.63964120371</v>
      </c>
      <c r="K117" s="47">
        <v>643.0</v>
      </c>
      <c r="L117" s="127">
        <v>44786.65138888889</v>
      </c>
      <c r="M117" s="47">
        <v>655.0</v>
      </c>
      <c r="N117" s="127">
        <v>44786.613287037035</v>
      </c>
      <c r="O117" s="47">
        <v>651.0</v>
      </c>
      <c r="P117" s="127">
        <v>44786.77479166666</v>
      </c>
      <c r="Q117" s="47">
        <v>669.0</v>
      </c>
      <c r="R117" s="127">
        <v>44786.96726851852</v>
      </c>
      <c r="S117" s="47">
        <v>688.0</v>
      </c>
      <c r="T117" s="127">
        <v>44787.000231481485</v>
      </c>
      <c r="U117" s="47">
        <v>694.0</v>
      </c>
      <c r="V117" s="127">
        <v>44787.20234953704</v>
      </c>
      <c r="W117" s="47">
        <v>701.0</v>
      </c>
      <c r="X117" s="127">
        <v>44787.29949074074</v>
      </c>
      <c r="Y117" s="47">
        <v>722.0</v>
      </c>
      <c r="Z117" s="127">
        <v>44787.17439814815</v>
      </c>
      <c r="AA117" s="47">
        <v>730.0</v>
      </c>
      <c r="AB117" s="127">
        <v>44787.35524305556</v>
      </c>
      <c r="AC117" s="47">
        <v>728.0</v>
      </c>
      <c r="AD117" s="127">
        <v>44787.241215277776</v>
      </c>
      <c r="AE117" s="47">
        <v>730.0</v>
      </c>
      <c r="AF117" s="127">
        <v>44787.522199074076</v>
      </c>
      <c r="AG117" s="126"/>
      <c r="AH117" s="126"/>
      <c r="AI117" s="126"/>
      <c r="AJ117" s="126"/>
      <c r="AK117" s="126"/>
      <c r="AL117" s="126"/>
      <c r="AM117" s="126"/>
    </row>
    <row r="118" ht="15.75" customHeight="1">
      <c r="A118" s="47">
        <v>639.0</v>
      </c>
      <c r="B118" s="127">
        <v>44786.26871527778</v>
      </c>
      <c r="C118" s="47">
        <v>643.0</v>
      </c>
      <c r="D118" s="127">
        <v>44786.325590277775</v>
      </c>
      <c r="E118" s="47">
        <v>637.0</v>
      </c>
      <c r="F118" s="127">
        <v>44786.40739583333</v>
      </c>
      <c r="G118" s="47">
        <v>521.0</v>
      </c>
      <c r="H118" s="127">
        <v>44786.50340277778</v>
      </c>
      <c r="I118" s="47">
        <v>642.0</v>
      </c>
      <c r="J118" s="127">
        <v>44786.528958333336</v>
      </c>
      <c r="K118" s="47">
        <v>644.0</v>
      </c>
      <c r="L118" s="127">
        <v>44786.56296296296</v>
      </c>
      <c r="M118" s="47">
        <v>657.0</v>
      </c>
      <c r="N118" s="127">
        <v>44786.77559027778</v>
      </c>
      <c r="O118" s="47">
        <v>653.0</v>
      </c>
      <c r="P118" s="127">
        <v>44786.76273148148</v>
      </c>
      <c r="Q118" s="47">
        <v>670.0</v>
      </c>
      <c r="R118" s="127">
        <v>44786.839108796295</v>
      </c>
      <c r="S118" s="47">
        <v>689.0</v>
      </c>
      <c r="T118" s="127">
        <v>44786.79194444444</v>
      </c>
      <c r="U118" s="47">
        <v>695.0</v>
      </c>
      <c r="V118" s="127">
        <v>44787.07619212963</v>
      </c>
      <c r="W118" s="47">
        <v>702.0</v>
      </c>
      <c r="X118" s="127">
        <v>44786.965787037036</v>
      </c>
      <c r="Y118" s="47">
        <v>727.0</v>
      </c>
      <c r="Z118" s="127">
        <v>44787.22189814815</v>
      </c>
      <c r="AA118" s="47">
        <v>731.0</v>
      </c>
      <c r="AB118" s="127">
        <v>44787.10488425926</v>
      </c>
      <c r="AC118" s="47">
        <v>729.0</v>
      </c>
      <c r="AD118" s="127">
        <v>44787.29467592593</v>
      </c>
      <c r="AE118" s="47">
        <v>731.0</v>
      </c>
      <c r="AF118" s="127">
        <v>44787.25865740741</v>
      </c>
      <c r="AG118" s="126"/>
      <c r="AH118" s="126"/>
      <c r="AI118" s="126"/>
      <c r="AJ118" s="126"/>
      <c r="AK118" s="126"/>
      <c r="AL118" s="126"/>
      <c r="AM118" s="126"/>
    </row>
    <row r="119" ht="15.75" customHeight="1">
      <c r="A119" s="47">
        <v>640.0</v>
      </c>
      <c r="B119" s="127">
        <v>44786.26167824074</v>
      </c>
      <c r="C119" s="47">
        <v>644.0</v>
      </c>
      <c r="D119" s="127">
        <v>44786.30701388889</v>
      </c>
      <c r="E119" s="47">
        <v>638.0</v>
      </c>
      <c r="F119" s="127">
        <v>44786.420069444444</v>
      </c>
      <c r="G119" s="47">
        <v>592.0</v>
      </c>
      <c r="H119" s="127">
        <v>44786.5034375</v>
      </c>
      <c r="I119" s="47">
        <v>643.0</v>
      </c>
      <c r="J119" s="127">
        <v>44786.569131944445</v>
      </c>
      <c r="K119" s="47">
        <v>645.0</v>
      </c>
      <c r="L119" s="127">
        <v>44786.59444444445</v>
      </c>
      <c r="M119" s="47">
        <v>662.0</v>
      </c>
      <c r="N119" s="127">
        <v>44786.62391203704</v>
      </c>
      <c r="O119" s="47">
        <v>655.0</v>
      </c>
      <c r="P119" s="127">
        <v>44786.69818287037</v>
      </c>
      <c r="Q119" s="47">
        <v>673.0</v>
      </c>
      <c r="R119" s="127">
        <v>44786.96056712963</v>
      </c>
      <c r="S119" s="47">
        <v>692.0</v>
      </c>
      <c r="T119" s="127">
        <v>44786.89943287037</v>
      </c>
      <c r="U119" s="47">
        <v>696.0</v>
      </c>
      <c r="V119" s="127">
        <v>44787.0765625</v>
      </c>
      <c r="W119" s="47">
        <v>703.0</v>
      </c>
      <c r="X119" s="127">
        <v>44787.14821759259</v>
      </c>
      <c r="Y119" s="47">
        <v>728.0</v>
      </c>
      <c r="Z119" s="127">
        <v>44787.06849537037</v>
      </c>
      <c r="AA119" s="47">
        <v>732.0</v>
      </c>
      <c r="AB119" s="127">
        <v>44787.42091435185</v>
      </c>
      <c r="AC119" s="47">
        <v>730.0</v>
      </c>
      <c r="AD119" s="127">
        <v>44787.44666666666</v>
      </c>
      <c r="AE119" s="47">
        <v>732.0</v>
      </c>
      <c r="AF119" s="127">
        <v>44787.59744212963</v>
      </c>
      <c r="AG119" s="126"/>
      <c r="AH119" s="126"/>
      <c r="AI119" s="126"/>
      <c r="AJ119" s="126"/>
      <c r="AK119" s="126"/>
      <c r="AL119" s="126"/>
      <c r="AM119" s="126"/>
    </row>
    <row r="120" ht="15.75" customHeight="1">
      <c r="A120" s="47">
        <v>641.0</v>
      </c>
      <c r="B120" s="127">
        <v>44786.27915509259</v>
      </c>
      <c r="C120" s="47">
        <v>645.0</v>
      </c>
      <c r="D120" s="127">
        <v>44786.32509259259</v>
      </c>
      <c r="E120" s="47">
        <v>639.0</v>
      </c>
      <c r="F120" s="127">
        <v>44786.40739583333</v>
      </c>
      <c r="G120" s="47">
        <v>590.0</v>
      </c>
      <c r="H120" s="127">
        <v>44786.50344907407</v>
      </c>
      <c r="I120" s="47">
        <v>644.0</v>
      </c>
      <c r="J120" s="127">
        <v>44786.499872685185</v>
      </c>
      <c r="K120" s="47">
        <v>647.0</v>
      </c>
      <c r="L120" s="127">
        <v>44786.63964120371</v>
      </c>
      <c r="M120" s="47">
        <v>663.0</v>
      </c>
      <c r="N120" s="127">
        <v>44786.68306712963</v>
      </c>
      <c r="O120" s="47">
        <v>657.0</v>
      </c>
      <c r="P120" s="127">
        <v>44786.89792824074</v>
      </c>
      <c r="Q120" s="47">
        <v>675.0</v>
      </c>
      <c r="R120" s="127">
        <v>44786.81732638889</v>
      </c>
      <c r="S120" s="47">
        <v>693.0</v>
      </c>
      <c r="T120" s="127">
        <v>44787.05422453704</v>
      </c>
      <c r="U120" s="47">
        <v>697.0</v>
      </c>
      <c r="V120" s="127">
        <v>44786.91614583333</v>
      </c>
      <c r="W120" s="47">
        <v>705.0</v>
      </c>
      <c r="X120" s="127">
        <v>44787.23855324074</v>
      </c>
      <c r="Y120" s="47">
        <v>729.0</v>
      </c>
      <c r="Z120" s="127">
        <v>44787.12362268518</v>
      </c>
      <c r="AA120" s="47">
        <v>734.0</v>
      </c>
      <c r="AB120" s="127">
        <v>44787.435208333336</v>
      </c>
      <c r="AC120" s="47">
        <v>731.0</v>
      </c>
      <c r="AD120" s="127">
        <v>44787.18445601852</v>
      </c>
      <c r="AE120" s="47">
        <v>734.0</v>
      </c>
      <c r="AF120" s="127">
        <v>44787.547534722224</v>
      </c>
      <c r="AG120" s="126"/>
      <c r="AH120" s="126"/>
      <c r="AI120" s="126"/>
      <c r="AJ120" s="126"/>
      <c r="AK120" s="126"/>
      <c r="AL120" s="126"/>
      <c r="AM120" s="126"/>
    </row>
    <row r="121" ht="15.75" customHeight="1">
      <c r="A121" s="47">
        <v>642.0</v>
      </c>
      <c r="B121" s="127">
        <v>44786.26436342593</v>
      </c>
      <c r="C121" s="47">
        <v>647.0</v>
      </c>
      <c r="D121" s="127">
        <v>44786.331655092596</v>
      </c>
      <c r="E121" s="47">
        <v>640.0</v>
      </c>
      <c r="F121" s="127">
        <v>44786.3702662037</v>
      </c>
      <c r="G121" s="47">
        <v>639.0</v>
      </c>
      <c r="H121" s="127">
        <v>44786.50355324074</v>
      </c>
      <c r="I121" s="47">
        <v>645.0</v>
      </c>
      <c r="J121" s="127">
        <v>44786.529027777775</v>
      </c>
      <c r="K121" s="47">
        <v>648.0</v>
      </c>
      <c r="L121" s="127">
        <v>44786.6665162037</v>
      </c>
      <c r="M121" s="47">
        <v>664.0</v>
      </c>
      <c r="N121" s="127">
        <v>44786.760671296295</v>
      </c>
      <c r="O121" s="47">
        <v>662.0</v>
      </c>
      <c r="P121" s="127">
        <v>44786.71366898148</v>
      </c>
      <c r="Q121" s="47">
        <v>676.0</v>
      </c>
      <c r="R121" s="127">
        <v>44786.928125</v>
      </c>
      <c r="S121" s="47">
        <v>694.0</v>
      </c>
      <c r="T121" s="127">
        <v>44787.071967592594</v>
      </c>
      <c r="U121" s="47">
        <v>699.0</v>
      </c>
      <c r="V121" s="127">
        <v>44787.128287037034</v>
      </c>
      <c r="W121" s="47">
        <v>709.0</v>
      </c>
      <c r="X121" s="127">
        <v>44787.11287037037</v>
      </c>
      <c r="Y121" s="47">
        <v>730.0</v>
      </c>
      <c r="Z121" s="127">
        <v>44787.265127314815</v>
      </c>
      <c r="AA121" s="47">
        <v>737.0</v>
      </c>
      <c r="AB121" s="127">
        <v>44787.331400462965</v>
      </c>
      <c r="AC121" s="47">
        <v>732.0</v>
      </c>
      <c r="AD121" s="127">
        <v>44787.51347222222</v>
      </c>
      <c r="AE121" s="47">
        <v>737.0</v>
      </c>
      <c r="AF121" s="127">
        <v>44787.5222337963</v>
      </c>
      <c r="AG121" s="126"/>
      <c r="AH121" s="126"/>
      <c r="AI121" s="126"/>
      <c r="AJ121" s="126"/>
      <c r="AK121" s="126"/>
      <c r="AL121" s="126"/>
      <c r="AM121" s="126"/>
    </row>
    <row r="122" ht="15.75" customHeight="1">
      <c r="A122" s="47">
        <v>643.0</v>
      </c>
      <c r="B122" s="127">
        <v>44786.2680787037</v>
      </c>
      <c r="C122" s="47">
        <v>648.0</v>
      </c>
      <c r="D122" s="127">
        <v>44786.33181712963</v>
      </c>
      <c r="E122" s="47">
        <v>641.0</v>
      </c>
      <c r="F122" s="127">
        <v>44786.420069444444</v>
      </c>
      <c r="G122" s="47">
        <v>739.0</v>
      </c>
      <c r="H122" s="127">
        <v>44786.503587962965</v>
      </c>
      <c r="I122" s="47">
        <v>647.0</v>
      </c>
      <c r="J122" s="127">
        <v>44786.55695601852</v>
      </c>
      <c r="K122" s="47">
        <v>649.0</v>
      </c>
      <c r="L122" s="127">
        <v>44786.651608796295</v>
      </c>
      <c r="M122" s="47">
        <v>665.0</v>
      </c>
      <c r="N122" s="127">
        <v>44786.760671296295</v>
      </c>
      <c r="O122" s="47">
        <v>663.0</v>
      </c>
      <c r="P122" s="127">
        <v>44786.78331018519</v>
      </c>
      <c r="Q122" s="47">
        <v>677.0</v>
      </c>
      <c r="R122" s="127">
        <v>44786.96722222222</v>
      </c>
      <c r="S122" s="47">
        <v>695.0</v>
      </c>
      <c r="T122" s="127">
        <v>44786.97694444445</v>
      </c>
      <c r="U122" s="47">
        <v>701.0</v>
      </c>
      <c r="V122" s="127">
        <v>44787.18607638889</v>
      </c>
      <c r="W122" s="47">
        <v>711.0</v>
      </c>
      <c r="X122" s="127">
        <v>44787.05422453704</v>
      </c>
      <c r="Y122" s="47">
        <v>731.0</v>
      </c>
      <c r="Z122" s="127">
        <v>44787.05422453704</v>
      </c>
      <c r="AA122" s="47">
        <v>739.0</v>
      </c>
      <c r="AB122" s="127">
        <v>44787.35480324074</v>
      </c>
      <c r="AC122" s="47">
        <v>734.0</v>
      </c>
      <c r="AD122" s="127">
        <v>44787.45280092592</v>
      </c>
      <c r="AE122" s="47">
        <v>739.0</v>
      </c>
      <c r="AF122" s="127">
        <v>44787.564351851855</v>
      </c>
      <c r="AG122" s="126"/>
      <c r="AH122" s="126"/>
      <c r="AI122" s="126"/>
      <c r="AJ122" s="126"/>
      <c r="AK122" s="126"/>
      <c r="AL122" s="126"/>
      <c r="AM122" s="126"/>
    </row>
    <row r="123" ht="15.75" customHeight="1">
      <c r="A123" s="47">
        <v>644.0</v>
      </c>
      <c r="B123" s="127">
        <v>44786.255277777775</v>
      </c>
      <c r="C123" s="47">
        <v>649.0</v>
      </c>
      <c r="D123" s="127">
        <v>44786.331875</v>
      </c>
      <c r="E123" s="47">
        <v>642.0</v>
      </c>
      <c r="F123" s="127">
        <v>44786.387395833335</v>
      </c>
      <c r="G123" s="47">
        <v>580.0</v>
      </c>
      <c r="H123" s="127">
        <v>44786.50361111111</v>
      </c>
      <c r="I123" s="47">
        <v>648.0</v>
      </c>
      <c r="J123" s="127">
        <v>44786.57891203704</v>
      </c>
      <c r="K123" s="47">
        <v>650.0</v>
      </c>
      <c r="L123" s="127">
        <v>44786.554143518515</v>
      </c>
      <c r="M123" s="47">
        <v>667.0</v>
      </c>
      <c r="N123" s="127">
        <v>44786.82067129629</v>
      </c>
      <c r="O123" s="47">
        <v>664.0</v>
      </c>
      <c r="P123" s="127">
        <v>44786.86516203704</v>
      </c>
      <c r="Q123" s="47">
        <v>680.0</v>
      </c>
      <c r="R123" s="127">
        <v>44786.960497685184</v>
      </c>
      <c r="S123" s="47">
        <v>696.0</v>
      </c>
      <c r="T123" s="127">
        <v>44786.97699074074</v>
      </c>
      <c r="U123" s="47">
        <v>702.0</v>
      </c>
      <c r="V123" s="127">
        <v>44786.88295138889</v>
      </c>
      <c r="W123" s="47">
        <v>713.0</v>
      </c>
      <c r="X123" s="127">
        <v>44787.09127314815</v>
      </c>
      <c r="Y123" s="47">
        <v>732.0</v>
      </c>
      <c r="Z123" s="127">
        <v>44787.31694444444</v>
      </c>
      <c r="AA123" s="126"/>
      <c r="AB123" s="126"/>
      <c r="AC123" s="47">
        <v>737.0</v>
      </c>
      <c r="AD123" s="127">
        <v>44787.4325</v>
      </c>
      <c r="AE123" s="126"/>
      <c r="AF123" s="126"/>
      <c r="AG123" s="126"/>
      <c r="AH123" s="126"/>
      <c r="AI123" s="126"/>
      <c r="AJ123" s="126"/>
      <c r="AK123" s="126"/>
      <c r="AL123" s="126"/>
      <c r="AM123" s="126"/>
    </row>
    <row r="124" ht="15.75" customHeight="1">
      <c r="A124" s="47">
        <v>645.0</v>
      </c>
      <c r="B124" s="127">
        <v>44786.26498842592</v>
      </c>
      <c r="C124" s="47">
        <v>650.0</v>
      </c>
      <c r="D124" s="127">
        <v>44786.320023148146</v>
      </c>
      <c r="E124" s="47">
        <v>643.0</v>
      </c>
      <c r="F124" s="127">
        <v>44786.40739583333</v>
      </c>
      <c r="G124" s="47">
        <v>548.0</v>
      </c>
      <c r="H124" s="127">
        <v>44786.503645833334</v>
      </c>
      <c r="I124" s="47">
        <v>649.0</v>
      </c>
      <c r="J124" s="127">
        <v>44786.57513888889</v>
      </c>
      <c r="K124" s="47">
        <v>651.0</v>
      </c>
      <c r="L124" s="127">
        <v>44786.62391203704</v>
      </c>
      <c r="M124" s="47">
        <v>669.0</v>
      </c>
      <c r="N124" s="127">
        <v>44786.771053240744</v>
      </c>
      <c r="O124" s="47">
        <v>665.0</v>
      </c>
      <c r="P124" s="127">
        <v>44786.86519675926</v>
      </c>
      <c r="Q124" s="47">
        <v>681.0</v>
      </c>
      <c r="R124" s="127">
        <v>44786.95976851852</v>
      </c>
      <c r="S124" s="47">
        <v>699.0</v>
      </c>
      <c r="T124" s="127">
        <v>44787.00021990741</v>
      </c>
      <c r="U124" s="47">
        <v>703.0</v>
      </c>
      <c r="V124" s="127">
        <v>44787.05422453704</v>
      </c>
      <c r="W124" s="47">
        <v>714.0</v>
      </c>
      <c r="X124" s="127">
        <v>44787.21802083333</v>
      </c>
      <c r="Y124" s="47">
        <v>734.0</v>
      </c>
      <c r="Z124" s="127">
        <v>44787.26346064815</v>
      </c>
      <c r="AA124" s="126"/>
      <c r="AB124" s="126"/>
      <c r="AC124" s="47">
        <v>739.0</v>
      </c>
      <c r="AD124" s="127">
        <v>44787.47777777778</v>
      </c>
      <c r="AE124" s="126"/>
      <c r="AF124" s="126"/>
      <c r="AG124" s="126"/>
      <c r="AH124" s="126"/>
      <c r="AI124" s="126"/>
      <c r="AJ124" s="126"/>
      <c r="AK124" s="126"/>
      <c r="AL124" s="126"/>
      <c r="AM124" s="126"/>
    </row>
    <row r="125" ht="15.75" customHeight="1">
      <c r="A125" s="47">
        <v>647.0</v>
      </c>
      <c r="B125" s="127">
        <v>44786.27127314815</v>
      </c>
      <c r="C125" s="47">
        <v>651.0</v>
      </c>
      <c r="D125" s="127">
        <v>44786.32502314815</v>
      </c>
      <c r="E125" s="47">
        <v>644.0</v>
      </c>
      <c r="F125" s="127">
        <v>44786.3702662037</v>
      </c>
      <c r="G125" s="47">
        <v>517.0</v>
      </c>
      <c r="H125" s="127">
        <v>44786.512141203704</v>
      </c>
      <c r="I125" s="47">
        <v>650.0</v>
      </c>
      <c r="J125" s="127">
        <v>44786.4999537037</v>
      </c>
      <c r="K125" s="47">
        <v>653.0</v>
      </c>
      <c r="L125" s="127">
        <v>44786.600439814814</v>
      </c>
      <c r="M125" s="47">
        <v>670.0</v>
      </c>
      <c r="N125" s="127">
        <v>44786.67912037037</v>
      </c>
      <c r="O125" s="47">
        <v>667.0</v>
      </c>
      <c r="P125" s="127">
        <v>44786.97887731482</v>
      </c>
      <c r="Q125" s="47">
        <v>683.0</v>
      </c>
      <c r="R125" s="127">
        <v>44786.82349537037</v>
      </c>
      <c r="S125" s="47">
        <v>701.0</v>
      </c>
      <c r="T125" s="127">
        <v>44787.07208333333</v>
      </c>
      <c r="U125" s="47">
        <v>705.0</v>
      </c>
      <c r="V125" s="127">
        <v>44787.12855324074</v>
      </c>
      <c r="W125" s="47">
        <v>715.0</v>
      </c>
      <c r="X125" s="127">
        <v>44787.05422453704</v>
      </c>
      <c r="Y125" s="47">
        <v>737.0</v>
      </c>
      <c r="Z125" s="127">
        <v>44787.233761574076</v>
      </c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</row>
    <row r="126" ht="15.75" customHeight="1">
      <c r="A126" s="47">
        <v>648.0</v>
      </c>
      <c r="B126" s="127">
        <v>44786.27076388889</v>
      </c>
      <c r="C126" s="47">
        <v>653.0</v>
      </c>
      <c r="D126" s="127">
        <v>44786.320393518516</v>
      </c>
      <c r="E126" s="47">
        <v>645.0</v>
      </c>
      <c r="F126" s="127">
        <v>44786.40739583333</v>
      </c>
      <c r="G126" s="47">
        <v>676.0</v>
      </c>
      <c r="H126" s="127">
        <v>44786.51217592593</v>
      </c>
      <c r="I126" s="47">
        <v>651.0</v>
      </c>
      <c r="J126" s="127">
        <v>44786.54608796296</v>
      </c>
      <c r="K126" s="47">
        <v>655.0</v>
      </c>
      <c r="L126" s="127">
        <v>44786.5630787037</v>
      </c>
      <c r="M126" s="47">
        <v>673.0</v>
      </c>
      <c r="N126" s="127">
        <v>44786.760671296295</v>
      </c>
      <c r="O126" s="47">
        <v>669.0</v>
      </c>
      <c r="P126" s="127">
        <v>44786.88181712963</v>
      </c>
      <c r="Q126" s="47">
        <v>684.0</v>
      </c>
      <c r="R126" s="127">
        <v>44786.78528935185</v>
      </c>
      <c r="S126" s="47">
        <v>702.0</v>
      </c>
      <c r="T126" s="127">
        <v>44786.81925925926</v>
      </c>
      <c r="U126" s="47">
        <v>706.0</v>
      </c>
      <c r="V126" s="127">
        <v>44787.076157407406</v>
      </c>
      <c r="W126" s="47">
        <v>716.0</v>
      </c>
      <c r="X126" s="127">
        <v>44787.20878472222</v>
      </c>
      <c r="Y126" s="47">
        <v>739.0</v>
      </c>
      <c r="Z126" s="127">
        <v>44787.27030092593</v>
      </c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</row>
    <row r="127" ht="15.75" customHeight="1">
      <c r="A127" s="47">
        <v>649.0</v>
      </c>
      <c r="B127" s="127">
        <v>44786.271469907406</v>
      </c>
      <c r="C127" s="47">
        <v>654.0</v>
      </c>
      <c r="D127" s="127">
        <v>44786.3702662037</v>
      </c>
      <c r="E127" s="47">
        <v>647.0</v>
      </c>
      <c r="F127" s="127">
        <v>44786.40739583333</v>
      </c>
      <c r="G127" s="47">
        <v>525.0</v>
      </c>
      <c r="H127" s="127">
        <v>44786.51219907407</v>
      </c>
      <c r="I127" s="47">
        <v>653.0</v>
      </c>
      <c r="J127" s="127">
        <v>44786.53414351852</v>
      </c>
      <c r="K127" s="47">
        <v>662.0</v>
      </c>
      <c r="L127" s="127">
        <v>44786.57703703704</v>
      </c>
      <c r="M127" s="47">
        <v>675.0</v>
      </c>
      <c r="N127" s="127">
        <v>44786.66079861111</v>
      </c>
      <c r="O127" s="47">
        <v>670.0</v>
      </c>
      <c r="P127" s="127">
        <v>44786.77505787037</v>
      </c>
      <c r="Q127" s="47">
        <v>685.0</v>
      </c>
      <c r="R127" s="127">
        <v>44786.760671296295</v>
      </c>
      <c r="S127" s="47">
        <v>703.0</v>
      </c>
      <c r="T127" s="127">
        <v>44786.90137731482</v>
      </c>
      <c r="U127" s="47">
        <v>708.0</v>
      </c>
      <c r="V127" s="127">
        <v>44786.94174768519</v>
      </c>
      <c r="W127" s="47">
        <v>718.0</v>
      </c>
      <c r="X127" s="127">
        <v>44787.18907407407</v>
      </c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</row>
    <row r="128" ht="15.75" customHeight="1">
      <c r="A128" s="47">
        <v>650.0</v>
      </c>
      <c r="B128" s="127">
        <v>44786.263032407405</v>
      </c>
      <c r="C128" s="47">
        <v>655.0</v>
      </c>
      <c r="D128" s="127">
        <v>44786.32030092592</v>
      </c>
      <c r="E128" s="47">
        <v>648.0</v>
      </c>
      <c r="F128" s="127">
        <v>44786.40739583333</v>
      </c>
      <c r="G128" s="47">
        <v>516.0</v>
      </c>
      <c r="H128" s="127">
        <v>44786.51224537037</v>
      </c>
      <c r="I128" s="47">
        <v>655.0</v>
      </c>
      <c r="J128" s="127">
        <v>44786.504212962966</v>
      </c>
      <c r="K128" s="47">
        <v>663.0</v>
      </c>
      <c r="L128" s="127">
        <v>44786.633472222224</v>
      </c>
      <c r="M128" s="47">
        <v>676.0</v>
      </c>
      <c r="N128" s="127">
        <v>44786.73001157407</v>
      </c>
      <c r="O128" s="47">
        <v>675.0</v>
      </c>
      <c r="P128" s="127">
        <v>44786.76263888889</v>
      </c>
      <c r="Q128" s="47">
        <v>686.0</v>
      </c>
      <c r="R128" s="127">
        <v>44786.79105324074</v>
      </c>
      <c r="S128" s="47">
        <v>704.0</v>
      </c>
      <c r="T128" s="127">
        <v>44787.05422453704</v>
      </c>
      <c r="U128" s="47">
        <v>709.0</v>
      </c>
      <c r="V128" s="127">
        <v>44787.05422453704</v>
      </c>
      <c r="W128" s="47">
        <v>719.0</v>
      </c>
      <c r="X128" s="127">
        <v>44787.14810185185</v>
      </c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</row>
    <row r="129" ht="15.75" customHeight="1">
      <c r="A129" s="47">
        <v>651.0</v>
      </c>
      <c r="B129" s="127">
        <v>44786.273993055554</v>
      </c>
      <c r="C129" s="47">
        <v>657.0</v>
      </c>
      <c r="D129" s="127">
        <v>44786.3702662037</v>
      </c>
      <c r="E129" s="47">
        <v>649.0</v>
      </c>
      <c r="F129" s="127">
        <v>44786.407546296294</v>
      </c>
      <c r="G129" s="47">
        <v>688.0</v>
      </c>
      <c r="H129" s="127">
        <v>44786.51225694444</v>
      </c>
      <c r="I129" s="47">
        <v>657.0</v>
      </c>
      <c r="J129" s="127">
        <v>44786.62391203704</v>
      </c>
      <c r="K129" s="47">
        <v>664.0</v>
      </c>
      <c r="L129" s="127">
        <v>44786.683703703704</v>
      </c>
      <c r="M129" s="47">
        <v>677.0</v>
      </c>
      <c r="N129" s="127">
        <v>44786.722974537035</v>
      </c>
      <c r="O129" s="47">
        <v>676.0</v>
      </c>
      <c r="P129" s="127">
        <v>44786.849583333336</v>
      </c>
      <c r="Q129" s="47">
        <v>687.0</v>
      </c>
      <c r="R129" s="127">
        <v>44786.785416666666</v>
      </c>
      <c r="S129" s="47">
        <v>706.0</v>
      </c>
      <c r="T129" s="127">
        <v>44786.97686342592</v>
      </c>
      <c r="U129" s="47">
        <v>711.0</v>
      </c>
      <c r="V129" s="127">
        <v>44786.941712962966</v>
      </c>
      <c r="W129" s="47">
        <v>721.0</v>
      </c>
      <c r="X129" s="127">
        <v>44787.17810185185</v>
      </c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</row>
    <row r="130" ht="15.75" customHeight="1">
      <c r="A130" s="47">
        <v>653.0</v>
      </c>
      <c r="B130" s="127">
        <v>44786.26451388889</v>
      </c>
      <c r="C130" s="47">
        <v>662.0</v>
      </c>
      <c r="D130" s="127">
        <v>44786.3202662037</v>
      </c>
      <c r="E130" s="47">
        <v>650.0</v>
      </c>
      <c r="F130" s="127">
        <v>44786.387395833335</v>
      </c>
      <c r="G130" s="47">
        <v>585.0</v>
      </c>
      <c r="H130" s="127">
        <v>44786.512453703705</v>
      </c>
      <c r="I130" s="47">
        <v>662.0</v>
      </c>
      <c r="J130" s="127">
        <v>44786.51466435185</v>
      </c>
      <c r="K130" s="47">
        <v>665.0</v>
      </c>
      <c r="L130" s="127">
        <v>44786.68356481481</v>
      </c>
      <c r="M130" s="47">
        <v>678.0</v>
      </c>
      <c r="N130" s="127">
        <v>44786.82064814815</v>
      </c>
      <c r="O130" s="47">
        <v>677.0</v>
      </c>
      <c r="P130" s="127">
        <v>44786.84935185185</v>
      </c>
      <c r="Q130" s="47">
        <v>688.0</v>
      </c>
      <c r="R130" s="127">
        <v>44786.88984953704</v>
      </c>
      <c r="S130" s="47">
        <v>708.0</v>
      </c>
      <c r="T130" s="127">
        <v>44786.8509837963</v>
      </c>
      <c r="U130" s="47">
        <v>713.0</v>
      </c>
      <c r="V130" s="127">
        <v>44787.05422453704</v>
      </c>
      <c r="W130" s="47">
        <v>722.0</v>
      </c>
      <c r="X130" s="127">
        <v>44787.11677083333</v>
      </c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</row>
    <row r="131" ht="15.75" customHeight="1">
      <c r="A131" s="47">
        <v>654.0</v>
      </c>
      <c r="B131" s="127">
        <v>44786.29850694445</v>
      </c>
      <c r="C131" s="47">
        <v>663.0</v>
      </c>
      <c r="D131" s="127">
        <v>44786.330983796295</v>
      </c>
      <c r="E131" s="47">
        <v>651.0</v>
      </c>
      <c r="F131" s="127">
        <v>44786.40739583333</v>
      </c>
      <c r="G131" s="47">
        <v>518.0</v>
      </c>
      <c r="H131" s="127">
        <v>44786.5125</v>
      </c>
      <c r="I131" s="47">
        <v>663.0</v>
      </c>
      <c r="J131" s="127">
        <v>44786.559641203705</v>
      </c>
      <c r="K131" s="47">
        <v>667.0</v>
      </c>
      <c r="L131" s="127">
        <v>44786.73241898148</v>
      </c>
      <c r="M131" s="47">
        <v>680.0</v>
      </c>
      <c r="N131" s="127">
        <v>44786.76315972222</v>
      </c>
      <c r="O131" s="47">
        <v>678.0</v>
      </c>
      <c r="P131" s="127">
        <v>44786.963159722225</v>
      </c>
      <c r="Q131" s="47">
        <v>689.0</v>
      </c>
      <c r="R131" s="127">
        <v>44786.72840277778</v>
      </c>
      <c r="S131" s="47">
        <v>709.0</v>
      </c>
      <c r="T131" s="127">
        <v>44786.96445601852</v>
      </c>
      <c r="U131" s="47">
        <v>714.0</v>
      </c>
      <c r="V131" s="127">
        <v>44787.1283912037</v>
      </c>
      <c r="W131" s="47">
        <v>727.0</v>
      </c>
      <c r="X131" s="127">
        <v>44787.148148148146</v>
      </c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</row>
    <row r="132" ht="15.75" customHeight="1">
      <c r="A132" s="47">
        <v>655.0</v>
      </c>
      <c r="B132" s="127">
        <v>44786.26494212963</v>
      </c>
      <c r="C132" s="47">
        <v>664.0</v>
      </c>
      <c r="D132" s="127">
        <v>44786.35518518519</v>
      </c>
      <c r="E132" s="47">
        <v>653.0</v>
      </c>
      <c r="F132" s="127">
        <v>44786.387395833335</v>
      </c>
      <c r="G132" s="47">
        <v>538.0</v>
      </c>
      <c r="H132" s="127">
        <v>44786.51253472222</v>
      </c>
      <c r="I132" s="47">
        <v>664.0</v>
      </c>
      <c r="J132" s="127">
        <v>44786.60951388889</v>
      </c>
      <c r="K132" s="47">
        <v>669.0</v>
      </c>
      <c r="L132" s="127">
        <v>44786.70123842593</v>
      </c>
      <c r="M132" s="47">
        <v>681.0</v>
      </c>
      <c r="N132" s="127">
        <v>44786.760671296295</v>
      </c>
      <c r="O132" s="47">
        <v>680.0</v>
      </c>
      <c r="P132" s="127">
        <v>44786.881527777776</v>
      </c>
      <c r="Q132" s="47">
        <v>690.0</v>
      </c>
      <c r="R132" s="127">
        <v>44786.97478009259</v>
      </c>
      <c r="S132" s="47">
        <v>711.0</v>
      </c>
      <c r="T132" s="127">
        <v>44786.848275462966</v>
      </c>
      <c r="U132" s="47">
        <v>715.0</v>
      </c>
      <c r="V132" s="127">
        <v>44786.97243055556</v>
      </c>
      <c r="W132" s="47">
        <v>728.0</v>
      </c>
      <c r="X132" s="127">
        <v>44786.998761574076</v>
      </c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</row>
    <row r="133" ht="15.75" customHeight="1">
      <c r="A133" s="47">
        <v>657.0</v>
      </c>
      <c r="B133" s="127">
        <v>44786.298368055555</v>
      </c>
      <c r="C133" s="47">
        <v>665.0</v>
      </c>
      <c r="D133" s="127">
        <v>44786.35528935185</v>
      </c>
      <c r="E133" s="47">
        <v>654.0</v>
      </c>
      <c r="F133" s="127">
        <v>44786.4775</v>
      </c>
      <c r="G133" s="47">
        <v>707.0</v>
      </c>
      <c r="H133" s="127">
        <v>44786.512557870374</v>
      </c>
      <c r="I133" s="47">
        <v>665.0</v>
      </c>
      <c r="J133" s="127">
        <v>44786.60951388889</v>
      </c>
      <c r="K133" s="47">
        <v>670.0</v>
      </c>
      <c r="L133" s="127">
        <v>44786.62391203704</v>
      </c>
      <c r="M133" s="47">
        <v>683.0</v>
      </c>
      <c r="N133" s="127">
        <v>44786.633356481485</v>
      </c>
      <c r="O133" s="47">
        <v>681.0</v>
      </c>
      <c r="P133" s="127">
        <v>44786.86510416667</v>
      </c>
      <c r="Q133" s="47">
        <v>691.0</v>
      </c>
      <c r="R133" s="127">
        <v>44787.00709490741</v>
      </c>
      <c r="S133" s="47">
        <v>712.0</v>
      </c>
      <c r="T133" s="127">
        <v>44787.05422453704</v>
      </c>
      <c r="U133" s="47">
        <v>716.0</v>
      </c>
      <c r="V133" s="127">
        <v>44787.09946759259</v>
      </c>
      <c r="W133" s="47">
        <v>729.0</v>
      </c>
      <c r="X133" s="127">
        <v>44787.06575231482</v>
      </c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</row>
    <row r="134" ht="15.75" customHeight="1">
      <c r="A134" s="47">
        <v>662.0</v>
      </c>
      <c r="B134" s="127">
        <v>44786.26493055555</v>
      </c>
      <c r="C134" s="47">
        <v>667.0</v>
      </c>
      <c r="D134" s="127">
        <v>44786.3702662037</v>
      </c>
      <c r="E134" s="47">
        <v>655.0</v>
      </c>
      <c r="F134" s="127">
        <v>44786.387395833335</v>
      </c>
      <c r="G134" s="47">
        <v>737.0</v>
      </c>
      <c r="H134" s="127">
        <v>44786.51258101852</v>
      </c>
      <c r="I134" s="47">
        <v>667.0</v>
      </c>
      <c r="J134" s="127">
        <v>44786.633356481485</v>
      </c>
      <c r="K134" s="47">
        <v>673.0</v>
      </c>
      <c r="L134" s="127">
        <v>44786.70012731481</v>
      </c>
      <c r="M134" s="47">
        <v>684.0</v>
      </c>
      <c r="N134" s="127">
        <v>44786.641284722224</v>
      </c>
      <c r="O134" s="47">
        <v>683.0</v>
      </c>
      <c r="P134" s="127">
        <v>44786.88125</v>
      </c>
      <c r="Q134" s="47">
        <v>692.0</v>
      </c>
      <c r="R134" s="127">
        <v>44786.81741898148</v>
      </c>
      <c r="S134" s="47">
        <v>713.0</v>
      </c>
      <c r="T134" s="127">
        <v>44786.89945601852</v>
      </c>
      <c r="U134" s="47">
        <v>718.0</v>
      </c>
      <c r="V134" s="127">
        <v>44787.07642361111</v>
      </c>
      <c r="W134" s="47">
        <v>730.0</v>
      </c>
      <c r="X134" s="127">
        <v>44787.178148148145</v>
      </c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</row>
    <row r="135" ht="15.75" customHeight="1">
      <c r="A135" s="47">
        <v>663.0</v>
      </c>
      <c r="B135" s="127">
        <v>44786.2683912037</v>
      </c>
      <c r="C135" s="47">
        <v>669.0</v>
      </c>
      <c r="D135" s="127">
        <v>44786.3702662037</v>
      </c>
      <c r="E135" s="47">
        <v>657.0</v>
      </c>
      <c r="F135" s="127">
        <v>44786.43677083333</v>
      </c>
      <c r="G135" s="47">
        <v>577.0</v>
      </c>
      <c r="H135" s="127">
        <v>44786.51278935185</v>
      </c>
      <c r="I135" s="47">
        <v>669.0</v>
      </c>
      <c r="J135" s="127">
        <v>44786.62391203704</v>
      </c>
      <c r="K135" s="47">
        <v>675.0</v>
      </c>
      <c r="L135" s="127">
        <v>44786.60859953704</v>
      </c>
      <c r="M135" s="47">
        <v>685.0</v>
      </c>
      <c r="N135" s="127">
        <v>44786.61004629629</v>
      </c>
      <c r="O135" s="47">
        <v>684.0</v>
      </c>
      <c r="P135" s="127">
        <v>44786.72162037037</v>
      </c>
      <c r="Q135" s="47">
        <v>693.0</v>
      </c>
      <c r="R135" s="127">
        <v>44786.88979166667</v>
      </c>
      <c r="S135" s="47">
        <v>714.0</v>
      </c>
      <c r="T135" s="127">
        <v>44787.05422453704</v>
      </c>
      <c r="U135" s="47">
        <v>719.0</v>
      </c>
      <c r="V135" s="127">
        <v>44787.05422453704</v>
      </c>
      <c r="W135" s="47">
        <v>731.0</v>
      </c>
      <c r="X135" s="127">
        <v>44786.965833333335</v>
      </c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</row>
    <row r="136" ht="15.75" customHeight="1">
      <c r="A136" s="47">
        <v>664.0</v>
      </c>
      <c r="B136" s="127">
        <v>44786.27863425926</v>
      </c>
      <c r="C136" s="47">
        <v>670.0</v>
      </c>
      <c r="D136" s="127">
        <v>44786.331087962964</v>
      </c>
      <c r="E136" s="47">
        <v>662.0</v>
      </c>
      <c r="F136" s="127">
        <v>44786.387395833335</v>
      </c>
      <c r="G136" s="47">
        <v>723.0</v>
      </c>
      <c r="H136" s="127">
        <v>44786.512824074074</v>
      </c>
      <c r="I136" s="47">
        <v>670.0</v>
      </c>
      <c r="J136" s="127">
        <v>44786.54605324074</v>
      </c>
      <c r="K136" s="47">
        <v>677.0</v>
      </c>
      <c r="L136" s="127">
        <v>44786.65658564815</v>
      </c>
      <c r="M136" s="47">
        <v>686.0</v>
      </c>
      <c r="N136" s="127">
        <v>44786.63964120371</v>
      </c>
      <c r="O136" s="47">
        <v>685.0</v>
      </c>
      <c r="P136" s="127">
        <v>44786.6980787037</v>
      </c>
      <c r="Q136" s="47">
        <v>694.0</v>
      </c>
      <c r="R136" s="127">
        <v>44786.943460648145</v>
      </c>
      <c r="S136" s="47">
        <v>715.0</v>
      </c>
      <c r="T136" s="127">
        <v>44786.86263888889</v>
      </c>
      <c r="U136" s="47">
        <v>721.0</v>
      </c>
      <c r="V136" s="127">
        <v>44787.05422453704</v>
      </c>
      <c r="W136" s="47">
        <v>732.0</v>
      </c>
      <c r="X136" s="127">
        <v>44787.24885416667</v>
      </c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</row>
    <row r="137" ht="15.75" customHeight="1">
      <c r="A137" s="47">
        <v>665.0</v>
      </c>
      <c r="B137" s="127">
        <v>44786.27866898148</v>
      </c>
      <c r="C137" s="47">
        <v>672.0</v>
      </c>
      <c r="D137" s="127">
        <v>44786.387395833335</v>
      </c>
      <c r="E137" s="47">
        <v>663.0</v>
      </c>
      <c r="F137" s="127">
        <v>44786.40739583333</v>
      </c>
      <c r="G137" s="47">
        <v>699.0</v>
      </c>
      <c r="H137" s="127">
        <v>44786.51284722222</v>
      </c>
      <c r="I137" s="47">
        <v>673.0</v>
      </c>
      <c r="J137" s="127">
        <v>44786.60953703704</v>
      </c>
      <c r="K137" s="47">
        <v>678.0</v>
      </c>
      <c r="L137" s="127">
        <v>44786.745150462964</v>
      </c>
      <c r="M137" s="47">
        <v>687.0</v>
      </c>
      <c r="N137" s="127">
        <v>44786.633356481485</v>
      </c>
      <c r="O137" s="47">
        <v>686.0</v>
      </c>
      <c r="P137" s="127">
        <v>44786.73510416667</v>
      </c>
      <c r="Q137" s="47">
        <v>695.0</v>
      </c>
      <c r="R137" s="127">
        <v>44786.868310185186</v>
      </c>
      <c r="S137" s="47">
        <v>716.0</v>
      </c>
      <c r="T137" s="127">
        <v>44786.990324074075</v>
      </c>
      <c r="U137" s="47">
        <v>722.0</v>
      </c>
      <c r="V137" s="127">
        <v>44787.05422453704</v>
      </c>
      <c r="W137" s="47">
        <v>734.0</v>
      </c>
      <c r="X137" s="127">
        <v>44787.1890162037</v>
      </c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</row>
    <row r="138" ht="15.75" customHeight="1">
      <c r="A138" s="47">
        <v>667.0</v>
      </c>
      <c r="B138" s="127">
        <v>44786.298946759256</v>
      </c>
      <c r="C138" s="47">
        <v>673.0</v>
      </c>
      <c r="D138" s="127">
        <v>44786.3702662037</v>
      </c>
      <c r="E138" s="47">
        <v>664.0</v>
      </c>
      <c r="F138" s="127">
        <v>44786.43677083333</v>
      </c>
      <c r="G138" s="47">
        <v>626.0</v>
      </c>
      <c r="H138" s="127">
        <v>44786.51288194444</v>
      </c>
      <c r="I138" s="47">
        <v>675.0</v>
      </c>
      <c r="J138" s="127">
        <v>44786.54846064815</v>
      </c>
      <c r="K138" s="47">
        <v>680.0</v>
      </c>
      <c r="L138" s="127">
        <v>44786.70119212963</v>
      </c>
      <c r="M138" s="47">
        <v>688.0</v>
      </c>
      <c r="N138" s="127">
        <v>44786.710706018515</v>
      </c>
      <c r="O138" s="47">
        <v>687.0</v>
      </c>
      <c r="P138" s="127">
        <v>44786.721550925926</v>
      </c>
      <c r="Q138" s="47">
        <v>696.0</v>
      </c>
      <c r="R138" s="127">
        <v>44786.86828703704</v>
      </c>
      <c r="S138" s="47">
        <v>717.0</v>
      </c>
      <c r="T138" s="127">
        <v>44787.07203703704</v>
      </c>
      <c r="U138" s="47">
        <v>727.0</v>
      </c>
      <c r="V138" s="127">
        <v>44787.05422453704</v>
      </c>
      <c r="W138" s="47">
        <v>736.0</v>
      </c>
      <c r="X138" s="127">
        <v>44787.00314814815</v>
      </c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</row>
    <row r="139" ht="15.75" customHeight="1">
      <c r="A139" s="47">
        <v>669.0</v>
      </c>
      <c r="B139" s="127">
        <v>44786.29896990741</v>
      </c>
      <c r="C139" s="47">
        <v>674.0</v>
      </c>
      <c r="D139" s="127">
        <v>44786.387395833335</v>
      </c>
      <c r="E139" s="47">
        <v>665.0</v>
      </c>
      <c r="F139" s="127">
        <v>44786.43677083333</v>
      </c>
      <c r="G139" s="47">
        <v>542.0</v>
      </c>
      <c r="H139" s="127">
        <v>44786.51291666667</v>
      </c>
      <c r="I139" s="47">
        <v>676.0</v>
      </c>
      <c r="J139" s="127">
        <v>44786.584340277775</v>
      </c>
      <c r="K139" s="47">
        <v>681.0</v>
      </c>
      <c r="L139" s="127">
        <v>44786.68366898148</v>
      </c>
      <c r="M139" s="47">
        <v>689.0</v>
      </c>
      <c r="N139" s="127">
        <v>44786.59600694444</v>
      </c>
      <c r="O139" s="47">
        <v>688.0</v>
      </c>
      <c r="P139" s="127">
        <v>44786.827256944445</v>
      </c>
      <c r="Q139" s="47">
        <v>697.0</v>
      </c>
      <c r="R139" s="127">
        <v>44786.74768518518</v>
      </c>
      <c r="S139" s="47">
        <v>718.0</v>
      </c>
      <c r="T139" s="127">
        <v>44786.97689814815</v>
      </c>
      <c r="U139" s="47">
        <v>728.0</v>
      </c>
      <c r="V139" s="127">
        <v>44786.91626157407</v>
      </c>
      <c r="W139" s="47">
        <v>737.0</v>
      </c>
      <c r="X139" s="127">
        <v>44787.168703703705</v>
      </c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</row>
    <row r="140" ht="15.75" customHeight="1">
      <c r="A140" s="47">
        <v>670.0</v>
      </c>
      <c r="B140" s="127">
        <v>44786.270682870374</v>
      </c>
      <c r="C140" s="47">
        <v>675.0</v>
      </c>
      <c r="D140" s="127">
        <v>44786.33168981481</v>
      </c>
      <c r="E140" s="47">
        <v>667.0</v>
      </c>
      <c r="F140" s="127">
        <v>44786.43677083333</v>
      </c>
      <c r="G140" s="47">
        <v>607.0</v>
      </c>
      <c r="H140" s="127">
        <v>44786.513020833336</v>
      </c>
      <c r="I140" s="47">
        <v>677.0</v>
      </c>
      <c r="J140" s="127">
        <v>44786.56922453704</v>
      </c>
      <c r="K140" s="47">
        <v>683.0</v>
      </c>
      <c r="L140" s="127">
        <v>44786.570243055554</v>
      </c>
      <c r="M140" s="47">
        <v>690.0</v>
      </c>
      <c r="N140" s="127">
        <v>44786.69226851852</v>
      </c>
      <c r="O140" s="47">
        <v>689.0</v>
      </c>
      <c r="P140" s="127">
        <v>44786.676886574074</v>
      </c>
      <c r="Q140" s="47">
        <v>699.0</v>
      </c>
      <c r="R140" s="127">
        <v>44786.89454861111</v>
      </c>
      <c r="S140" s="47">
        <v>719.0</v>
      </c>
      <c r="T140" s="127">
        <v>44786.96511574074</v>
      </c>
      <c r="U140" s="47">
        <v>729.0</v>
      </c>
      <c r="V140" s="127">
        <v>44786.97287037037</v>
      </c>
      <c r="W140" s="47">
        <v>739.0</v>
      </c>
      <c r="X140" s="127">
        <v>44787.20856481481</v>
      </c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</row>
    <row r="141" ht="15.75" customHeight="1">
      <c r="A141" s="47">
        <v>672.0</v>
      </c>
      <c r="B141" s="127">
        <v>44786.31636574074</v>
      </c>
      <c r="C141" s="47">
        <v>676.0</v>
      </c>
      <c r="D141" s="127">
        <v>44786.347604166665</v>
      </c>
      <c r="E141" s="47">
        <v>669.0</v>
      </c>
      <c r="F141" s="127">
        <v>44786.45149305555</v>
      </c>
      <c r="G141" s="47">
        <v>700.0</v>
      </c>
      <c r="H141" s="127">
        <v>44786.51304398148</v>
      </c>
      <c r="I141" s="47">
        <v>678.0</v>
      </c>
      <c r="J141" s="127">
        <v>44786.64957175926</v>
      </c>
      <c r="K141" s="47">
        <v>684.0</v>
      </c>
      <c r="L141" s="127">
        <v>44786.58689814815</v>
      </c>
      <c r="M141" s="47">
        <v>691.0</v>
      </c>
      <c r="N141" s="127">
        <v>44786.779756944445</v>
      </c>
      <c r="O141" s="47">
        <v>690.0</v>
      </c>
      <c r="P141" s="127">
        <v>44786.81248842592</v>
      </c>
      <c r="Q141" s="47">
        <v>701.0</v>
      </c>
      <c r="R141" s="127">
        <v>44786.95980324074</v>
      </c>
      <c r="S141" s="47">
        <v>722.0</v>
      </c>
      <c r="T141" s="127">
        <v>44786.94002314815</v>
      </c>
      <c r="U141" s="47">
        <v>730.0</v>
      </c>
      <c r="V141" s="127">
        <v>44787.07623842593</v>
      </c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</row>
    <row r="142" ht="15.75" customHeight="1">
      <c r="A142" s="47">
        <v>673.0</v>
      </c>
      <c r="B142" s="127">
        <v>44786.29931712963</v>
      </c>
      <c r="C142" s="47">
        <v>677.0</v>
      </c>
      <c r="D142" s="127">
        <v>44786.32067129629</v>
      </c>
      <c r="E142" s="47">
        <v>670.0</v>
      </c>
      <c r="F142" s="127">
        <v>44786.40739583333</v>
      </c>
      <c r="G142" s="47">
        <v>506.0</v>
      </c>
      <c r="H142" s="127">
        <v>44786.513078703705</v>
      </c>
      <c r="I142" s="47">
        <v>680.0</v>
      </c>
      <c r="J142" s="127">
        <v>44786.62391203704</v>
      </c>
      <c r="K142" s="47">
        <v>685.0</v>
      </c>
      <c r="L142" s="127">
        <v>44786.563113425924</v>
      </c>
      <c r="M142" s="47">
        <v>692.0</v>
      </c>
      <c r="N142" s="127">
        <v>44786.65899305556</v>
      </c>
      <c r="O142" s="47">
        <v>691.0</v>
      </c>
      <c r="P142" s="127">
        <v>44786.905706018515</v>
      </c>
      <c r="Q142" s="47">
        <v>702.0</v>
      </c>
      <c r="R142" s="127">
        <v>44786.74309027778</v>
      </c>
      <c r="S142" s="47">
        <v>723.0</v>
      </c>
      <c r="T142" s="127">
        <v>44787.07821759259</v>
      </c>
      <c r="U142" s="47">
        <v>731.0</v>
      </c>
      <c r="V142" s="127">
        <v>44786.88302083333</v>
      </c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</row>
    <row r="143" ht="15.75" customHeight="1">
      <c r="A143" s="47">
        <v>674.0</v>
      </c>
      <c r="B143" s="127">
        <v>44786.300671296296</v>
      </c>
      <c r="C143" s="47">
        <v>678.0</v>
      </c>
      <c r="D143" s="127">
        <v>44786.44809027778</v>
      </c>
      <c r="E143" s="47">
        <v>672.0</v>
      </c>
      <c r="F143" s="127">
        <v>44786.45175925926</v>
      </c>
      <c r="G143" s="47">
        <v>694.0</v>
      </c>
      <c r="H143" s="127">
        <v>44786.51311342593</v>
      </c>
      <c r="I143" s="47">
        <v>681.0</v>
      </c>
      <c r="J143" s="127">
        <v>44786.600856481484</v>
      </c>
      <c r="K143" s="47">
        <v>686.0</v>
      </c>
      <c r="L143" s="127">
        <v>44786.59460648148</v>
      </c>
      <c r="M143" s="47">
        <v>693.0</v>
      </c>
      <c r="N143" s="127">
        <v>44786.71074074074</v>
      </c>
      <c r="O143" s="47">
        <v>692.0</v>
      </c>
      <c r="P143" s="127">
        <v>44786.76268518518</v>
      </c>
      <c r="Q143" s="47">
        <v>703.0</v>
      </c>
      <c r="R143" s="127">
        <v>44786.785358796296</v>
      </c>
      <c r="S143" s="47">
        <v>727.0</v>
      </c>
      <c r="T143" s="127">
        <v>44786.964421296296</v>
      </c>
      <c r="U143" s="47">
        <v>732.0</v>
      </c>
      <c r="V143" s="127">
        <v>44787.12832175926</v>
      </c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</row>
    <row r="144" ht="15.75" customHeight="1">
      <c r="A144" s="47">
        <v>675.0</v>
      </c>
      <c r="B144" s="127">
        <v>44786.270625</v>
      </c>
      <c r="C144" s="47">
        <v>680.0</v>
      </c>
      <c r="D144" s="127">
        <v>44786.3702662037</v>
      </c>
      <c r="E144" s="47">
        <v>673.0</v>
      </c>
      <c r="F144" s="127">
        <v>44786.43677083333</v>
      </c>
      <c r="G144" s="47">
        <v>598.0</v>
      </c>
      <c r="H144" s="127">
        <v>44786.523877314816</v>
      </c>
      <c r="I144" s="47">
        <v>683.0</v>
      </c>
      <c r="J144" s="127">
        <v>44786.50423611111</v>
      </c>
      <c r="K144" s="47">
        <v>687.0</v>
      </c>
      <c r="L144" s="127">
        <v>44786.576944444445</v>
      </c>
      <c r="M144" s="47">
        <v>694.0</v>
      </c>
      <c r="N144" s="127">
        <v>44786.760671296295</v>
      </c>
      <c r="O144" s="47">
        <v>693.0</v>
      </c>
      <c r="P144" s="127">
        <v>44786.82729166667</v>
      </c>
      <c r="Q144" s="47">
        <v>704.0</v>
      </c>
      <c r="R144" s="127">
        <v>44786.889814814815</v>
      </c>
      <c r="S144" s="47">
        <v>728.0</v>
      </c>
      <c r="T144" s="127">
        <v>44786.84476851852</v>
      </c>
      <c r="U144" s="47">
        <v>734.0</v>
      </c>
      <c r="V144" s="127">
        <v>44787.07650462963</v>
      </c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</row>
    <row r="145" ht="15.75" customHeight="1">
      <c r="A145" s="47">
        <v>676.0</v>
      </c>
      <c r="B145" s="127">
        <v>44786.274363425924</v>
      </c>
      <c r="C145" s="47">
        <v>681.0</v>
      </c>
      <c r="D145" s="127">
        <v>44786.35420138889</v>
      </c>
      <c r="E145" s="47">
        <v>675.0</v>
      </c>
      <c r="F145" s="127">
        <v>44786.40739583333</v>
      </c>
      <c r="G145" s="47">
        <v>587.0</v>
      </c>
      <c r="H145" s="127">
        <v>44786.52391203704</v>
      </c>
      <c r="I145" s="47">
        <v>684.0</v>
      </c>
      <c r="J145" s="127">
        <v>44786.5190162037</v>
      </c>
      <c r="K145" s="47">
        <v>688.0</v>
      </c>
      <c r="L145" s="127">
        <v>44786.651666666665</v>
      </c>
      <c r="M145" s="47">
        <v>695.0</v>
      </c>
      <c r="N145" s="127">
        <v>44786.68314814815</v>
      </c>
      <c r="O145" s="47">
        <v>694.0</v>
      </c>
      <c r="P145" s="127">
        <v>44786.864907407406</v>
      </c>
      <c r="Q145" s="47">
        <v>705.0</v>
      </c>
      <c r="R145" s="127">
        <v>44786.91899305556</v>
      </c>
      <c r="S145" s="47">
        <v>729.0</v>
      </c>
      <c r="T145" s="127">
        <v>44786.87832175926</v>
      </c>
      <c r="U145" s="47">
        <v>736.0</v>
      </c>
      <c r="V145" s="127">
        <v>44786.915868055556</v>
      </c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</row>
    <row r="146" ht="15.75" customHeight="1">
      <c r="A146" s="47">
        <v>677.0</v>
      </c>
      <c r="B146" s="127">
        <v>44786.26428240741</v>
      </c>
      <c r="C146" s="47">
        <v>683.0</v>
      </c>
      <c r="D146" s="127">
        <v>44786.31103009259</v>
      </c>
      <c r="E146" s="47">
        <v>676.0</v>
      </c>
      <c r="F146" s="127">
        <v>44786.420069444444</v>
      </c>
      <c r="G146" s="47">
        <v>510.0</v>
      </c>
      <c r="H146" s="127">
        <v>44786.52392361111</v>
      </c>
      <c r="I146" s="47">
        <v>685.0</v>
      </c>
      <c r="J146" s="127">
        <v>44786.50417824074</v>
      </c>
      <c r="K146" s="47">
        <v>689.0</v>
      </c>
      <c r="L146" s="127">
        <v>44786.553935185184</v>
      </c>
      <c r="M146" s="47">
        <v>696.0</v>
      </c>
      <c r="N146" s="127">
        <v>44786.69216435185</v>
      </c>
      <c r="O146" s="47">
        <v>695.0</v>
      </c>
      <c r="P146" s="127">
        <v>44786.795324074075</v>
      </c>
      <c r="Q146" s="47">
        <v>706.0</v>
      </c>
      <c r="R146" s="127">
        <v>44786.859872685185</v>
      </c>
      <c r="S146" s="47">
        <v>730.0</v>
      </c>
      <c r="T146" s="127">
        <v>44786.99030092593</v>
      </c>
      <c r="U146" s="47">
        <v>737.0</v>
      </c>
      <c r="V146" s="127">
        <v>44787.076527777775</v>
      </c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</row>
    <row r="147" ht="15.75" customHeight="1">
      <c r="A147" s="47">
        <v>678.0</v>
      </c>
      <c r="B147" s="127">
        <v>44786.30111111111</v>
      </c>
      <c r="C147" s="47">
        <v>684.0</v>
      </c>
      <c r="D147" s="127">
        <v>44786.33144675926</v>
      </c>
      <c r="E147" s="47">
        <v>677.0</v>
      </c>
      <c r="F147" s="127">
        <v>44786.40739583333</v>
      </c>
      <c r="G147" s="47">
        <v>545.0</v>
      </c>
      <c r="H147" s="127">
        <v>44786.52394675926</v>
      </c>
      <c r="I147" s="47">
        <v>686.0</v>
      </c>
      <c r="J147" s="127">
        <v>44786.52900462963</v>
      </c>
      <c r="K147" s="47">
        <v>690.0</v>
      </c>
      <c r="L147" s="127">
        <v>44786.633414351854</v>
      </c>
      <c r="M147" s="47">
        <v>697.0</v>
      </c>
      <c r="N147" s="127">
        <v>44786.59646990741</v>
      </c>
      <c r="O147" s="47">
        <v>696.0</v>
      </c>
      <c r="P147" s="127">
        <v>44786.795625</v>
      </c>
      <c r="Q147" s="47">
        <v>708.0</v>
      </c>
      <c r="R147" s="127">
        <v>44786.763969907406</v>
      </c>
      <c r="S147" s="47">
        <v>731.0</v>
      </c>
      <c r="T147" s="127">
        <v>44786.81928240741</v>
      </c>
      <c r="U147" s="47">
        <v>739.0</v>
      </c>
      <c r="V147" s="127">
        <v>44787.128171296295</v>
      </c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</row>
    <row r="148" ht="15.75" customHeight="1">
      <c r="A148" s="47">
        <v>680.0</v>
      </c>
      <c r="B148" s="127">
        <v>44786.30121527778</v>
      </c>
      <c r="C148" s="47">
        <v>685.0</v>
      </c>
      <c r="D148" s="127">
        <v>44786.31989583333</v>
      </c>
      <c r="E148" s="47">
        <v>678.0</v>
      </c>
      <c r="F148" s="127">
        <v>44786.451585648145</v>
      </c>
      <c r="G148" s="47">
        <v>534.0</v>
      </c>
      <c r="H148" s="127">
        <v>44786.52396990741</v>
      </c>
      <c r="I148" s="47">
        <v>687.0</v>
      </c>
      <c r="J148" s="127">
        <v>44786.51447916667</v>
      </c>
      <c r="K148" s="47">
        <v>691.0</v>
      </c>
      <c r="L148" s="127">
        <v>44786.70050925926</v>
      </c>
      <c r="M148" s="47">
        <v>699.0</v>
      </c>
      <c r="N148" s="127">
        <v>44786.72287037037</v>
      </c>
      <c r="O148" s="47">
        <v>697.0</v>
      </c>
      <c r="P148" s="127">
        <v>44786.682800925926</v>
      </c>
      <c r="Q148" s="47">
        <v>709.0</v>
      </c>
      <c r="R148" s="127">
        <v>44786.84541666666</v>
      </c>
      <c r="S148" s="47">
        <v>732.0</v>
      </c>
      <c r="T148" s="127">
        <v>44786.99037037037</v>
      </c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</row>
    <row r="149" ht="15.75" customHeight="1">
      <c r="A149" s="47">
        <v>681.0</v>
      </c>
      <c r="B149" s="127">
        <v>44786.27924768518</v>
      </c>
      <c r="C149" s="47">
        <v>686.0</v>
      </c>
      <c r="D149" s="127">
        <v>44786.32052083333</v>
      </c>
      <c r="E149" s="47">
        <v>680.0</v>
      </c>
      <c r="F149" s="127">
        <v>44786.43677083333</v>
      </c>
      <c r="G149" s="47">
        <v>628.0</v>
      </c>
      <c r="H149" s="127">
        <v>44786.5240625</v>
      </c>
      <c r="I149" s="47">
        <v>688.0</v>
      </c>
      <c r="J149" s="127">
        <v>44786.583969907406</v>
      </c>
      <c r="K149" s="47">
        <v>692.0</v>
      </c>
      <c r="L149" s="127">
        <v>44786.60851851852</v>
      </c>
      <c r="M149" s="47">
        <v>701.0</v>
      </c>
      <c r="N149" s="127">
        <v>44786.760671296295</v>
      </c>
      <c r="O149" s="47">
        <v>699.0</v>
      </c>
      <c r="P149" s="127">
        <v>44786.82759259259</v>
      </c>
      <c r="Q149" s="47">
        <v>711.0</v>
      </c>
      <c r="R149" s="127">
        <v>44786.7853125</v>
      </c>
      <c r="S149" s="47">
        <v>733.0</v>
      </c>
      <c r="T149" s="127">
        <v>44787.09423611111</v>
      </c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</row>
    <row r="150" ht="15.75" customHeight="1">
      <c r="A150" s="47">
        <v>683.0</v>
      </c>
      <c r="B150" s="127">
        <v>44786.26435185185</v>
      </c>
      <c r="C150" s="47">
        <v>687.0</v>
      </c>
      <c r="D150" s="127">
        <v>44786.32079861111</v>
      </c>
      <c r="E150" s="47">
        <v>681.0</v>
      </c>
      <c r="F150" s="127">
        <v>44786.420069444444</v>
      </c>
      <c r="G150" s="47">
        <v>627.0</v>
      </c>
      <c r="H150" s="127">
        <v>44786.52408564815</v>
      </c>
      <c r="I150" s="47">
        <v>689.0</v>
      </c>
      <c r="J150" s="127">
        <v>44786.49078703704</v>
      </c>
      <c r="K150" s="47">
        <v>693.0</v>
      </c>
      <c r="L150" s="127">
        <v>44786.65131944444</v>
      </c>
      <c r="M150" s="47">
        <v>702.0</v>
      </c>
      <c r="N150" s="127">
        <v>44786.604629629626</v>
      </c>
      <c r="O150" s="47">
        <v>701.0</v>
      </c>
      <c r="P150" s="127">
        <v>44786.865069444444</v>
      </c>
      <c r="Q150" s="47">
        <v>712.0</v>
      </c>
      <c r="R150" s="127">
        <v>44786.91122685185</v>
      </c>
      <c r="S150" s="47">
        <v>734.0</v>
      </c>
      <c r="T150" s="127">
        <v>44786.976851851854</v>
      </c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</row>
    <row r="151" ht="15.75" customHeight="1">
      <c r="A151" s="47">
        <v>684.0</v>
      </c>
      <c r="B151" s="127">
        <v>44786.27394675926</v>
      </c>
      <c r="C151" s="47">
        <v>688.0</v>
      </c>
      <c r="D151" s="127">
        <v>44786.34795138889</v>
      </c>
      <c r="E151" s="47">
        <v>683.0</v>
      </c>
      <c r="F151" s="127">
        <v>44786.3702662037</v>
      </c>
      <c r="G151" s="47">
        <v>570.0</v>
      </c>
      <c r="H151" s="127">
        <v>44786.52412037037</v>
      </c>
      <c r="I151" s="47">
        <v>690.0</v>
      </c>
      <c r="J151" s="127">
        <v>44786.55704861111</v>
      </c>
      <c r="K151" s="47">
        <v>694.0</v>
      </c>
      <c r="L151" s="127">
        <v>44786.671805555554</v>
      </c>
      <c r="M151" s="47">
        <v>703.0</v>
      </c>
      <c r="N151" s="127">
        <v>44786.62391203704</v>
      </c>
      <c r="O151" s="47">
        <v>702.0</v>
      </c>
      <c r="P151" s="127">
        <v>44786.68814814815</v>
      </c>
      <c r="Q151" s="47">
        <v>713.0</v>
      </c>
      <c r="R151" s="127">
        <v>44786.81125</v>
      </c>
      <c r="S151" s="47">
        <v>736.0</v>
      </c>
      <c r="T151" s="127">
        <v>44786.82127314815</v>
      </c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</row>
    <row r="152" ht="15.75" customHeight="1">
      <c r="A152" s="47">
        <v>685.0</v>
      </c>
      <c r="B152" s="127">
        <v>44786.26417824074</v>
      </c>
      <c r="C152" s="47">
        <v>689.0</v>
      </c>
      <c r="D152" s="127">
        <v>44786.30704861111</v>
      </c>
      <c r="E152" s="47">
        <v>684.0</v>
      </c>
      <c r="F152" s="127">
        <v>44786.40739583333</v>
      </c>
      <c r="G152" s="47">
        <v>733.0</v>
      </c>
      <c r="H152" s="127">
        <v>44786.52413194445</v>
      </c>
      <c r="I152" s="47">
        <v>691.0</v>
      </c>
      <c r="J152" s="127">
        <v>44786.62391203704</v>
      </c>
      <c r="K152" s="47">
        <v>695.0</v>
      </c>
      <c r="L152" s="127">
        <v>44786.608715277776</v>
      </c>
      <c r="M152" s="47">
        <v>704.0</v>
      </c>
      <c r="N152" s="127">
        <v>44786.702511574076</v>
      </c>
      <c r="O152" s="47">
        <v>703.0</v>
      </c>
      <c r="P152" s="127">
        <v>44786.7215162037</v>
      </c>
      <c r="Q152" s="47">
        <v>714.0</v>
      </c>
      <c r="R152" s="127">
        <v>44786.911261574074</v>
      </c>
      <c r="S152" s="47">
        <v>737.0</v>
      </c>
      <c r="T152" s="127">
        <v>44786.99041666667</v>
      </c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</row>
    <row r="153" ht="15.75" customHeight="1">
      <c r="A153" s="47">
        <v>686.0</v>
      </c>
      <c r="B153" s="127">
        <v>44786.264560185184</v>
      </c>
      <c r="C153" s="47">
        <v>690.0</v>
      </c>
      <c r="D153" s="127">
        <v>44786.33118055556</v>
      </c>
      <c r="E153" s="47">
        <v>685.0</v>
      </c>
      <c r="F153" s="127">
        <v>44786.387395833335</v>
      </c>
      <c r="G153" s="47">
        <v>532.0</v>
      </c>
      <c r="H153" s="127">
        <v>44786.52415509259</v>
      </c>
      <c r="I153" s="47">
        <v>692.0</v>
      </c>
      <c r="J153" s="127">
        <v>44786.534212962964</v>
      </c>
      <c r="K153" s="47">
        <v>696.0</v>
      </c>
      <c r="L153" s="127">
        <v>44786.63964120371</v>
      </c>
      <c r="M153" s="47">
        <v>705.0</v>
      </c>
      <c r="N153" s="127">
        <v>44786.722650462965</v>
      </c>
      <c r="O153" s="47">
        <v>704.0</v>
      </c>
      <c r="P153" s="127">
        <v>44786.81246527778</v>
      </c>
      <c r="Q153" s="47">
        <v>715.0</v>
      </c>
      <c r="R153" s="127">
        <v>44786.77234953704</v>
      </c>
      <c r="S153" s="47">
        <v>739.0</v>
      </c>
      <c r="T153" s="127">
        <v>44787.05422453704</v>
      </c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</row>
    <row r="154" ht="15.75" customHeight="1">
      <c r="A154" s="47">
        <v>687.0</v>
      </c>
      <c r="B154" s="127">
        <v>44786.268055555556</v>
      </c>
      <c r="C154" s="47">
        <v>691.0</v>
      </c>
      <c r="D154" s="127">
        <v>44786.34832175926</v>
      </c>
      <c r="E154" s="47">
        <v>686.0</v>
      </c>
      <c r="F154" s="127">
        <v>44786.40739583333</v>
      </c>
      <c r="G154" s="47">
        <v>701.0</v>
      </c>
      <c r="H154" s="127">
        <v>44786.52425925926</v>
      </c>
      <c r="I154" s="47">
        <v>693.0</v>
      </c>
      <c r="J154" s="127">
        <v>44786.57502314815</v>
      </c>
      <c r="K154" s="47">
        <v>697.0</v>
      </c>
      <c r="L154" s="127">
        <v>44786.55395833333</v>
      </c>
      <c r="M154" s="47">
        <v>706.0</v>
      </c>
      <c r="N154" s="127">
        <v>44786.68311342593</v>
      </c>
      <c r="O154" s="47">
        <v>705.0</v>
      </c>
      <c r="P154" s="127">
        <v>44786.83045138889</v>
      </c>
      <c r="Q154" s="47">
        <v>716.0</v>
      </c>
      <c r="R154" s="127">
        <v>44786.86834490741</v>
      </c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</row>
    <row r="155" ht="15.75" customHeight="1">
      <c r="A155" s="47">
        <v>688.0</v>
      </c>
      <c r="B155" s="127">
        <v>44786.27847222222</v>
      </c>
      <c r="C155" s="47">
        <v>692.0</v>
      </c>
      <c r="D155" s="127">
        <v>44786.32048611111</v>
      </c>
      <c r="E155" s="47">
        <v>687.0</v>
      </c>
      <c r="F155" s="127">
        <v>44786.387395833335</v>
      </c>
      <c r="G155" s="47">
        <v>531.0</v>
      </c>
      <c r="H155" s="127">
        <v>44786.52429398148</v>
      </c>
      <c r="I155" s="47">
        <v>694.0</v>
      </c>
      <c r="J155" s="127">
        <v>44786.593356481484</v>
      </c>
      <c r="K155" s="47">
        <v>699.0</v>
      </c>
      <c r="L155" s="127">
        <v>44786.65153935185</v>
      </c>
      <c r="M155" s="47">
        <v>707.0</v>
      </c>
      <c r="N155" s="127">
        <v>44786.72997685185</v>
      </c>
      <c r="O155" s="47">
        <v>706.0</v>
      </c>
      <c r="P155" s="127">
        <v>44786.78362268519</v>
      </c>
      <c r="Q155" s="47">
        <v>717.0</v>
      </c>
      <c r="R155" s="127">
        <v>44786.92821759259</v>
      </c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</row>
    <row r="156" ht="15.75" customHeight="1">
      <c r="A156" s="47">
        <v>689.0</v>
      </c>
      <c r="B156" s="127">
        <v>44786.261412037034</v>
      </c>
      <c r="C156" s="47">
        <v>693.0</v>
      </c>
      <c r="D156" s="127">
        <v>44786.34721064815</v>
      </c>
      <c r="E156" s="47">
        <v>688.0</v>
      </c>
      <c r="F156" s="127">
        <v>44786.45133101852</v>
      </c>
      <c r="G156" s="47">
        <v>714.0</v>
      </c>
      <c r="H156" s="127">
        <v>44786.52431712963</v>
      </c>
      <c r="I156" s="47">
        <v>695.0</v>
      </c>
      <c r="J156" s="127">
        <v>44786.545960648145</v>
      </c>
      <c r="K156" s="47">
        <v>701.0</v>
      </c>
      <c r="L156" s="127">
        <v>44786.68363425926</v>
      </c>
      <c r="M156" s="47">
        <v>708.0</v>
      </c>
      <c r="N156" s="127">
        <v>44786.62391203704</v>
      </c>
      <c r="O156" s="47">
        <v>707.0</v>
      </c>
      <c r="P156" s="127">
        <v>44786.881215277775</v>
      </c>
      <c r="Q156" s="47">
        <v>718.0</v>
      </c>
      <c r="R156" s="127">
        <v>44786.86817129629</v>
      </c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</row>
    <row r="157" ht="15.75" customHeight="1">
      <c r="A157" s="47">
        <v>690.0</v>
      </c>
      <c r="B157" s="127">
        <v>44786.27070601852</v>
      </c>
      <c r="C157" s="47">
        <v>694.0</v>
      </c>
      <c r="D157" s="127">
        <v>44786.348275462966</v>
      </c>
      <c r="E157" s="47">
        <v>689.0</v>
      </c>
      <c r="F157" s="127">
        <v>44786.3702662037</v>
      </c>
      <c r="G157" s="47">
        <v>681.0</v>
      </c>
      <c r="H157" s="127">
        <v>44786.52434027778</v>
      </c>
      <c r="I157" s="47">
        <v>696.0</v>
      </c>
      <c r="J157" s="127">
        <v>44786.55700231482</v>
      </c>
      <c r="K157" s="47">
        <v>702.0</v>
      </c>
      <c r="L157" s="127">
        <v>44786.55399305555</v>
      </c>
      <c r="M157" s="47">
        <v>709.0</v>
      </c>
      <c r="N157" s="127">
        <v>44786.67475694444</v>
      </c>
      <c r="O157" s="47">
        <v>708.0</v>
      </c>
      <c r="P157" s="127">
        <v>44786.70377314815</v>
      </c>
      <c r="Q157" s="47">
        <v>719.0</v>
      </c>
      <c r="R157" s="127">
        <v>44786.85957175926</v>
      </c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</row>
    <row r="158" ht="15.75" customHeight="1">
      <c r="A158" s="47">
        <v>691.0</v>
      </c>
      <c r="B158" s="127">
        <v>44786.27412037037</v>
      </c>
      <c r="C158" s="47">
        <v>695.0</v>
      </c>
      <c r="D158" s="127">
        <v>44786.324837962966</v>
      </c>
      <c r="E158" s="47">
        <v>690.0</v>
      </c>
      <c r="F158" s="127">
        <v>44786.40739583333</v>
      </c>
      <c r="G158" s="47">
        <v>554.0</v>
      </c>
      <c r="H158" s="127">
        <v>44786.524375</v>
      </c>
      <c r="I158" s="47">
        <v>697.0</v>
      </c>
      <c r="J158" s="127">
        <v>44786.48888888889</v>
      </c>
      <c r="K158" s="47">
        <v>703.0</v>
      </c>
      <c r="L158" s="127">
        <v>44786.57020833333</v>
      </c>
      <c r="M158" s="47">
        <v>712.0</v>
      </c>
      <c r="N158" s="127">
        <v>44786.710856481484</v>
      </c>
      <c r="O158" s="47">
        <v>709.0</v>
      </c>
      <c r="P158" s="127">
        <v>44786.77501157407</v>
      </c>
      <c r="Q158" s="47">
        <v>721.0</v>
      </c>
      <c r="R158" s="127">
        <v>44786.79969907407</v>
      </c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</row>
    <row r="159" ht="15.75" customHeight="1">
      <c r="A159" s="47">
        <v>692.0</v>
      </c>
      <c r="B159" s="127">
        <v>44786.26461805555</v>
      </c>
      <c r="C159" s="47">
        <v>696.0</v>
      </c>
      <c r="D159" s="127">
        <v>44786.331712962965</v>
      </c>
      <c r="E159" s="47">
        <v>691.0</v>
      </c>
      <c r="F159" s="127">
        <v>44786.43677083333</v>
      </c>
      <c r="G159" s="47">
        <v>726.0</v>
      </c>
      <c r="H159" s="127">
        <v>44786.52447916667</v>
      </c>
      <c r="I159" s="47">
        <v>699.0</v>
      </c>
      <c r="J159" s="127">
        <v>44786.578831018516</v>
      </c>
      <c r="K159" s="47">
        <v>704.0</v>
      </c>
      <c r="L159" s="127">
        <v>44786.63964120371</v>
      </c>
      <c r="M159" s="47">
        <v>713.0</v>
      </c>
      <c r="N159" s="127">
        <v>44786.64873842592</v>
      </c>
      <c r="O159" s="47">
        <v>711.0</v>
      </c>
      <c r="P159" s="127">
        <v>44786.72173611111</v>
      </c>
      <c r="Q159" s="47">
        <v>722.0</v>
      </c>
      <c r="R159" s="127">
        <v>44786.84548611111</v>
      </c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</row>
    <row r="160" ht="15.75" customHeight="1">
      <c r="A160" s="47">
        <v>693.0</v>
      </c>
      <c r="B160" s="127">
        <v>44786.27415509259</v>
      </c>
      <c r="C160" s="47">
        <v>697.0</v>
      </c>
      <c r="D160" s="127">
        <v>44786.31116898148</v>
      </c>
      <c r="E160" s="47">
        <v>692.0</v>
      </c>
      <c r="F160" s="127">
        <v>44786.387395833335</v>
      </c>
      <c r="G160" s="47">
        <v>597.0</v>
      </c>
      <c r="H160" s="127">
        <v>44786.524502314816</v>
      </c>
      <c r="I160" s="47">
        <v>700.0</v>
      </c>
      <c r="J160" s="127">
        <v>44786.59302083333</v>
      </c>
      <c r="K160" s="47">
        <v>705.0</v>
      </c>
      <c r="L160" s="127">
        <v>44786.65126157407</v>
      </c>
      <c r="M160" s="47">
        <v>714.0</v>
      </c>
      <c r="N160" s="127">
        <v>44786.72390046297</v>
      </c>
      <c r="O160" s="47">
        <v>712.0</v>
      </c>
      <c r="P160" s="127">
        <v>44786.827523148146</v>
      </c>
      <c r="Q160" s="47">
        <v>723.0</v>
      </c>
      <c r="R160" s="127">
        <v>44786.93728009259</v>
      </c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</row>
    <row r="161" ht="15.75" customHeight="1">
      <c r="A161" s="47">
        <v>694.0</v>
      </c>
      <c r="B161" s="127">
        <v>44786.27918981481</v>
      </c>
      <c r="C161" s="47">
        <v>699.0</v>
      </c>
      <c r="D161" s="127">
        <v>44786.347662037035</v>
      </c>
      <c r="E161" s="47">
        <v>693.0</v>
      </c>
      <c r="F161" s="127">
        <v>44786.40739583333</v>
      </c>
      <c r="G161" s="47">
        <v>632.0</v>
      </c>
      <c r="H161" s="127">
        <v>44786.53475694444</v>
      </c>
      <c r="I161" s="47">
        <v>701.0</v>
      </c>
      <c r="J161" s="127">
        <v>44786.600902777776</v>
      </c>
      <c r="K161" s="47">
        <v>706.0</v>
      </c>
      <c r="L161" s="127">
        <v>44786.62391203704</v>
      </c>
      <c r="M161" s="47">
        <v>715.0</v>
      </c>
      <c r="N161" s="127">
        <v>44786.62391203704</v>
      </c>
      <c r="O161" s="47">
        <v>713.0</v>
      </c>
      <c r="P161" s="127">
        <v>44786.74259259259</v>
      </c>
      <c r="Q161" s="47">
        <v>727.0</v>
      </c>
      <c r="R161" s="127">
        <v>44786.845625</v>
      </c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</row>
    <row r="162" ht="15.75" customHeight="1">
      <c r="A162" s="47">
        <v>695.0</v>
      </c>
      <c r="B162" s="127">
        <v>44786.268125</v>
      </c>
      <c r="C162" s="47">
        <v>700.0</v>
      </c>
      <c r="D162" s="127">
        <v>44786.339525462965</v>
      </c>
      <c r="E162" s="47">
        <v>694.0</v>
      </c>
      <c r="F162" s="127">
        <v>44786.420069444444</v>
      </c>
      <c r="G162" s="47">
        <v>665.0</v>
      </c>
      <c r="H162" s="127">
        <v>44786.534780092596</v>
      </c>
      <c r="I162" s="47">
        <v>702.0</v>
      </c>
      <c r="J162" s="127">
        <v>44786.49354166666</v>
      </c>
      <c r="K162" s="47">
        <v>707.0</v>
      </c>
      <c r="L162" s="127">
        <v>44786.65660879629</v>
      </c>
      <c r="M162" s="47">
        <v>716.0</v>
      </c>
      <c r="N162" s="127">
        <v>44786.69024305556</v>
      </c>
      <c r="O162" s="47">
        <v>714.0</v>
      </c>
      <c r="P162" s="127">
        <v>44786.830717592595</v>
      </c>
      <c r="Q162" s="47">
        <v>728.0</v>
      </c>
      <c r="R162" s="127">
        <v>44786.76393518518</v>
      </c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</row>
    <row r="163" ht="15.75" customHeight="1">
      <c r="A163" s="47">
        <v>696.0</v>
      </c>
      <c r="B163" s="127">
        <v>44786.2712962963</v>
      </c>
      <c r="C163" s="47">
        <v>701.0</v>
      </c>
      <c r="D163" s="127">
        <v>44786.35466435185</v>
      </c>
      <c r="E163" s="47">
        <v>695.0</v>
      </c>
      <c r="F163" s="127">
        <v>44786.40739583333</v>
      </c>
      <c r="G163" s="47">
        <v>664.0</v>
      </c>
      <c r="H163" s="127">
        <v>44786.53480324074</v>
      </c>
      <c r="I163" s="47">
        <v>703.0</v>
      </c>
      <c r="J163" s="127">
        <v>44786.50915509259</v>
      </c>
      <c r="K163" s="47">
        <v>709.0</v>
      </c>
      <c r="L163" s="127">
        <v>44786.608564814815</v>
      </c>
      <c r="M163" s="47">
        <v>717.0</v>
      </c>
      <c r="N163" s="127">
        <v>44786.71440972222</v>
      </c>
      <c r="O163" s="47">
        <v>715.0</v>
      </c>
      <c r="P163" s="127">
        <v>44786.71376157407</v>
      </c>
      <c r="Q163" s="47">
        <v>729.0</v>
      </c>
      <c r="R163" s="127">
        <v>44786.799675925926</v>
      </c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</row>
    <row r="164" ht="15.75" customHeight="1">
      <c r="A164" s="47">
        <v>697.0</v>
      </c>
      <c r="B164" s="127">
        <v>44786.26424768518</v>
      </c>
      <c r="C164" s="47">
        <v>702.0</v>
      </c>
      <c r="D164" s="127">
        <v>44786.310960648145</v>
      </c>
      <c r="E164" s="47">
        <v>696.0</v>
      </c>
      <c r="F164" s="127">
        <v>44786.40739583333</v>
      </c>
      <c r="G164" s="47">
        <v>539.0</v>
      </c>
      <c r="H164" s="127">
        <v>44786.534837962965</v>
      </c>
      <c r="I164" s="47">
        <v>704.0</v>
      </c>
      <c r="J164" s="127">
        <v>44786.56423611111</v>
      </c>
      <c r="K164" s="47">
        <v>711.0</v>
      </c>
      <c r="L164" s="127">
        <v>44786.58681712963</v>
      </c>
      <c r="M164" s="47">
        <v>718.0</v>
      </c>
      <c r="N164" s="127">
        <v>44786.70212962963</v>
      </c>
      <c r="O164" s="47">
        <v>716.0</v>
      </c>
      <c r="P164" s="127">
        <v>44786.795590277776</v>
      </c>
      <c r="Q164" s="47">
        <v>730.0</v>
      </c>
      <c r="R164" s="127">
        <v>44786.88348379629</v>
      </c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</row>
    <row r="165" ht="15.75" customHeight="1">
      <c r="A165" s="47">
        <v>699.0</v>
      </c>
      <c r="B165" s="127">
        <v>44786.27402777778</v>
      </c>
      <c r="C165" s="47">
        <v>703.0</v>
      </c>
      <c r="D165" s="127">
        <v>44786.31104166667</v>
      </c>
      <c r="E165" s="47">
        <v>697.0</v>
      </c>
      <c r="F165" s="127">
        <v>44786.3702662037</v>
      </c>
      <c r="G165" s="47">
        <v>595.0</v>
      </c>
      <c r="H165" s="127">
        <v>44786.534895833334</v>
      </c>
      <c r="I165" s="47">
        <v>705.0</v>
      </c>
      <c r="J165" s="127">
        <v>44786.569074074076</v>
      </c>
      <c r="K165" s="47">
        <v>712.0</v>
      </c>
      <c r="L165" s="127">
        <v>44786.651284722226</v>
      </c>
      <c r="M165" s="47">
        <v>719.0</v>
      </c>
      <c r="N165" s="127">
        <v>44786.7025462963</v>
      </c>
      <c r="O165" s="47">
        <v>717.0</v>
      </c>
      <c r="P165" s="127">
        <v>44786.84075231481</v>
      </c>
      <c r="Q165" s="47">
        <v>731.0</v>
      </c>
      <c r="R165" s="127">
        <v>44786.74300925926</v>
      </c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</row>
    <row r="166" ht="15.75" customHeight="1">
      <c r="A166" s="47">
        <v>700.0</v>
      </c>
      <c r="B166" s="127">
        <v>44786.27107638889</v>
      </c>
      <c r="C166" s="47">
        <v>704.0</v>
      </c>
      <c r="D166" s="127">
        <v>44786.34763888889</v>
      </c>
      <c r="E166" s="47">
        <v>698.0</v>
      </c>
      <c r="F166" s="127">
        <v>44786.420069444444</v>
      </c>
      <c r="G166" s="47">
        <v>673.0</v>
      </c>
      <c r="H166" s="127">
        <v>44786.53503472222</v>
      </c>
      <c r="I166" s="47">
        <v>706.0</v>
      </c>
      <c r="J166" s="127">
        <v>44786.54173611111</v>
      </c>
      <c r="K166" s="47">
        <v>713.0</v>
      </c>
      <c r="L166" s="127">
        <v>44786.57708333333</v>
      </c>
      <c r="M166" s="47">
        <v>721.0</v>
      </c>
      <c r="N166" s="127">
        <v>44786.62391203704</v>
      </c>
      <c r="O166" s="47">
        <v>718.0</v>
      </c>
      <c r="P166" s="127">
        <v>44786.79568287037</v>
      </c>
      <c r="Q166" s="47">
        <v>732.0</v>
      </c>
      <c r="R166" s="127">
        <v>44786.8683912037</v>
      </c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</row>
    <row r="167" ht="15.75" customHeight="1">
      <c r="A167" s="47">
        <v>701.0</v>
      </c>
      <c r="B167" s="127">
        <v>44786.27887731481</v>
      </c>
      <c r="C167" s="47">
        <v>705.0</v>
      </c>
      <c r="D167" s="127">
        <v>44786.331412037034</v>
      </c>
      <c r="E167" s="47">
        <v>699.0</v>
      </c>
      <c r="F167" s="127">
        <v>44786.420069444444</v>
      </c>
      <c r="G167" s="47">
        <v>584.0</v>
      </c>
      <c r="H167" s="127">
        <v>44786.53505787037</v>
      </c>
      <c r="I167" s="47">
        <v>707.0</v>
      </c>
      <c r="J167" s="127">
        <v>44786.584027777775</v>
      </c>
      <c r="K167" s="47">
        <v>714.0</v>
      </c>
      <c r="L167" s="127">
        <v>44786.66653935185</v>
      </c>
      <c r="M167" s="47">
        <v>722.0</v>
      </c>
      <c r="N167" s="127">
        <v>44786.67563657407</v>
      </c>
      <c r="O167" s="47">
        <v>719.0</v>
      </c>
      <c r="P167" s="127">
        <v>44786.79541666667</v>
      </c>
      <c r="Q167" s="47">
        <v>733.0</v>
      </c>
      <c r="R167" s="127">
        <v>44786.96730324074</v>
      </c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</row>
    <row r="168" ht="15.75" customHeight="1">
      <c r="A168" s="47">
        <v>702.0</v>
      </c>
      <c r="B168" s="127">
        <v>44786.262974537036</v>
      </c>
      <c r="C168" s="47">
        <v>706.0</v>
      </c>
      <c r="D168" s="127">
        <v>44786.32480324074</v>
      </c>
      <c r="E168" s="47">
        <v>700.0</v>
      </c>
      <c r="F168" s="127">
        <v>44786.40759259259</v>
      </c>
      <c r="G168" s="47">
        <v>630.0</v>
      </c>
      <c r="H168" s="127">
        <v>44786.53508101852</v>
      </c>
      <c r="I168" s="47">
        <v>708.0</v>
      </c>
      <c r="J168" s="127">
        <v>44786.504270833335</v>
      </c>
      <c r="K168" s="47">
        <v>715.0</v>
      </c>
      <c r="L168" s="127">
        <v>44786.577060185184</v>
      </c>
      <c r="M168" s="47">
        <v>723.0</v>
      </c>
      <c r="N168" s="127">
        <v>44786.73994212963</v>
      </c>
      <c r="O168" s="47">
        <v>721.0</v>
      </c>
      <c r="P168" s="127">
        <v>44786.72158564815</v>
      </c>
      <c r="Q168" s="47">
        <v>734.0</v>
      </c>
      <c r="R168" s="127">
        <v>44786.85983796296</v>
      </c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</row>
    <row r="169" ht="15.75" customHeight="1">
      <c r="A169" s="47">
        <v>703.0</v>
      </c>
      <c r="B169" s="127">
        <v>44786.261516203704</v>
      </c>
      <c r="C169" s="47">
        <v>707.0</v>
      </c>
      <c r="D169" s="127">
        <v>44786.35430555556</v>
      </c>
      <c r="E169" s="47">
        <v>701.0</v>
      </c>
      <c r="F169" s="127">
        <v>44786.43677083333</v>
      </c>
      <c r="G169" s="47">
        <v>633.0</v>
      </c>
      <c r="H169" s="127">
        <v>44786.53511574074</v>
      </c>
      <c r="I169" s="47">
        <v>709.0</v>
      </c>
      <c r="J169" s="127">
        <v>44786.541666666664</v>
      </c>
      <c r="K169" s="47">
        <v>716.0</v>
      </c>
      <c r="L169" s="127">
        <v>44786.62391203704</v>
      </c>
      <c r="M169" s="47">
        <v>727.0</v>
      </c>
      <c r="N169" s="127">
        <v>44786.67497685185</v>
      </c>
      <c r="O169" s="47">
        <v>722.0</v>
      </c>
      <c r="P169" s="127">
        <v>44786.78318287037</v>
      </c>
      <c r="Q169" s="47">
        <v>736.0</v>
      </c>
      <c r="R169" s="127">
        <v>44786.74304398148</v>
      </c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</row>
    <row r="170" ht="15.75" customHeight="1">
      <c r="A170" s="47">
        <v>704.0</v>
      </c>
      <c r="B170" s="127">
        <v>44786.27438657408</v>
      </c>
      <c r="C170" s="47">
        <v>708.0</v>
      </c>
      <c r="D170" s="127">
        <v>44786.32064814815</v>
      </c>
      <c r="E170" s="47">
        <v>702.0</v>
      </c>
      <c r="F170" s="127">
        <v>44786.3702662037</v>
      </c>
      <c r="G170" s="47">
        <v>500.0</v>
      </c>
      <c r="H170" s="127">
        <v>44786.535150462965</v>
      </c>
      <c r="I170" s="47">
        <v>711.0</v>
      </c>
      <c r="J170" s="127">
        <v>44786.51457175926</v>
      </c>
      <c r="K170" s="47">
        <v>717.0</v>
      </c>
      <c r="L170" s="127">
        <v>44786.651354166665</v>
      </c>
      <c r="M170" s="47">
        <v>728.0</v>
      </c>
      <c r="N170" s="127">
        <v>44786.61332175926</v>
      </c>
      <c r="O170" s="47">
        <v>723.0</v>
      </c>
      <c r="P170" s="127">
        <v>44786.864803240744</v>
      </c>
      <c r="Q170" s="47">
        <v>737.0</v>
      </c>
      <c r="R170" s="127">
        <v>44786.88990740741</v>
      </c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</row>
    <row r="171" ht="15.75" customHeight="1">
      <c r="A171" s="47">
        <v>705.0</v>
      </c>
      <c r="B171" s="127">
        <v>44786.27064814815</v>
      </c>
      <c r="C171" s="47">
        <v>709.0</v>
      </c>
      <c r="D171" s="127">
        <v>44786.32543981481</v>
      </c>
      <c r="E171" s="47">
        <v>703.0</v>
      </c>
      <c r="F171" s="127">
        <v>44786.3702662037</v>
      </c>
      <c r="G171" s="47">
        <v>501.0</v>
      </c>
      <c r="H171" s="127">
        <v>44786.53525462963</v>
      </c>
      <c r="I171" s="47">
        <v>712.0</v>
      </c>
      <c r="J171" s="127">
        <v>44786.56408564815</v>
      </c>
      <c r="K171" s="47">
        <v>718.0</v>
      </c>
      <c r="L171" s="127">
        <v>44786.62391203704</v>
      </c>
      <c r="M171" s="47">
        <v>729.0</v>
      </c>
      <c r="N171" s="127">
        <v>44786.63964120371</v>
      </c>
      <c r="O171" s="47">
        <v>727.0</v>
      </c>
      <c r="P171" s="127">
        <v>44786.77481481482</v>
      </c>
      <c r="Q171" s="47">
        <v>738.0</v>
      </c>
      <c r="R171" s="127">
        <v>44787.05422453704</v>
      </c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</row>
    <row r="172" ht="15.75" customHeight="1">
      <c r="A172" s="47">
        <v>706.0</v>
      </c>
      <c r="B172" s="127">
        <v>44786.268530092595</v>
      </c>
      <c r="C172" s="47">
        <v>711.0</v>
      </c>
      <c r="D172" s="127">
        <v>44786.32524305556</v>
      </c>
      <c r="E172" s="47">
        <v>704.0</v>
      </c>
      <c r="F172" s="127">
        <v>44786.420069444444</v>
      </c>
      <c r="G172" s="47">
        <v>641.0</v>
      </c>
      <c r="H172" s="127">
        <v>44786.535266203704</v>
      </c>
      <c r="I172" s="47">
        <v>713.0</v>
      </c>
      <c r="J172" s="127">
        <v>44786.499930555554</v>
      </c>
      <c r="K172" s="47">
        <v>719.0</v>
      </c>
      <c r="L172" s="127">
        <v>44786.63964120371</v>
      </c>
      <c r="M172" s="47">
        <v>730.0</v>
      </c>
      <c r="N172" s="127">
        <v>44786.71078703704</v>
      </c>
      <c r="O172" s="47">
        <v>728.0</v>
      </c>
      <c r="P172" s="127">
        <v>44786.703738425924</v>
      </c>
      <c r="Q172" s="47">
        <v>739.0</v>
      </c>
      <c r="R172" s="127">
        <v>44786.91119212963</v>
      </c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</row>
    <row r="173" ht="15.75" customHeight="1">
      <c r="A173" s="47">
        <v>707.0</v>
      </c>
      <c r="B173" s="127">
        <v>44786.2784375</v>
      </c>
      <c r="C173" s="47">
        <v>712.0</v>
      </c>
      <c r="D173" s="127">
        <v>44786.32099537037</v>
      </c>
      <c r="E173" s="47">
        <v>705.0</v>
      </c>
      <c r="F173" s="127">
        <v>44786.40739583333</v>
      </c>
      <c r="G173" s="47">
        <v>520.0</v>
      </c>
      <c r="H173" s="127">
        <v>44786.53530092593</v>
      </c>
      <c r="I173" s="47">
        <v>714.0</v>
      </c>
      <c r="J173" s="127">
        <v>44786.59756944444</v>
      </c>
      <c r="K173" s="47">
        <v>721.0</v>
      </c>
      <c r="L173" s="127">
        <v>44786.57697916667</v>
      </c>
      <c r="M173" s="47">
        <v>731.0</v>
      </c>
      <c r="N173" s="127">
        <v>44786.59612268519</v>
      </c>
      <c r="O173" s="47">
        <v>729.0</v>
      </c>
      <c r="P173" s="127">
        <v>44786.73516203704</v>
      </c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</row>
    <row r="174" ht="15.75" customHeight="1">
      <c r="A174" s="47">
        <v>708.0</v>
      </c>
      <c r="B174" s="127">
        <v>44786.26798611111</v>
      </c>
      <c r="C174" s="47">
        <v>713.0</v>
      </c>
      <c r="D174" s="127">
        <v>44786.31077546296</v>
      </c>
      <c r="E174" s="47">
        <v>706.0</v>
      </c>
      <c r="F174" s="127">
        <v>44786.38763888889</v>
      </c>
      <c r="G174" s="47">
        <v>574.0</v>
      </c>
      <c r="H174" s="127">
        <v>44786.53533564815</v>
      </c>
      <c r="I174" s="47">
        <v>715.0</v>
      </c>
      <c r="J174" s="127">
        <v>44786.5146875</v>
      </c>
      <c r="K174" s="47">
        <v>722.0</v>
      </c>
      <c r="L174" s="127">
        <v>44786.62391203704</v>
      </c>
      <c r="M174" s="47">
        <v>732.0</v>
      </c>
      <c r="N174" s="127">
        <v>44786.71056712963</v>
      </c>
      <c r="O174" s="47">
        <v>730.0</v>
      </c>
      <c r="P174" s="127">
        <v>44786.81260416667</v>
      </c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</row>
    <row r="175" ht="15.75" customHeight="1">
      <c r="A175" s="47">
        <v>709.0</v>
      </c>
      <c r="B175" s="127">
        <v>44786.26850694444</v>
      </c>
      <c r="C175" s="47">
        <v>714.0</v>
      </c>
      <c r="D175" s="127">
        <v>44786.3478125</v>
      </c>
      <c r="E175" s="47">
        <v>707.0</v>
      </c>
      <c r="F175" s="127">
        <v>44786.420069444444</v>
      </c>
      <c r="G175" s="47">
        <v>691.0</v>
      </c>
      <c r="H175" s="127">
        <v>44786.535358796296</v>
      </c>
      <c r="I175" s="47">
        <v>716.0</v>
      </c>
      <c r="J175" s="127">
        <v>44786.553449074076</v>
      </c>
      <c r="K175" s="47">
        <v>723.0</v>
      </c>
      <c r="L175" s="127">
        <v>44786.67162037037</v>
      </c>
      <c r="M175" s="47">
        <v>733.0</v>
      </c>
      <c r="N175" s="127">
        <v>44786.767164351855</v>
      </c>
      <c r="O175" s="47">
        <v>731.0</v>
      </c>
      <c r="P175" s="127">
        <v>44786.68283564815</v>
      </c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</row>
    <row r="176" ht="15.75" customHeight="1">
      <c r="A176" s="47">
        <v>711.0</v>
      </c>
      <c r="B176" s="127">
        <v>44786.270902777775</v>
      </c>
      <c r="C176" s="47">
        <v>715.0</v>
      </c>
      <c r="D176" s="127">
        <v>44786.320243055554</v>
      </c>
      <c r="E176" s="47">
        <v>708.0</v>
      </c>
      <c r="F176" s="127">
        <v>44786.387395833335</v>
      </c>
      <c r="G176" s="47">
        <v>657.0</v>
      </c>
      <c r="H176" s="127">
        <v>44786.54881944445</v>
      </c>
      <c r="I176" s="47">
        <v>717.0</v>
      </c>
      <c r="J176" s="127">
        <v>44786.57497685185</v>
      </c>
      <c r="K176" s="47">
        <v>727.0</v>
      </c>
      <c r="L176" s="127">
        <v>44786.62391203704</v>
      </c>
      <c r="M176" s="47">
        <v>734.0</v>
      </c>
      <c r="N176" s="127">
        <v>44786.67297453704</v>
      </c>
      <c r="O176" s="47">
        <v>733.0</v>
      </c>
      <c r="P176" s="127">
        <v>44786.881747685184</v>
      </c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</row>
    <row r="177" ht="15.75" customHeight="1">
      <c r="A177" s="47">
        <v>712.0</v>
      </c>
      <c r="B177" s="127">
        <v>44786.2646875</v>
      </c>
      <c r="C177" s="47">
        <v>716.0</v>
      </c>
      <c r="D177" s="127">
        <v>44786.32554398148</v>
      </c>
      <c r="E177" s="47">
        <v>709.0</v>
      </c>
      <c r="F177" s="127">
        <v>44786.40739583333</v>
      </c>
      <c r="G177" s="47">
        <v>614.0</v>
      </c>
      <c r="H177" s="127">
        <v>44786.548842592594</v>
      </c>
      <c r="I177" s="47">
        <v>719.0</v>
      </c>
      <c r="J177" s="127">
        <v>44786.56417824074</v>
      </c>
      <c r="K177" s="47">
        <v>728.0</v>
      </c>
      <c r="L177" s="127">
        <v>44786.57010416667</v>
      </c>
      <c r="M177" s="47">
        <v>736.0</v>
      </c>
      <c r="N177" s="127">
        <v>44786.55568287037</v>
      </c>
      <c r="O177" s="47">
        <v>734.0</v>
      </c>
      <c r="P177" s="127">
        <v>44786.77513888889</v>
      </c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</row>
    <row r="178" ht="15.75" customHeight="1">
      <c r="A178" s="47">
        <v>713.0</v>
      </c>
      <c r="B178" s="127">
        <v>44786.26149305556</v>
      </c>
      <c r="C178" s="47">
        <v>717.0</v>
      </c>
      <c r="D178" s="127">
        <v>44786.347233796296</v>
      </c>
      <c r="E178" s="47">
        <v>711.0</v>
      </c>
      <c r="F178" s="127">
        <v>44786.38756944444</v>
      </c>
      <c r="G178" s="47">
        <v>558.0</v>
      </c>
      <c r="H178" s="127">
        <v>44786.54887731482</v>
      </c>
      <c r="I178" s="47">
        <v>721.0</v>
      </c>
      <c r="J178" s="127">
        <v>44786.50907407407</v>
      </c>
      <c r="K178" s="47">
        <v>729.0</v>
      </c>
      <c r="L178" s="127">
        <v>44786.59458333333</v>
      </c>
      <c r="M178" s="47">
        <v>737.0</v>
      </c>
      <c r="N178" s="127">
        <v>44786.72292824074</v>
      </c>
      <c r="O178" s="47">
        <v>736.0</v>
      </c>
      <c r="P178" s="127">
        <v>44786.66439814815</v>
      </c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</row>
    <row r="179" ht="15.75" customHeight="1">
      <c r="A179" s="47">
        <v>714.0</v>
      </c>
      <c r="B179" s="127">
        <v>44786.2740162037</v>
      </c>
      <c r="C179" s="47">
        <v>718.0</v>
      </c>
      <c r="D179" s="127">
        <v>44786.33127314815</v>
      </c>
      <c r="E179" s="47">
        <v>712.0</v>
      </c>
      <c r="F179" s="127">
        <v>44786.40739583333</v>
      </c>
      <c r="G179" s="47">
        <v>680.0</v>
      </c>
      <c r="H179" s="127">
        <v>44786.54890046296</v>
      </c>
      <c r="I179" s="47">
        <v>722.0</v>
      </c>
      <c r="J179" s="127">
        <v>44786.548414351855</v>
      </c>
      <c r="K179" s="47">
        <v>730.0</v>
      </c>
      <c r="L179" s="127">
        <v>44786.63964120371</v>
      </c>
      <c r="M179" s="47">
        <v>738.0</v>
      </c>
      <c r="N179" s="127">
        <v>44786.789872685185</v>
      </c>
      <c r="O179" s="47">
        <v>737.0</v>
      </c>
      <c r="P179" s="127">
        <v>44786.82732638889</v>
      </c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</row>
    <row r="180" ht="15.75" customHeight="1">
      <c r="A180" s="47">
        <v>715.0</v>
      </c>
      <c r="B180" s="127">
        <v>44786.26466435185</v>
      </c>
      <c r="C180" s="47">
        <v>719.0</v>
      </c>
      <c r="D180" s="127">
        <v>44786.33158564815</v>
      </c>
      <c r="E180" s="47">
        <v>713.0</v>
      </c>
      <c r="F180" s="127">
        <v>44786.3702662037</v>
      </c>
      <c r="G180" s="47">
        <v>605.0</v>
      </c>
      <c r="H180" s="127">
        <v>44786.54892361111</v>
      </c>
      <c r="I180" s="47">
        <v>723.0</v>
      </c>
      <c r="J180" s="127">
        <v>44786.584386574075</v>
      </c>
      <c r="K180" s="47">
        <v>731.0</v>
      </c>
      <c r="L180" s="127">
        <v>44786.562939814816</v>
      </c>
      <c r="M180" s="47">
        <v>739.0</v>
      </c>
      <c r="N180" s="127">
        <v>44786.722766203704</v>
      </c>
      <c r="O180" s="47">
        <v>738.0</v>
      </c>
      <c r="P180" s="127">
        <v>44786.96313657407</v>
      </c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</row>
    <row r="181" ht="15.75" customHeight="1">
      <c r="A181" s="47">
        <v>716.0</v>
      </c>
      <c r="B181" s="127">
        <v>44786.26832175926</v>
      </c>
      <c r="C181" s="47">
        <v>721.0</v>
      </c>
      <c r="D181" s="127">
        <v>44786.32046296296</v>
      </c>
      <c r="E181" s="47">
        <v>714.0</v>
      </c>
      <c r="F181" s="127">
        <v>44786.420069444444</v>
      </c>
      <c r="G181" s="47">
        <v>667.0</v>
      </c>
      <c r="H181" s="127">
        <v>44786.5490162037</v>
      </c>
      <c r="I181" s="47">
        <v>726.0</v>
      </c>
      <c r="J181" s="127">
        <v>44786.60958333333</v>
      </c>
      <c r="K181" s="47">
        <v>732.0</v>
      </c>
      <c r="L181" s="127">
        <v>44786.63964120371</v>
      </c>
      <c r="M181" s="126"/>
      <c r="N181" s="126"/>
      <c r="O181" s="47">
        <v>739.0</v>
      </c>
      <c r="P181" s="127">
        <v>44786.830717592595</v>
      </c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</row>
    <row r="182" ht="15.75" customHeight="1">
      <c r="A182" s="47">
        <v>717.0</v>
      </c>
      <c r="B182" s="127">
        <v>44786.27138888889</v>
      </c>
      <c r="C182" s="47">
        <v>722.0</v>
      </c>
      <c r="D182" s="127">
        <v>44786.3208912037</v>
      </c>
      <c r="E182" s="47">
        <v>715.0</v>
      </c>
      <c r="F182" s="127">
        <v>44786.387395833335</v>
      </c>
      <c r="G182" s="47">
        <v>738.0</v>
      </c>
      <c r="H182" s="127">
        <v>44786.549050925925</v>
      </c>
      <c r="I182" s="47">
        <v>727.0</v>
      </c>
      <c r="J182" s="127">
        <v>44786.54804398148</v>
      </c>
      <c r="K182" s="47">
        <v>733.0</v>
      </c>
      <c r="L182" s="127">
        <v>44786.68844907408</v>
      </c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</row>
    <row r="183" ht="15.75" customHeight="1">
      <c r="A183" s="47">
        <v>718.0</v>
      </c>
      <c r="B183" s="127">
        <v>44786.27050925926</v>
      </c>
      <c r="C183" s="47">
        <v>723.0</v>
      </c>
      <c r="D183" s="127">
        <v>44786.320335648146</v>
      </c>
      <c r="E183" s="47">
        <v>716.0</v>
      </c>
      <c r="F183" s="127">
        <v>44786.40739583333</v>
      </c>
      <c r="G183" s="47">
        <v>502.0</v>
      </c>
      <c r="H183" s="127">
        <v>44786.549097222225</v>
      </c>
      <c r="I183" s="47">
        <v>728.0</v>
      </c>
      <c r="J183" s="127">
        <v>44786.50922453704</v>
      </c>
      <c r="K183" s="47">
        <v>734.0</v>
      </c>
      <c r="L183" s="127">
        <v>44786.62391203704</v>
      </c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</row>
    <row r="184" ht="15.75" customHeight="1">
      <c r="A184" s="47">
        <v>719.0</v>
      </c>
      <c r="B184" s="127">
        <v>44786.26880787037</v>
      </c>
      <c r="C184" s="47">
        <v>726.0</v>
      </c>
      <c r="D184" s="127">
        <v>44786.354629629626</v>
      </c>
      <c r="E184" s="47">
        <v>717.0</v>
      </c>
      <c r="F184" s="127">
        <v>44786.40741898148</v>
      </c>
      <c r="G184" s="47">
        <v>669.0</v>
      </c>
      <c r="H184" s="127">
        <v>44786.549108796295</v>
      </c>
      <c r="I184" s="47">
        <v>729.0</v>
      </c>
      <c r="J184" s="127">
        <v>44786.53087962963</v>
      </c>
      <c r="K184" s="47">
        <v>736.0</v>
      </c>
      <c r="L184" s="127">
        <v>44786.521053240744</v>
      </c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</row>
    <row r="185" ht="15.75" customHeight="1">
      <c r="A185" s="47">
        <v>721.0</v>
      </c>
      <c r="B185" s="127">
        <v>44786.2650462963</v>
      </c>
      <c r="C185" s="47">
        <v>727.0</v>
      </c>
      <c r="D185" s="127">
        <v>44786.325277777774</v>
      </c>
      <c r="E185" s="47">
        <v>718.0</v>
      </c>
      <c r="F185" s="127">
        <v>44786.40739583333</v>
      </c>
      <c r="G185" s="47">
        <v>612.0</v>
      </c>
      <c r="H185" s="127">
        <v>44786.54914351852</v>
      </c>
      <c r="I185" s="47">
        <v>730.0</v>
      </c>
      <c r="J185" s="127">
        <v>44786.55349537037</v>
      </c>
      <c r="K185" s="47">
        <v>737.0</v>
      </c>
      <c r="L185" s="127">
        <v>44786.66337962963</v>
      </c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</row>
    <row r="186" ht="15.75" customHeight="1">
      <c r="A186" s="47">
        <v>722.0</v>
      </c>
      <c r="B186" s="127">
        <v>44786.26803240741</v>
      </c>
      <c r="C186" s="47">
        <v>729.0</v>
      </c>
      <c r="D186" s="127">
        <v>44786.325057870374</v>
      </c>
      <c r="E186" s="47">
        <v>719.0</v>
      </c>
      <c r="F186" s="127">
        <v>44786.40739583333</v>
      </c>
      <c r="G186" s="47">
        <v>622.0</v>
      </c>
      <c r="H186" s="127">
        <v>44786.549363425926</v>
      </c>
      <c r="I186" s="47">
        <v>731.0</v>
      </c>
      <c r="J186" s="127">
        <v>44786.504155092596</v>
      </c>
      <c r="K186" s="47">
        <v>738.0</v>
      </c>
      <c r="L186" s="127">
        <v>44786.712916666664</v>
      </c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</row>
    <row r="187" ht="15.75" customHeight="1">
      <c r="A187" s="47">
        <v>723.0</v>
      </c>
      <c r="B187" s="127">
        <v>44786.27880787037</v>
      </c>
      <c r="C187" s="47">
        <v>730.0</v>
      </c>
      <c r="D187" s="127">
        <v>44786.32488425926</v>
      </c>
      <c r="E187" s="47">
        <v>721.0</v>
      </c>
      <c r="F187" s="127">
        <v>44786.387395833335</v>
      </c>
      <c r="G187" s="47">
        <v>616.0</v>
      </c>
      <c r="H187" s="127">
        <v>44786.54938657407</v>
      </c>
      <c r="I187" s="47">
        <v>732.0</v>
      </c>
      <c r="J187" s="127">
        <v>44786.56903935185</v>
      </c>
      <c r="K187" s="47">
        <v>739.0</v>
      </c>
      <c r="L187" s="127">
        <v>44786.65762731482</v>
      </c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</row>
    <row r="188" ht="15.75" customHeight="1">
      <c r="A188" s="47">
        <v>726.0</v>
      </c>
      <c r="B188" s="127">
        <v>44786.278969907406</v>
      </c>
      <c r="C188" s="47">
        <v>731.0</v>
      </c>
      <c r="D188" s="127">
        <v>44786.311215277776</v>
      </c>
      <c r="E188" s="47">
        <v>722.0</v>
      </c>
      <c r="F188" s="127">
        <v>44786.40739583333</v>
      </c>
      <c r="G188" s="47">
        <v>541.0</v>
      </c>
      <c r="H188" s="127">
        <v>44786.56679398148</v>
      </c>
      <c r="I188" s="47">
        <v>733.0</v>
      </c>
      <c r="J188" s="127">
        <v>44786.60074074074</v>
      </c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</row>
    <row r="189" ht="15.75" customHeight="1">
      <c r="A189" s="47">
        <v>727.0</v>
      </c>
      <c r="B189" s="127">
        <v>44786.268483796295</v>
      </c>
      <c r="C189" s="47">
        <v>732.0</v>
      </c>
      <c r="D189" s="127">
        <v>44786.33962962963</v>
      </c>
      <c r="E189" s="47">
        <v>723.0</v>
      </c>
      <c r="F189" s="127">
        <v>44786.420069444444</v>
      </c>
      <c r="G189" s="47">
        <v>540.0</v>
      </c>
      <c r="H189" s="127">
        <v>44786.56681712963</v>
      </c>
      <c r="I189" s="47">
        <v>734.0</v>
      </c>
      <c r="J189" s="127">
        <v>44786.54178240741</v>
      </c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</row>
    <row r="190" ht="15.75" customHeight="1">
      <c r="A190" s="47">
        <v>728.0</v>
      </c>
      <c r="B190" s="127">
        <v>44786.26793981482</v>
      </c>
      <c r="C190" s="47">
        <v>733.0</v>
      </c>
      <c r="D190" s="127">
        <v>44786.34732638889</v>
      </c>
      <c r="E190" s="47">
        <v>726.0</v>
      </c>
      <c r="F190" s="127">
        <v>44786.420069444444</v>
      </c>
      <c r="G190" s="47">
        <v>576.0</v>
      </c>
      <c r="H190" s="127">
        <v>44786.56685185185</v>
      </c>
      <c r="I190" s="47">
        <v>736.0</v>
      </c>
      <c r="J190" s="127">
        <v>44786.46461805556</v>
      </c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</row>
    <row r="191" ht="15.75" customHeight="1">
      <c r="A191" s="47">
        <v>729.0</v>
      </c>
      <c r="B191" s="127">
        <v>44786.26810185185</v>
      </c>
      <c r="C191" s="47">
        <v>734.0</v>
      </c>
      <c r="D191" s="127">
        <v>44786.32491898148</v>
      </c>
      <c r="E191" s="47">
        <v>727.0</v>
      </c>
      <c r="F191" s="127">
        <v>44786.40739583333</v>
      </c>
      <c r="G191" s="47">
        <v>508.0</v>
      </c>
      <c r="H191" s="127">
        <v>44786.566875</v>
      </c>
      <c r="I191" s="47">
        <v>737.0</v>
      </c>
      <c r="J191" s="127">
        <v>44786.58449074074</v>
      </c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</row>
    <row r="192" ht="15.75" customHeight="1">
      <c r="A192" s="47">
        <v>730.0</v>
      </c>
      <c r="B192" s="127">
        <v>44786.265069444446</v>
      </c>
      <c r="C192" s="47">
        <v>736.0</v>
      </c>
      <c r="D192" s="127">
        <v>44786.300150462965</v>
      </c>
      <c r="E192" s="47">
        <v>728.0</v>
      </c>
      <c r="F192" s="127">
        <v>44786.387395833335</v>
      </c>
      <c r="G192" s="47">
        <v>678.0</v>
      </c>
      <c r="H192" s="127">
        <v>44786.56690972222</v>
      </c>
      <c r="I192" s="47">
        <v>738.0</v>
      </c>
      <c r="J192" s="127">
        <v>44786.633356481485</v>
      </c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</row>
    <row r="193" ht="15.75" customHeight="1">
      <c r="A193" s="47">
        <v>731.0</v>
      </c>
      <c r="B193" s="127">
        <v>44786.262870370374</v>
      </c>
      <c r="C193" s="47">
        <v>737.0</v>
      </c>
      <c r="D193" s="127">
        <v>44786.354421296295</v>
      </c>
      <c r="E193" s="47">
        <v>729.0</v>
      </c>
      <c r="F193" s="127">
        <v>44786.40739583333</v>
      </c>
      <c r="G193" s="47">
        <v>579.0</v>
      </c>
      <c r="H193" s="127">
        <v>44786.57541666667</v>
      </c>
      <c r="I193" s="47">
        <v>739.0</v>
      </c>
      <c r="J193" s="127">
        <v>44786.5790625</v>
      </c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</row>
    <row r="194" ht="15.75" customHeight="1">
      <c r="A194" s="47">
        <v>732.0</v>
      </c>
      <c r="B194" s="127">
        <v>44786.2784837963</v>
      </c>
      <c r="C194" s="47">
        <v>738.0</v>
      </c>
      <c r="D194" s="127">
        <v>44786.354849537034</v>
      </c>
      <c r="E194" s="47">
        <v>730.0</v>
      </c>
      <c r="F194" s="127">
        <v>44786.40739583333</v>
      </c>
      <c r="G194" s="47">
        <v>608.0</v>
      </c>
      <c r="H194" s="127">
        <v>44786.57545138889</v>
      </c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</row>
    <row r="195" ht="15.75" customHeight="1">
      <c r="A195" s="47">
        <v>733.0</v>
      </c>
      <c r="B195" s="127">
        <v>44786.271215277775</v>
      </c>
      <c r="C195" s="47">
        <v>739.0</v>
      </c>
      <c r="D195" s="127">
        <v>44786.34780092593</v>
      </c>
      <c r="E195" s="47">
        <v>731.0</v>
      </c>
      <c r="F195" s="127">
        <v>44786.3702662037</v>
      </c>
      <c r="G195" s="47">
        <v>654.0</v>
      </c>
      <c r="H195" s="127">
        <v>44786.598703703705</v>
      </c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</row>
    <row r="196" ht="15.75" customHeight="1">
      <c r="A196" s="47">
        <v>734.0</v>
      </c>
      <c r="B196" s="127">
        <v>44786.268912037034</v>
      </c>
      <c r="C196" s="126"/>
      <c r="D196" s="126"/>
      <c r="E196" s="47">
        <v>732.0</v>
      </c>
      <c r="F196" s="127">
        <v>44786.40739583333</v>
      </c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</row>
    <row r="197" ht="15.75" customHeight="1">
      <c r="A197" s="47">
        <v>736.0</v>
      </c>
      <c r="B197" s="127">
        <v>44786.252847222226</v>
      </c>
      <c r="C197" s="126"/>
      <c r="D197" s="125"/>
      <c r="E197" s="47">
        <v>733.0</v>
      </c>
      <c r="F197" s="127">
        <v>44786.420069444444</v>
      </c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</row>
    <row r="198" ht="15.75" customHeight="1">
      <c r="A198" s="47">
        <v>737.0</v>
      </c>
      <c r="B198" s="127">
        <v>44786.27851851852</v>
      </c>
      <c r="C198" s="126"/>
      <c r="D198" s="125"/>
      <c r="E198" s="47">
        <v>734.0</v>
      </c>
      <c r="F198" s="127">
        <v>44786.40739583333</v>
      </c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</row>
    <row r="199" ht="15.75" customHeight="1">
      <c r="A199" s="47">
        <v>738.0</v>
      </c>
      <c r="B199" s="127">
        <v>44786.2746875</v>
      </c>
      <c r="C199" s="126"/>
      <c r="D199" s="125"/>
      <c r="E199" s="47">
        <v>736.0</v>
      </c>
      <c r="F199" s="127">
        <v>44786.340578703705</v>
      </c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</row>
    <row r="200" ht="15.75" customHeight="1">
      <c r="A200" s="47">
        <v>739.0</v>
      </c>
      <c r="B200" s="127">
        <v>44786.274872685186</v>
      </c>
      <c r="C200" s="126"/>
      <c r="D200" s="125"/>
      <c r="E200" s="47">
        <v>737.0</v>
      </c>
      <c r="F200" s="127">
        <v>44786.420069444444</v>
      </c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</row>
    <row r="201" ht="15.75" customHeight="1">
      <c r="A201" s="126"/>
      <c r="B201" s="125"/>
      <c r="C201" s="126"/>
      <c r="D201" s="125"/>
      <c r="E201" s="47">
        <v>738.0</v>
      </c>
      <c r="F201" s="127">
        <v>44786.43677083333</v>
      </c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</row>
    <row r="202" ht="15.75" customHeight="1">
      <c r="A202" s="126"/>
      <c r="B202" s="125"/>
      <c r="C202" s="126"/>
      <c r="D202" s="125"/>
      <c r="E202" s="47">
        <v>739.0</v>
      </c>
      <c r="F202" s="127">
        <v>44786.420069444444</v>
      </c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</row>
    <row r="203" ht="15.75" customHeight="1">
      <c r="A203" s="126"/>
      <c r="B203" s="126"/>
      <c r="C203" s="126"/>
      <c r="D203" s="125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</row>
    <row r="204" ht="15.75" customHeight="1">
      <c r="A204" s="126"/>
      <c r="B204" s="126"/>
      <c r="C204" s="126"/>
      <c r="D204" s="125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</row>
    <row r="205" ht="15.75" customHeight="1">
      <c r="A205" s="126"/>
      <c r="B205" s="126"/>
      <c r="C205" s="126"/>
      <c r="D205" s="125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</row>
    <row r="211" ht="15.75" customHeight="1">
      <c r="A211" s="126"/>
      <c r="B211" s="125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</row>
    <row r="213" ht="15.75" customHeight="1">
      <c r="A213" s="126"/>
      <c r="B213" s="125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</row>
    <row r="214" ht="15.75" customHeight="1">
      <c r="A214" s="126"/>
      <c r="B214" s="125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</row>
    <row r="215" ht="15.75" customHeight="1">
      <c r="A215" s="126"/>
      <c r="B215" s="125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</row>
    <row r="216" ht="15.75" customHeight="1">
      <c r="A216" s="126"/>
      <c r="B216" s="125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